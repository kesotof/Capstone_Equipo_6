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_de_Control" sheetId="1" r:id="rId5"/>
    <sheet state="visible" name="casos prueba sprint 1" sheetId="2" r:id="rId6"/>
    <sheet state="visible" name="casos prueba sprint 2" sheetId="3" r:id="rId7"/>
    <sheet state="visible" name="resumen resultados" sheetId="4" r:id="rId8"/>
  </sheets>
  <definedNames/>
  <calcPr/>
</workbook>
</file>

<file path=xl/sharedStrings.xml><?xml version="1.0" encoding="utf-8"?>
<sst xmlns="http://schemas.openxmlformats.org/spreadsheetml/2006/main" count="1450" uniqueCount="678">
  <si>
    <t>Resultados</t>
  </si>
  <si>
    <t>Estado de ejecución por tipo de prueba</t>
  </si>
  <si>
    <t>Tipo de prueba</t>
  </si>
  <si>
    <t>Casos de Prueba</t>
  </si>
  <si>
    <t>N° casos</t>
  </si>
  <si>
    <t>OK</t>
  </si>
  <si>
    <t>NO OK</t>
  </si>
  <si>
    <t>Sin implementar</t>
  </si>
  <si>
    <t>Por probar</t>
  </si>
  <si>
    <t>% OK</t>
  </si>
  <si>
    <t>Sistema</t>
  </si>
  <si>
    <t>HOJA DE CONTROL</t>
  </si>
  <si>
    <t>Organismo</t>
  </si>
  <si>
    <t>Proyecto</t>
  </si>
  <si>
    <t>Sistema de Gestión Documental y Flujos de Aprobación (Capstone)</t>
  </si>
  <si>
    <t>Entregable</t>
  </si>
  <si>
    <t>Plan de Pruebas de Sistema, Integración y Seguridad</t>
  </si>
  <si>
    <t>Autor</t>
  </si>
  <si>
    <t>Versión / Edición</t>
  </si>
  <si>
    <t>Fecha Versión</t>
  </si>
  <si>
    <t>Aprobado Por</t>
  </si>
  <si>
    <t>Fecha Aprobación</t>
  </si>
  <si>
    <t>Nº Total de Páginas</t>
  </si>
  <si>
    <t>REGISTRO DE CAMBIOS</t>
  </si>
  <si>
    <t>SI</t>
  </si>
  <si>
    <t>Versión</t>
  </si>
  <si>
    <t>Causa del cambio</t>
  </si>
  <si>
    <t>Responsable del cambio</t>
  </si>
  <si>
    <t>Fecha del cambio</t>
  </si>
  <si>
    <t>0.1</t>
  </si>
  <si>
    <t>Primera versión con la estructura base</t>
  </si>
  <si>
    <t>Eduardo Kusar</t>
  </si>
  <si>
    <t>0.2</t>
  </si>
  <si>
    <t>Sincronización de casos de prueba E2E de Sprint 1 (Autenticación, Sesiones y Gestión de Usuarios) ya automatizados</t>
  </si>
  <si>
    <t>13/09/26</t>
  </si>
  <si>
    <t>0.3</t>
  </si>
  <si>
    <t>Sprint 1: Incorporación de 10 pruebas manuales en sprint 1</t>
  </si>
  <si>
    <t>Nicolas Vidal</t>
  </si>
  <si>
    <t>15/09/26</t>
  </si>
  <si>
    <t>0.4</t>
  </si>
  <si>
    <t>Sprint 1: Incorporación de todas las pruebas manuales; 7 pruebas ya automatizadas</t>
  </si>
  <si>
    <t>24/09/26</t>
  </si>
  <si>
    <t>Integracion</t>
  </si>
  <si>
    <t>1.0</t>
  </si>
  <si>
    <t>Sprint 1: Todas las pruebas automatizadas</t>
  </si>
  <si>
    <t>28/09/26</t>
  </si>
  <si>
    <t>2.0</t>
  </si>
  <si>
    <t>Sprint 2: casos de prueba alineados con la suite automatizada, matriz de trazabilidad y resumen de cobertura. Estado "Por probar" hasta la próxima ejecución.</t>
  </si>
  <si>
    <t>CONTROL DE DISTRIBUCIÓN</t>
  </si>
  <si>
    <t>Nombre y Apellidos</t>
  </si>
  <si>
    <t>Kevin Soto</t>
  </si>
  <si>
    <t xml:space="preserve"> </t>
  </si>
  <si>
    <t>ID HU</t>
  </si>
  <si>
    <t>ID CA</t>
  </si>
  <si>
    <t>ID Caso Prueba</t>
  </si>
  <si>
    <t>Historia de Usuario</t>
  </si>
  <si>
    <t>Criterio de Aceptacion</t>
  </si>
  <si>
    <t>Descripcion</t>
  </si>
  <si>
    <t>Tipo prueba</t>
  </si>
  <si>
    <t>Estado</t>
  </si>
  <si>
    <t>Criticidad</t>
  </si>
  <si>
    <t>Automatizado</t>
  </si>
  <si>
    <t>Evidencia: Fotos</t>
  </si>
  <si>
    <t>Evidencia: Automatismo</t>
  </si>
  <si>
    <t>US-01</t>
  </si>
  <si>
    <t>US-13</t>
  </si>
  <si>
    <t>CA 01.1</t>
  </si>
  <si>
    <t>Seguridad</t>
  </si>
  <si>
    <t>CP-AUTH-01</t>
  </si>
  <si>
    <t>US-01 Iniciar Sesion</t>
  </si>
  <si>
    <t>• CA 01.1: nombre de usuario solo en formato correos</t>
  </si>
  <si>
    <t>Login rechaza nombre de usuario sin formato de correo
 Precondición: Usuario en la pantalla de inicio de sesión, sin sesión iniciada.
 Acción: Intenta ingresar con un nombre de usuario que no tiene formato de correo.
 Resultado esperado: La página permanece en Keycloak, aparece el mensaje de credenciales inválidas y no se crea la cookie de sesión.</t>
  </si>
  <si>
    <t>CP-RUT-01</t>
  </si>
  <si>
    <t>US-13 Asignar un RUT al crear usuario</t>
  </si>
  <si>
    <t>• CA 01.1: al momento de crear un usuario, se debe agregar un rut asociado a la nueva cuenta</t>
  </si>
  <si>
    <t>Crear usuario con RUT válido guarda el RUT ingresado
 Precondición: Administrador autenticado en Gestión de usuarios.
 Acción: Crea un usuario nuevo con un RUT válido generado y luego consulta la lista de usuarios por API.
 Resultado esperado: La API responde 200 y el usuario creado aparece con el mismo RUT que se ingresó.</t>
  </si>
  <si>
    <t>Critica</t>
  </si>
  <si>
    <t>Si</t>
  </si>
  <si>
    <t>Alta</t>
  </si>
  <si>
    <t>tests/e2e/src/specs/auth/rut-validation.spec.ts:91</t>
  </si>
  <si>
    <t>CA 01.2</t>
  </si>
  <si>
    <t>CP-AUTH-02</t>
  </si>
  <si>
    <t>CA 01.2
CA 01.5</t>
  </si>
  <si>
    <t>• CA 01.2: si credenciales son invalidas, mostrar un mensaje: “credenciales invalidas, intentelo denuevo“</t>
  </si>
  <si>
    <t>CP-RUT-02</t>
  </si>
  <si>
    <t>Mensaje específico ante credenciales inválidas en el login
 Precondición: Usuario en la pantalla de inicio de sesión, sin sesión iniciada.
 Acción: Ingresa un correo válido de revisor con una clave incorrecta.
 Resultado esperado: Aparece el mensaje de error de credenciales inválidas definido en el login.</t>
  </si>
  <si>
    <t>• CA 01.2: el campo de rut se debe autoformatear a medida que se ingresan los numeros del rut (formato NN.NNN.NNN-N, donde N es un numero o la letra “K”)
 • CA 01.5: no debe estar permitido ingresar espacios vacios</t>
  </si>
  <si>
    <t>Autoformato del RUT: espacios se eliminan y el formato queda 12.345.678-5
 Precondición: Administrador autenticado con el formulario de nuevo usuario abierto.
 Acción: Escribe “12 345” y luego “12345 678-5” en el campo RUT, y cancela el formulario.
 Resultado esperado: El campo muestra el RUT ya formateado como “12.345” y “12.345.678-5”, sin espacios.</t>
  </si>
  <si>
    <t>Total</t>
  </si>
  <si>
    <t>Media</t>
  </si>
  <si>
    <t>tests/e2e/src/specs/auth/rut-validation.spec.ts:36</t>
  </si>
  <si>
    <t>CA 01.3</t>
  </si>
  <si>
    <t>CP-AUTH-03</t>
  </si>
  <si>
    <t>• CA 01.3: si fallo el inicio 4 veces seguidas, se bloquea el nombre de usuario por 30 minutos.</t>
  </si>
  <si>
    <t>Bloqueo tras 4 intentos fallidos de inicio de sesión con mensaje en pantalla
 Precondición: Usuario temporal creado en Keycloak con una clave conocida, eliminado al terminar la prueba.
 Acción: Se realizan tres intentos de inicio de sesión con clave errónea, un cuarto intento fallido y luego un intento con la clave correcta.
 Resultado esperado: Los tres primeros intentos muestran el mensaje de credenciales inválidas. El intento con la clave correcta muestra el mensaje de cuenta deshabilitada, el mismo texto que se usa para el bloqueo temporal.</t>
  </si>
  <si>
    <t>CP-RUT-03</t>
  </si>
  <si>
    <t>• CA 01.3: si se ingresa una “k” minuscula, se debe mostrar en pantalla como “K” mayuscula con el autoformato</t>
  </si>
  <si>
    <t>Una “k” minúscula se muestra como “K” mayúscula con autoformato
 Precondición: Administrador autenticado con el formulario de nuevo usuario abierto.
 Acción: Escribe “12345678k” en el campo RUT.
 Resultado esperado: El campo muestra el RUT con autoformato y la letra en mayúscula: “12.345.678-K”.</t>
  </si>
  <si>
    <t>CA 01.4</t>
  </si>
  <si>
    <t>CP-AUTH-04</t>
  </si>
  <si>
    <t>• CA 01.4: al ingresar correctamente, el usuario debe acceder a la plataforma</t>
  </si>
  <si>
    <t>tests/e2e/src/specs/auth/rut-validation.spec.ts:52</t>
  </si>
  <si>
    <t>Inicio de sesión exitoso con auditoría de login y acceso al Dashboard
 Precondición: Cuenta de administrador del sistema activa.
 Acción: Inicia sesión con sus credenciales válidas.
 Resultado esperado: El usuario llega al Dashboard con la marca MasterBase en la URL correspondiente y el registro de auditoría de inicio de sesión responde 201.</t>
  </si>
  <si>
    <t>CP-RUT-04</t>
  </si>
  <si>
    <t>• CA 01.4: no debe estar permitido ingresar caracteres diferentes a numeros, la letra “k” o “K”</t>
  </si>
  <si>
    <t>US-02</t>
  </si>
  <si>
    <t>Caracteres no permitidos en el RUT se descartan
 Precondición: Administrador autenticado con el formulario de nuevo usuario abierto.
 Acción: Escribe “12a.b@345” en el campo RUT.
 Resultado esperado: Las letras y símbolos se descartan y el campo muestra “12.345”.</t>
  </si>
  <si>
    <t>CA 02.1
CA 02.2</t>
  </si>
  <si>
    <t>CP-AUTH-05</t>
  </si>
  <si>
    <t>US-02 Cerrar Sesion</t>
  </si>
  <si>
    <t>• CA 02.1: Al seleccionar “Cerrar Sesion”, el sistema debe finalizar la sesión activa.
 • CA 02.2: El usuario debe ser redirigido a la pantalla de inicio de sesión.</t>
  </si>
  <si>
    <t>Cierre de sesión con auditoría y bloqueo de URLs protegidas posteriores
 Precondición: Administrador con sesión iniciada en el Dashboard.
 Acción: Cierra sesión y luego intenta abrir la página de inicio y la de gestión de usuarios.
 Resultado esperado: Vuelve a la pantalla de login de Keycloak, el registro de auditoría de cierre de sesión responde 201 y ambas URLs protegidas redirigen nuevamente al login.</t>
  </si>
  <si>
    <t>tests/e2e/src/specs/auth/rut-validation.spec.ts:65</t>
  </si>
  <si>
    <t>CA 01.6</t>
  </si>
  <si>
    <t>CP-RUT-05</t>
  </si>
  <si>
    <t>CA 02.3</t>
  </si>
  <si>
    <t>CP-AUTH-06</t>
  </si>
  <si>
    <t>• CA 02.3: Una vez cerrada la sesión, no se debe permitir acceder nuevamente a las funcionalidades del sistema sin iniciar sesión.</t>
  </si>
  <si>
    <t>• CA 01.6: no debe estar permitido ingresar caracteres “de mas”</t>
  </si>
  <si>
    <t>Sin sesión, las URLs protegidas redirigen al login sin errores
 Precondición: Usuario sin sesión iniciada.
 Acción: Intenta abrir, una por una, 17 URLs protegidas del sistema (inicio, solicitudes, configuración, revisión, entre otras).
 Resultado esperado: Cada URL redirige a la pantalla de login de Keycloak y no se produce ningún error de página no controlado.</t>
  </si>
  <si>
    <t>Doce dígitos seguidos: el RUT se corta en el largo máximo 12.345.678-9
 Precondición: Administrador autenticado con el formulario de nuevo usuario abierto.
 Acción: Escribe doce dígitos seguidos (123456789012) en el campo RUT.
 Resultado esperado: El campo no admite caracteres de más y muestra “12.345.678-9”.</t>
  </si>
  <si>
    <t>tests/e2e/src/specs/auth/rut-validation.spec.ts:78</t>
  </si>
  <si>
    <t>CA 02.4</t>
  </si>
  <si>
    <t>CP-AUTH-07</t>
  </si>
  <si>
    <t>• CA 02.4: El sistema debe registrar el cierre de sesión en el historial de actividades.</t>
  </si>
  <si>
    <t>Cierre de sesión registra evento de auditoría LOGOUT
 Precondición: Colaborador de Operaciones con sesión iniciada.
 Acción: Cierra sesión desde el menú de usuario.
 Resultado esperado: Se vuelve a la pantalla de Keycloak y la auditoría registra un evento LOGOUT para ese colaborador, posterior al inicio de la prueba.</t>
  </si>
  <si>
    <t>CA 01.7
CA 01.8
CA 01.9
CA 01.10</t>
  </si>
  <si>
    <t>CP-RUT-06</t>
  </si>
  <si>
    <t>• CA 01.7: casos en donde no se permite crear una cuenta:
 • CA 01.8: rut ingresado no es válido (verificacion por digito verificador)
 • CA 01.9: rut ingresado está duplicado
 • CA 01.10: si hay algunos de los errores anteriores, mostrar en pantalla un mensaje de error explicativo según sea el caso</t>
  </si>
  <si>
    <t>Mensaje de error exacto según caso: RUT obligatorio, DV inválido y RUT duplicado
 Precondición: Administrador con el formulario de nuevo usuario abierto y datos básicos completos, sin RUT.
 Acción: Intenta crear el usuario con RUT vacío, luego con un dígito verificador inválido y finalmente con el RUT de un colaborador ya registrado.
 Resultado esperado: En cada caso aparece el mensaje de error explicativo correspondiente (RUT obligatorio, dígito verificador inválido, RUT ya registrado) y el formulario sigue abierto.</t>
  </si>
  <si>
    <t>tests/e2e/src/specs/auth/rut-validation.spec.ts:112</t>
  </si>
  <si>
    <t>US-03</t>
  </si>
  <si>
    <t>CA 03.1</t>
  </si>
  <si>
    <t>CP-USER-01</t>
  </si>
  <si>
    <t>US-03 Gestionar usuarios</t>
  </si>
  <si>
    <t>• CA 03.1: se debe poder agregar un usuario usando un correo válido</t>
  </si>
  <si>
    <t>Admin crea un usuario que puede iniciar sesión
 Precondición: Administrador con sesión iniciada en Gestión de usuarios y un correo nuevo sin registrar.
 Acción: El administrador crea un usuario desde la interfaz con correo válido y contraseña. Luego cierra sesión e inicia sesión con esas credenciales.
 Resultado esperado: El usuario aparece en la tabla como Activo y puede ingresar al sistema y llegar al inicio.</t>
  </si>
  <si>
    <t>US-14</t>
  </si>
  <si>
    <t>CP-ORG-01</t>
  </si>
  <si>
    <t>US-14 Gestionar areas corporativas</t>
  </si>
  <si>
    <t>• CA 02.1: se debe poder crear una nueva área con un nombre
 • CA 02.2: se debe poder cambiar la información de un área existente</t>
  </si>
  <si>
    <t>Admin crea y edita un área, con persistencia tras recargar
 Precondición: Administrador autenticado en la plataforma.
 Acción: Crea un área con nombre y descripción, recarga y la busca. Luego edita su nombre y descripción, recarga y busca el nombre anterior.
 Resultado esperado: El área aparece una sola vez tras crearla y recargar. Tras editarla, aparece con el nombre y la descripción nuevos, y el nombre anterior ya no encuentra resultados.</t>
  </si>
  <si>
    <t>CA 03.2</t>
  </si>
  <si>
    <t>tests/e2e/src/specs/org/corporate-areas.spec.ts:15</t>
  </si>
  <si>
    <t>CP-USER-02</t>
  </si>
  <si>
    <t>• CA 03.2: se debe poder cambiar la información permitida de un usuario</t>
  </si>
  <si>
    <t>Admin modifica nombre, apellido y contraseña de un usuario
 Precondición: Usuario creado previamente por API y administrador con sesión iniciada en Gestión de usuarios.
 Acción: El administrador edita el nombre, el apellido y la contraseña del usuario desde la interfaz. Luego el usuario inicia sesión con la nueva contraseña.
 Resultado esperado: Se muestra el mensaje de éxito, la tabla muestra el nombre y apellido actualizados y el acceso funciona con la nueva contraseña.</t>
  </si>
  <si>
    <t>CP-ORG-02</t>
  </si>
  <si>
    <t>• CA 02.3: se debe poder desactivar un área que ya no se utilice</t>
  </si>
  <si>
    <t>Desactivar un área la marca Inactivo y la quita de los selectores
 Precondición: Área creada por API y administrador autenticado.
 Acción: El administrador desactiva el área. Luego abre el formulario de alta de usuario y el de creación de flujo para revisar su selector de área.
 Resultado esperado: La fila del área muestra el estado Inactivo. Los selectores de área de usuario y de flujo ofrecen Finanzas, pero no el área desactivada.</t>
  </si>
  <si>
    <t>CA 03.3</t>
  </si>
  <si>
    <t>CP-USER-03</t>
  </si>
  <si>
    <t>tests/e2e/src/specs/org/corporate-areas.spec.ts:59</t>
  </si>
  <si>
    <t>• CA 03.3: se debe poder desactivar un usuario sin borrar su historial</t>
  </si>
  <si>
    <t>Usuario desactivado conserva historial y no puede iniciar sesión
 Precondición: Usuario creado por API con una solicitud sembrada a su nombre y administrador con sesión iniciada.
 Acción: El administrador desactiva al usuario desde la interfaz. Luego el usuario intenta iniciar sesión con sus credenciales.
 Resultado esperado: La fila muestra Inactivo, la solicitud sigue consultable por API (200) con el mismo emisor y su evento de creación sigue en auditoría. El inicio de sesión muestra el mensaje de cuenta deshabilitada y no permite ingresar.</t>
  </si>
  <si>
    <t>CP-ORG-03</t>
  </si>
  <si>
    <t>• CA 02.4: no se deben permitir dos áreas con el mismo nombre</t>
  </si>
  <si>
    <t>Nombres de área duplicados rechazados en UI y API
 Precondición: Existe un área con un nombre de prueba y otra área distinta disponible para renombrar.
 Acción: El administrador intenta crear en la interfaz un área con el mismo nombre; luego la API recibe ese nombre en cuatro variantes (minúsculas, sin tilde, mayúsculas, con espacios) y un renombrado a ese nombre.
 Resultado esperado: Se verifica que la interfaz muestra el mensaje de nombre duplicado y deja el formulario abierto hasta cancelarlo, y que cada intento por API responde 409 AREA_NOMBRE_DUPLICADO.</t>
  </si>
  <si>
    <t>CA 03.4</t>
  </si>
  <si>
    <t>CP-USER-04</t>
  </si>
  <si>
    <t>• CA 03.4: no se deben permitir dos usuarios con el mismo correo</t>
  </si>
  <si>
    <t>tests/e2e/src/specs/org/area-audit-and-names.spec.ts:33</t>
  </si>
  <si>
    <t>No se permiten dos usuarios con el mismo correo
 Precondición: Usuario existente creado por API y administrador con sesión iniciada en Gestión de usuarios.
 Acción: El administrador intenta crear un usuario nuevo con el correo de ese usuario existente.
 Resultado esperado: El formulario sigue abierto y muestra un error que indica que el correo ya existe. La API de usuarios lista una sola cuenta con ese correo.</t>
  </si>
  <si>
    <t>US-14
US-15
US-19</t>
  </si>
  <si>
    <t>CA 02.5
CA 03.1
CA 07.4</t>
  </si>
  <si>
    <t>CP-ORG-04</t>
  </si>
  <si>
    <t>US-14 Gestionar areas corporativas
 US-15 Asignar administrador de área
 US-19 Gestionar roles y permisos</t>
  </si>
  <si>
    <t>• CA 02.5: solo los administradores deben poder realizar estos cambios
 • CA 03.1: solo un administrador debe poder realizar esta asignación
 • CA 07.4: un usuario no debe poder realizar acciones que no correspondan a su rol</t>
  </si>
  <si>
    <t>Colaborador no accede a Áreas y recibe 403 en cada cambio por API
 Precondición: Área existente, con un administrador y un colaborador de Operaciones autenticados por separado.
 Acción: El administrador revisa la acción de gestionar usuarios del área. Luego el colaborador revisa el menú y la página de Áreas, e intenta crear, editar, desactivar la área y asignar jefatura por API.
 Resultado esperado: El administrador ve la acción de gestionar usuarios. El colaborador no ve Áreas en el menú, la página muestra acceso no disponible y cada cambio por API responde 403 con código RBAC_ACCION_DENEGADA.</t>
  </si>
  <si>
    <t>CA 03.5</t>
  </si>
  <si>
    <t>CP-USER-05</t>
  </si>
  <si>
    <t>• CA 03.5: solo los administradores deben poder gestionar usuarios</t>
  </si>
  <si>
    <t>Solo administradores gestionan usuarios (revisor sin acceso en UI y API)
 Precondición: Revisor de Finanzas que no es administrador, con sesión iniciada.
 Acción: El revisor revisa el menú lateral, intenta abrir por URL la gestión de usuarios y consulta la lista de usuarios por API.
 Resultado esperado: El menú no muestra el enlace a usuarios. La página muestra «acceso no disponible» y la API responde 403 con el código RBAC_ACCION_DENEGADA.</t>
  </si>
  <si>
    <t>tests/e2e/src/specs/org/corporate-areas.spec.ts:88</t>
  </si>
  <si>
    <t>US-15</t>
  </si>
  <si>
    <t>CP-ORG-05</t>
  </si>
  <si>
    <t>CP-USER-06</t>
  </si>
  <si>
    <t>US-15 Asignar administrador de área</t>
  </si>
  <si>
    <t>• CA 03.2: la persona elegida debe ser un usuario activo</t>
  </si>
  <si>
    <t>El rol de administrador global no se puede asignar desde la plataforma
 Precondición: Usuario creado por API y administrador con sesión iniciada.
 Acción: Mediante API, el administrador intenta asignar al usuario el rol de administrador de sistema a nivel global.
 Resultado esperado: La API responde 422 con el código ROL_ADMIN_GLOBAL_NO_ASIGNABLE y el usuario no tiene ese rol asignado.</t>
  </si>
  <si>
    <t>Jefatura de área solo asignable a usuarios activos
 Precondición: Área de prueba y un usuario de Operaciones desactivado.
 Acción: El administrador abre 'Gestionar usuarios' del área y luego la API intenta asignar como jefe al usuario desactivado.
 Resultado esperado: Se verifica que el usuario desactivado no aparece entre los candidatos (sí aparece un revisor activo) y que la API responde 422 al rechazar la asignación.</t>
  </si>
  <si>
    <t>tests/e2e/src/specs/org/area-audit-and-names.spec.ts:74</t>
  </si>
  <si>
    <t>US-04</t>
  </si>
  <si>
    <t>CA 04.1</t>
  </si>
  <si>
    <t>CP-DOC-01</t>
  </si>
  <si>
    <t>US-04 Registrar documento sin planilla (Emisor)</t>
  </si>
  <si>
    <t>CA 03.3
CA 03.4
CA 03.5</t>
  </si>
  <si>
    <t>• CA 04.1: se deben poder adjuntar documentos en formato .doc, .docx y .pdf</t>
  </si>
  <si>
    <t>CP-ORG-06</t>
  </si>
  <si>
    <t>Formatos .doc, .docx y .pdf permitidos; .xlsx y .exe rechazados
 Precondición: Colaborador de Operaciones autenticado, en Nueva solicitud con el flujo base seleccionado.
 Acción: Registra una solicitud con cada formato permitido (.doc, .docx y .pdf) y luego intenta adjuntar un .xlsx y un .exe.
 Resultado esperado: Los tres formatos permitidos se registran con confirmación y correlativo. Los archivos .xlsx y .exe muestran el mensaje de formato no permitido, no se pueden enviar y no quedan registrados (verificado por API).</t>
  </si>
  <si>
    <t>• CA 03.3: debe quedar claro qué área administra cada persona
 • CA 03.4: se debe poder cambiar al administrador de un área cuando sea necesario
 • CA 03.5: el cambio debe quedar registrado</t>
  </si>
  <si>
    <t>Cambio de jefatura de área queda registrado en auditoría
 Precondición: Área de prueba recién creada, sin jefatura asignada.
 Acción: El administrador asigna un jefe, le quita la jefatura, asigna a otra persona como jefe y recarga la vista.
 Resultado esperado: Se verifica en la auditoría dos asignaciones de jefatura y una remoción sobre el área, y que tras recargar el nuevo jefe aparece como 'Jefe de área' y el anterior como 'Miembro'.</t>
  </si>
  <si>
    <t>CA 04.2</t>
  </si>
  <si>
    <t>CP-DOC-02</t>
  </si>
  <si>
    <t>• CA 04.2: antes de enviar, los campos obligatorios deben estar completos</t>
  </si>
  <si>
    <t>Error 400 y validación de campos obligatorios faltantes (UI y API)
 Precondición: Colaborador de Operaciones autenticado, en Nueva solicitud con el flujo base seleccionado.
 Acción: Intenta enviar sin título, luego con título pero sin archivo, y después envía una solicitud por API sin título.
 Resultado esperado: La interfaz muestra el mensaje de campo obligatorio que corresponde en cada caso y la API responde 400 (SOLICITUD_DATOS_INVALIDOS).</t>
  </si>
  <si>
    <t>tests/e2e/src/specs/org/area-audit-and-names.spec.ts:103</t>
  </si>
  <si>
    <t>CA 04.3
CA 04.4</t>
  </si>
  <si>
    <t>US-16</t>
  </si>
  <si>
    <t>CP-DOC-03</t>
  </si>
  <si>
    <t>CP-ORG-07</t>
  </si>
  <si>
    <t>• CA 04.3: después de registrarlo, el documento debe aparecer entre las solicitudes del emisor
 • CA 04.4: el emisor debe poder ver el estado actual del documento</t>
  </si>
  <si>
    <t>US-16 Vincular usuarios con sus áreas</t>
  </si>
  <si>
    <t>Solicitud registrada aparece de inmediato en la vista del emisor con su estado
 Precondición: Colaborador de Operaciones con Nueva solicitud abierta, flujo base seleccionado y un PDF cargado.
 Acción: Registra la solicitud y luego abre la lista de solicitudes creadas por el emisor.
 Resultado esperado: La solicitud aparece en la lista con su título y con estado Pendiente de revisión.</t>
  </si>
  <si>
    <t>• CA 04.1: el usuario y el área deben existir antes de realizar la asignación</t>
  </si>
  <si>
    <t>Área inactiva no se asigna a usuarios y usuario inexistente responde 404
 Precondición: Área desactivada por API y usuario existente de Operaciones creado por API.
 Acción: El administrador revisa el selector de área de alta de usuario. Luego intenta asignar el área desactivada a un usuario existente y actualizar un usuario con un identificador inexistente, ambos por API.
 Resultado esperado: El área desactivada no aparece en el selector, mientras Finanzas sí. La asignación del área inactiva responde 409 con el código de área inactiva y la actualización del usuario inexistente responde 404 con RECURSO_NO_ENCONTRADO.</t>
  </si>
  <si>
    <t>tests/e2e/src/specs/org/corporate-areas.spec.ts:136</t>
  </si>
  <si>
    <t>CA 04.5</t>
  </si>
  <si>
    <t>CP-DOC-04</t>
  </si>
  <si>
    <t>• CA 04.5: al registrarlo correctamente, se debe mostrar una confirmación</t>
  </si>
  <si>
    <t>Registro exitoso muestra confirmación visual y correlativo
 Precondición: Colaborador de Operaciones con Nueva solicitud abierta, flujo base seleccionado, título, descripción y un PDF cargado.
 Acción: Envía la solicitud.
 Resultado esperado: Aparece el mensaje de confirmación exacto de registro y un correlativo con formato válido.</t>
  </si>
  <si>
    <t>CA 04.2
CA 04.3
CA 04.4
CA 04.5</t>
  </si>
  <si>
    <t>CP-ORG-08</t>
  </si>
  <si>
    <t>• CA 04.2: se debe poder elegir el área a la que pertenece un usuario
 • CA 04.3: el área asignada debe aparecer en la información del usuario
 • CA 04.4: se debe poder cambiar de área a un usuario cuando sea necesario
 • CA 04.5: el cambio debe quedar registrado</t>
  </si>
  <si>
    <t>Cambio de área de un usuario desde su creación hasta la auditoría
 Precondición: Administrador con sesión iniciada en la sección de usuarios.
 Acción: El administrador crea un usuario eligiendo el área Operaciones y luego cambia su área a Finanzas desde la opción Editar.
 Resultado esperado: Se verifica que la fila muestra Operaciones tras crear y Finanzas tras recargar, que la consulta del usuario devuelve el área nueva y que la auditoría registra el cambio de Operaciones a Finanzas.</t>
  </si>
  <si>
    <t>US-05</t>
  </si>
  <si>
    <t>CA 05.1</t>
  </si>
  <si>
    <t>CP-REV-01</t>
  </si>
  <si>
    <t>tests/e2e/src/specs/org/area-audit-and-names.spec.ts:133</t>
  </si>
  <si>
    <t>US-05 Ver revisiones pendiente (Revisor)</t>
  </si>
  <si>
    <t>• CA 05.1: el revisor debe poder visualizar una lista de documentos pendientes de revisión</t>
  </si>
  <si>
    <t>Revisor accede a la lista de revisiones pendientes
 Precondición: Revisor de Finanzas asignado, con sesión iniciada.
 Acción: El revisor abre la sección de solicitudes por revisar en su bandeja.
 Resultado esperado: Se muestran la región de resultados de solicitudes pendientes y el encabezado Bandeja de revisión.</t>
  </si>
  <si>
    <t>US-17</t>
  </si>
  <si>
    <t>CP-FLOW-01</t>
  </si>
  <si>
    <t>US-17 Gestionar flujos</t>
  </si>
  <si>
    <t>• CA 05.1: se debe poder crear un flujo con un nombre y asociarlo a un área</t>
  </si>
  <si>
    <t>Admin crea un flujo con nombre y área; queda incompleto sin etapas
 Precondición: Administrador con sesión iniciada en Configuración de flujos.
 Acción: El administrador crea un flujo con nombre, descripción y área Finanzas, y lo busca en el listado.
 Resultado esperado: La fila muestra el área Finanzas, 0 etapas y la configuración como incompleta.</t>
  </si>
  <si>
    <t>CA 05.2
CA 05.3</t>
  </si>
  <si>
    <t>CP-REV-02</t>
  </si>
  <si>
    <t>• CA 05.2: cada documento en la lista debe mostrar información relevante: nombre, emisor, fecha y estado
 • CA 05.3: el revisor debe poder seleccionar un documento para revisar su contenido y antecedentes</t>
  </si>
  <si>
    <t>Fila de pendientes muestra datos clave y el revisor abre la solicitud
 Precondición: Solicitud de un colaborador de Finanzas con archivo PDF sembrada en el flujo de Finanzas y revisor de Finanzas con sesión iniciada.
 Acción: El revisor abre la lista de pendientes, revisa la fila de la solicitud y abre su detalle.
 Resultado esperado: La fila muestra título, nombre del archivo, nombre del emisor, fecha de creación y estado Pendiente. El detalle muestra el título y los botones Descargar, Aprobar, Pedir corrección y Rechazar.</t>
  </si>
  <si>
    <t>tests/e2e/src/specs/flow/flow-configuration.spec.ts:27</t>
  </si>
  <si>
    <t>US-17
US-18</t>
  </si>
  <si>
    <t>CA 05.2
CA 05.3
CA 06.1
CA 06.4</t>
  </si>
  <si>
    <t>CA 05.4</t>
  </si>
  <si>
    <t>CP-FLOW-02</t>
  </si>
  <si>
    <t>CP-REV-03</t>
  </si>
  <si>
    <t>US-17 Gestionar flujos
 US-18 Configurar responsables de revisión</t>
  </si>
  <si>
    <t>• CA 05.2: se deben poder definir los pasos por los que pasará una solicitud
 • CA 05.3: se debe poder indicar quién será responsable de revisar en cada paso
 • CA 06.1: se debe poder elegir quién será responsable de revisar cada etapa
 • CA 06.4: una etapa no debe quedar sin responsable si necesita revisión</t>
  </si>
  <si>
    <t>• CA 05.4: solo deben mostrarse como pendientes los documentos que requieren una revisión humana</t>
  </si>
  <si>
    <t>Admin asigna revisor a cada etapa y no guarda una etapa sin responsable
 Precondición: Flujo de Finanzas creado por API sin etapas y administrador con sesión iniciada.
 Acción: El administrador agrega una etapa con revisor asignado y una segunda etapa sin revisor, y luego le asigna revisor a la segunda y guarda las etapas.
 Resultado esperado: Mientras la segunda etapa no tiene responsable, aparece el mensaje de etapa sin responsable y el botón de guardar queda deshabilitado. Al asignarlo, la API responde 200 al guardar, el flujo muestra 2 etapas y la configuración figura como completa.</t>
  </si>
  <si>
    <t>Por revisar muestra solo las solicitudes que esperan decisión
 Precondición: Cuatro solicitudes de Finanzas creadas; tres ya decididas por el revisor (aprobada, rechazada y devuelta a corrección) y una pendiente.
 Acción: El revisor de Finanzas abre la bandeja Por revisar.
 Resultado esperado: La solicitud pendiente aparece una sola vez y las tres solicitudes ya decididas no aparecen.</t>
  </si>
  <si>
    <t>tests/e2e/src/specs/flow/flow-configuration.spec.ts:44</t>
  </si>
  <si>
    <t>US-05
US-08</t>
  </si>
  <si>
    <t>CA 05.5
CA 08.4</t>
  </si>
  <si>
    <t>CP-DEC-01</t>
  </si>
  <si>
    <t>CP-FLOW-03</t>
  </si>
  <si>
    <t>US-05 Ver revisiones pendiente (Revisor)
 US-08 Solicitar correccion a documento (Revisor)</t>
  </si>
  <si>
    <t>• CA 05.5: el sistema debe permitir aprobar, rechazar o solicitar correcciones
 • CA 08.4: la solicitud debe quedar marcada como pendiente de corrección</t>
  </si>
  <si>
    <t>Confirmación de corrección: Cancelar mantiene Pendiente; Confirmar pasa a corrección
 Precondición: Solicitud de Finanzas pendiente de revisión creada por el colaborador de Finanzas.
 Acción: El revisor cancela el diálogo de solicitud de correcciones y verifica que la solicitud sigue pendiente; luego escribe una observación y confirma.
 Resultado esperado: Tras cancelar, la solicitud sigue en pendiente de revisión. Tras confirmar, el detalle muestra Corrección requerida y el backend registra esa misma situación.</t>
  </si>
  <si>
    <t>• CA 05.4: se debe poder cambiar el orden o la configuración del flujo</t>
  </si>
  <si>
    <t>Admin cambia el orden de las etapas y el cambio persiste
 Precondición: Flujo de Finanzas con dos etapas configuradas por API y administrador con sesión iniciada.
 Acción: El administrador sube la segunda etapa a la primera posición, guarda las etapas y vuelve a abrir la configuración.
 Resultado esperado: Antes de guardar, el nuevo orden se ve en el formulario. Tras guardar (la API responde 200) y reabrir, el orden se mantiene.</t>
  </si>
  <si>
    <t>tests/e2e/src/specs/flow/flow-configuration.spec.ts:79</t>
  </si>
  <si>
    <t>US-05
US-11</t>
  </si>
  <si>
    <t>CA 05.6
CA 11.5</t>
  </si>
  <si>
    <t>CP-INV-01</t>
  </si>
  <si>
    <t>CA 05.5</t>
  </si>
  <si>
    <t>US-05 Ver revisiones pendiente (Revisor)
 US-11 Consultar historial de flujos</t>
  </si>
  <si>
    <t>CP-FLOW-04</t>
  </si>
  <si>
    <t>• CA 05.6: una vez realizada la revisión, el documento debe actualizar su estado y dejar registro inmutable en el historial
 • CA 11.5: la información del historial no debe poder modificarse (inmutable)</t>
  </si>
  <si>
    <t>Aprobación queda en el historial y el historial no admite edición
 Precondición: Solicitud pendiente de Finanzas en el flujo con revisión.
 Acción: El revisor aprueba la solicitud desde la pantalla de revisión y luego se abre el detalle con su pestaña Historial.
 Resultado esperado: El estado pasa a Aprobada y el historial muestra dos entradas: la creación y, como última, “Solicitud aprobada” con el revisor como actor. No hay botones de edición ni de eliminación en el historial.</t>
  </si>
  <si>
    <t>• CA 05.5: un flujo incompleto no debe poder utilizarse para nuevas solicitudes</t>
  </si>
  <si>
    <t>Flujo incompleto no aparece al emitir una solicitud
 Precondición: Flujo de Finanzas completo, flujo de Finanzas incompleto creados por API y colaborador de Finanzas con sesión iniciada.
 Acción: El colaborador abre el formulario de nueva solicitud y revisa las opciones del selector de flujo.
 Resultado esperado: El flujo completo aparece como opción y el flujo incompleto no aparece.</t>
  </si>
  <si>
    <t>tests/e2e/src/specs/flow/flow-configuration.spec.ts:115</t>
  </si>
  <si>
    <t>US-06
US-19</t>
  </si>
  <si>
    <t>CA 06.1
CA 07.4</t>
  </si>
  <si>
    <t>CP-REV-04</t>
  </si>
  <si>
    <t>US-06 Aprobar documento (Revisor)
 US-19 Gestionar roles y permisos</t>
  </si>
  <si>
    <t>• CA 06.1: solo el revisor asignado debe poder aprobar la solicitud
 • CA 07.4: un usuario no debe poder realizar acciones que no correspondan a su rol</t>
  </si>
  <si>
    <t>Solo el revisor asignado puede aprobar una solicitud
 Precondición: Solicitud pendiente de Finanzas en el flujo de Finanzas Lista.
 Acción: El revisor asignado ve el botón Aprobar en el detalle. Luego un auditor revisa la bandeja y el detalle e intenta aprobar por API, y un colaborador de Operaciones también intenta aprobar por API.
 Resultado esperado: El revisor asignado ve el botón Aprobar; el auditor no ve la solicitud en Por revisar y recibe 403 con código RBAC_ACCION_DENEGADA; el colaborador de Operaciones recibe 404. La solicitud sigue pendiente.</t>
  </si>
  <si>
    <t>CP-FLOW-05</t>
  </si>
  <si>
    <t>Flujo incompleto o inactivo no puede usarse y responde 409
 Precondición: Flujo de Finanzas sin etapas y otro flujo de Finanzas desactivado, creados por el administrador.
 Acción: El colaborador de Finanzas consulta por API los flujos disponibles e intenta enviar solicitudes sobre ambos flujos. Luego abre Nueva solicitud.
 Resultado esperado: Los flujos disponibles incluyen solo el flujo completo y activo. Enviar sobre el incompleto responde 409 con FLUJO_INCOMPLETO y sobre el inactivo responde 409 con FLUJO_INACTIVO; el selector de flujo de la pantalla solo ofrece el flujo completo y activo.</t>
  </si>
  <si>
    <t>tests/e2e/src/specs/flow/flow-versions-and-reviewers.spec.ts:29</t>
  </si>
  <si>
    <t>US-06
US-05</t>
  </si>
  <si>
    <t>CA 06.2
CA 05.5
CA 06.3</t>
  </si>
  <si>
    <t>CP-DEC-02</t>
  </si>
  <si>
    <t>US-06 Aprobar documento (Revisor)
 US-05 Ver revisiones pendiente (Revisor)</t>
  </si>
  <si>
    <t>• CA 06.2: antes de aprobar, se debe pedir una confirmación
 • CA 05.5: el sistema debe permitir aprobar, rechazar o solicitar correcciones
 • CA 06.3: al aprobar, la solicitud debe avanzar al siguiente estado correspondiente</t>
  </si>
  <si>
    <t>US-18</t>
  </si>
  <si>
    <t>Confirmación al aprobar: Cancelar mantiene Pendiente y Confirmar lo pasa a Aprobado
 Precondición: Solicitud de Finanzas pendiente de revisión creada por el colaborador de Finanzas.
 Acción: El revisor de Finanzas cancela el diálogo de aprobación y revisa el detalle; luego vuelve a aprobar y confirma.
 Resultado esperado: Tras cancelar, el detalle y el backend siguen en pendiente de revisión. Tras confirmar, el detalle muestra Aprobado y el backend registra la solicitud como aprobada.</t>
  </si>
  <si>
    <t>CA 06.2</t>
  </si>
  <si>
    <t>CP-FLOW-06</t>
  </si>
  <si>
    <t>US-18 Configurar responsables de revisión</t>
  </si>
  <si>
    <t>• CA 06.2: solo se deben poder seleccionar usuarios que estén disponibles en la plataforma</t>
  </si>
  <si>
    <t>Solo usuarios activos se ofrecen como revisores y asignar uno inactivo falla
 Precondición: Usuario de Finanzas creado y luego desactivado; flujo de Finanzas con solicitud en curso y un flujo con su único revisor desactivado.
 Acción: El administrador consulta por API las opciones de revisores de la etapa y revisa el selector en pantalla. Luego intenta asignar al usuario inactivo y dejar la etapa vacía, y un colaborador envía una solicitud sobre el flujo con revisor desactivado.
 Resultado esperado: Las opciones incluyen al revisor activo y no al inactivo, y el selector en pantalla tampoco lo ofrece. La asignación del inactivo responde 422 USUARIO_INACTIVO, la etapa vacía responde 422 FLUJO_ETAPA_HUERFANA y el envío sobre ese flujo responde 422 FLUJO_ETAPA_HUERFANA.</t>
  </si>
  <si>
    <t>US-06</t>
  </si>
  <si>
    <t>tests/e2e/src/specs/flow/flow-versions-and-reviewers.spec.ts:71</t>
  </si>
  <si>
    <t>CA 06.4</t>
  </si>
  <si>
    <t>CP-DEC-03</t>
  </si>
  <si>
    <t>US-06 Aprobar documento (Revisor)</t>
  </si>
  <si>
    <t>• CA 06.4: la aprobación debe quedar registrada con la fecha y el usuario que la realizó</t>
  </si>
  <si>
    <t>La aprobación queda en el historial con acción, actor y fecha exactos
 Precondición: Solicitud de Finanzas pendiente de revisión creada por el colaborador de Finanzas.
 Acción: El revisor de Finanzas aprueba la solicitud y luego abre el historial de la solicitud.
 Resultado esperado: El historial tiene dos registros y el último muestra la acción Solicitud aprobada, al revisor como actor y la fecha y hora exactas de la transición según la API.</t>
  </si>
  <si>
    <t>CA 06.3</t>
  </si>
  <si>
    <t>CP-FLOW-07</t>
  </si>
  <si>
    <t>• CA 06.3: se debe poder cambiar al responsable cuando sea necesario</t>
  </si>
  <si>
    <t>Cambiar el responsable traslada la solicitud a la nueva bandeja
 Precondición: Solicitud en curso de Finanzas visible en la bandeja Por revisar del revisor original, y una solicitud de control de ese mismo revisor.
 Acción: El administrador reemplaza al revisor original por otro en la etapa y guarda. Luego revisa la bandeja Por revisar de ambos revisores.
 Resultado esperado: Tras guardar, la solicitud aparece en la bandeja del nuevo revisor y deja de aparecer en la del original, mientras la solicitud de control sigue visible para el original.</t>
  </si>
  <si>
    <t>tests/e2e/src/specs/flow/flow-versions-and-reviewers.spec.ts:163</t>
  </si>
  <si>
    <t>US-06
US-12</t>
  </si>
  <si>
    <t>CA 06.5
CA 12.5</t>
  </si>
  <si>
    <t>CP-DEC-04</t>
  </si>
  <si>
    <t>US-06 Aprobar documento (Revisor)
 US-12 Revisar notificaciones en bandeja de entrada</t>
  </si>
  <si>
    <t>• CA 06.5: el emisor debe recibir una notificación del cambio
 • CA 12.5: las notificaciones se deben generar ante cambios importantes</t>
  </si>
  <si>
    <t>El emisor recibe notificación no leída de aprobación con el texto exacto
 Precondición: Solicitud de Finanzas pendiente de revisión creada por el colaborador de Finanzas.
 Acción: El revisor de Finanzas aprueba la solicitud y luego el emisor abre la campana de notificaciones.
 Resultado esperado: El emisor tiene una única notificación de aprobación no leída. En la campana aparece como Aprobado, con el correlativo, y su título y mensaje coinciden con los guardados.</t>
  </si>
  <si>
    <t>CA 06.5</t>
  </si>
  <si>
    <t>CP-FLOW-08</t>
  </si>
  <si>
    <t>• CA 06.5: los cambios deben quedar guardados</t>
  </si>
  <si>
    <t>Cambios de etapas y revisores persisten tras recargar y quedan auditados
 Precondición: Flujo nuevo sin solicitudes, con un revisor asignado a su etapa.
 Acción: El administrador agrega un segundo revisor a la misma etapa, guarda y recarga la página, y luego se revisa el registro de auditoría.
 Resultado esperado: La etapa queda guardada con exactamente los dos revisores, y tras recargar ambos siguen visibles. El registro de auditoría muestra un evento CONFIGURAR_ETAPAS_FLUJO del administrador sobre ese flujo.</t>
  </si>
  <si>
    <t>tests/e2e/src/specs/flow/flow-versions-and-reviewers.spec.ts:221</t>
  </si>
  <si>
    <t>US-07
US-19</t>
  </si>
  <si>
    <t>CA 07.1
CA 07.4</t>
  </si>
  <si>
    <t>CP-REV-05</t>
  </si>
  <si>
    <t>US-07 Rechazar documento (Revisor)
 US-19 Gestionar roles y permisos</t>
  </si>
  <si>
    <t>• CA 07.1: solo el revisor asignado debe poder rechazar la solicitud
 • CA 07.4: un usuario no debe poder realizar acciones que no correspondan a su rol</t>
  </si>
  <si>
    <t>Solo el revisor asignado puede rechazar una solicitud
 Precondición: Solicitud pendiente de Finanzas en el flujo de Finanzas Lista.
 Acción: El revisor asignado ve el botón Rechazar en el detalle. Luego un auditor revisa la bandeja y el detalle e intenta rechazar por API, y un colaborador de Operaciones también intenta rechazar por API.
 Resultado esperado: El revisor asignado ve el botón Rechazar; el auditor no ve la solicitud en Por revisar y recibe 403 con código RBAC_ACCION_DENEGADA; el colaborador de Operaciones recibe 404. La solicitud sigue pendiente.</t>
  </si>
  <si>
    <t>US-19</t>
  </si>
  <si>
    <t>CA 07.1</t>
  </si>
  <si>
    <t>CP-ACC-01</t>
  </si>
  <si>
    <t>US-19 Gestionar roles y permisos</t>
  </si>
  <si>
    <t>• CA 07.1: se debe poder crear y editar roles</t>
  </si>
  <si>
    <t>Administrador crea y edita un rol con persistencia tras recargar
 Precondición: Administrador con sesión iniciada en la pestaña Roles de la configuración de usuarios.
 Acción: El administrador crea un rol con el permiso de crear plantillas, lo edita cambiando nombre y descripción, recarga la página y lo busca.
 Resultado esperado: Se verifica que el rol aparece con el nombre y la descripción editados tras recargar, y que el nombre original ya no existe.</t>
  </si>
  <si>
    <t>tests/e2e/src/specs/access/roles-and-access.spec.ts:12</t>
  </si>
  <si>
    <t>US-07</t>
  </si>
  <si>
    <t>CA 07.2</t>
  </si>
  <si>
    <t>CP-FLUJO-01</t>
  </si>
  <si>
    <t>US-07 Rechazar documento (Revisor)</t>
  </si>
  <si>
    <t>• CA 07.2: debe ser obligatorio escribir el motivo del rechazo</t>
  </si>
  <si>
    <t>Rechazo de solicitud con motivo obligatorio
 Precondición: Solicitud recién registrada por el administrador, pendiente en la bandeja del revisor de Finanzas.
 Acción: El revisor intenta rechazar sin motivo, recibe el error de validación y luego rechaza escribiendo el motivo.
 Resultado esperado: Se verifica el mensaje de motivo obligatorio y, tras confirmar, el mensaje de rechazo con su detalle.</t>
  </si>
  <si>
    <t>CP-ACC-02</t>
  </si>
  <si>
    <t>• CA 07.2: cada rol debe permitir definir qué acciones puede realizar en la plataforma</t>
  </si>
  <si>
    <t>Rol asignado habilita Plantillas y oculta secciones no autorizadas
 Precondición: Usuario nuevo del área Operaciones y un rol con permisos de plantillas y solicitudes creados por el administrador.
 Acción: El administrador asigna el rol al usuario desde la pestaña Usuarios y luego ese usuario inicia sesión.
 Resultado esperado: Se verifica que la navegación muestra 'Plantillas' y no muestra 'Usuarios' ni 'Áreas'.</t>
  </si>
  <si>
    <t>US-07
US-05</t>
  </si>
  <si>
    <t>CA 07.3
CA 05.5
CA 07.4</t>
  </si>
  <si>
    <t>CP-DEC-05</t>
  </si>
  <si>
    <t>US-07 Rechazar documento (Revisor)
 US-05 Ver revisiones pendiente (Revisor)</t>
  </si>
  <si>
    <t>• CA 07.3: antes de rechazar, se debe pedir una confirmación
 • CA 05.5: el sistema debe permitir aprobar, rechazar o solicitar correcciones
 • CA 07.4: la solicitud debe quedar marcada como rechazada</t>
  </si>
  <si>
    <t>Confirmación de rechazo: Cancelar mantiene Pendiente; Confirmar rechaza la solicitud
 Precondición: Solicitud de Finanzas pendiente de revisión creada por el colaborador de Finanzas.
 Acción: El revisor cancela el diálogo de rechazo y verifica que la solicitud sigue pendiente; luego rechaza con un motivo y confirma.
 Resultado esperado: Tras cancelar, la solicitud sigue en pendiente de revisión. Tras confirmar, el detalle y el inventario muestran Rechazado y la solicitud deja de aparecer en Por revisar.</t>
  </si>
  <si>
    <t>tests/e2e/src/specs/access/roles-and-access.spec.ts:67</t>
  </si>
  <si>
    <t>CA 07.3</t>
  </si>
  <si>
    <t>CP-ACC-03</t>
  </si>
  <si>
    <t>• CA 07.3: solo los administradores deben poder cambiar los roles y permisos</t>
  </si>
  <si>
    <t>Colaborador no accede a Usuarios y sus cambios de roles responden 403
 Precondición: Colaborador de Operaciones con sesión iniciada y un rol de prueba creado por el administrador.
 Acción: El colaborador intenta abrir la página de usuarios y luego intenta crear y editar roles por API.
 Resultado esperado: Se verifica que la página muestra acceso denegado, que no ve la opción Usuarios en la barra (sí ve Solicitudes) y que la creación y la edición de roles responden 403 RBAC_ACCION_DENEGADA.</t>
  </si>
  <si>
    <t>US-07
US-12
US-05</t>
  </si>
  <si>
    <t>CA 07.5
CA 12.5
CA 05.5</t>
  </si>
  <si>
    <t>CP-DEC-06</t>
  </si>
  <si>
    <t>US-07 Rechazar documento (Revisor)
 US-12 Revisar notificaciones en bandeja de entrada
 US-05 Ver revisiones pendiente (Revisor)</t>
  </si>
  <si>
    <t>• CA 07.5: el emisor debe recibir una notificación con el motivo
 • CA 12.5: las notificaciones se deben generar ante cambios importantes
 • CA 05.5: el sistema debe permitir aprobar, rechazar o solicitar correcciones</t>
  </si>
  <si>
    <t>tests/e2e/src/specs/access/roles-and-access.spec.ts:136</t>
  </si>
  <si>
    <t>La notificación de rechazo que recibe el emisor incluye el motivo
 Precondición: Solicitud de Finanzas pendiente de revisión creada por el colaborador de Finanzas.
 Acción: El revisor de Finanzas rechaza la solicitud indicando un motivo; luego el emisor abre la campana de notificaciones.
 Resultado esperado: El emisor tiene una única notificación de rechazo no leída, que aparece como Rechazado con el correlativo y contiene el motivo ingresado.</t>
  </si>
  <si>
    <t>CA 07.4</t>
  </si>
  <si>
    <t>CP-ACC-04</t>
  </si>
  <si>
    <t>US-08
US-19</t>
  </si>
  <si>
    <t>CA 08.1
CA 07.4</t>
  </si>
  <si>
    <t>CP-REV-06</t>
  </si>
  <si>
    <t>US-08 Solicitar correccion a documento (Revisor)
 US-19 Gestionar roles y permisos</t>
  </si>
  <si>
    <t>• CA 07.4: un usuario no debe poder realizar acciones que no correspondan a su rol</t>
  </si>
  <si>
    <t>• CA 08.1: solo el revisor asignado debe poder pedir correcciones
 • CA 07.4: un usuario no debe poder realizar acciones que no correspondan a su rol</t>
  </si>
  <si>
    <t>Solo el revisor asignado puede pedir corrección
 Precondición: Solicitud pendiente de Finanzas en el flujo de Finanzas Lista.
 Acción: El revisor asignado ve el botón Pedir corrección en el detalle. Luego un auditor revisa la bandeja y el detalle e intenta pedir corrección por API, y un colaborador de Operaciones también lo intenta por API.
 Resultado esperado: El revisor asignado ve el botón Pedir corrección; el auditor no ve la solicitud en Por revisar y recibe 403 con código RBAC_ACCION_DENEGADA; el colaborador de Operaciones recibe 404. La solicitud sigue pendiente.</t>
  </si>
  <si>
    <t>US-08</t>
  </si>
  <si>
    <t>CA 08.2</t>
  </si>
  <si>
    <t>CP-FLUJO-02</t>
  </si>
  <si>
    <t>US-08 Solicitar correccion a documento (Revisor)</t>
  </si>
  <si>
    <t>• CA 08.2: debe ser obligatorio escribir al menos una observación</t>
  </si>
  <si>
    <t>Revisión con solicitud de corrección y descarga del archivo
 Precondición: Solicitud pendiente de revisión en la bandeja del revisor de Finanzas.
 Acción: El revisor descarga el archivo y pide corrección; primero lo intenta enviar sin observación y luego lo envía con una observación válida.
 Resultado esperado: Se verifica que el archivo descargado conserva su nombre, que la observación es obligatoria (muestra error) y que tras enviarla aparece la confirmación de solicitud de corrección.</t>
  </si>
  <si>
    <t>Colaborador no accede a vistas de administración ni a la API protegida
 Precondición: Colaborador de Operaciones autenticado.
 Acción: Revisa el menú lateral, navega directamente a las vistas de áreas y usuarios y consulta la lista de usuarios por API.
 Resultado esperado: El menú no tiene enlaces de configuración; las vistas muestran “acceso no disponible” y la API responde 403 (RBAC_ACCION_DENEGADA).</t>
  </si>
  <si>
    <t>tests/e2e/src/specs/access/area-isolation.spec.ts:72</t>
  </si>
  <si>
    <t>US-09
US-10
US-08</t>
  </si>
  <si>
    <t>CA 09.1
CA 09.2
CA 10.1
CA 08.3</t>
  </si>
  <si>
    <t>CP-OBS-01</t>
  </si>
  <si>
    <t>US-09 Ver observaciones del revisor (emisor)
 US-10 Corregir documento (Emisor)
 US-08 Solicitar correccion a documento (Revisor)</t>
  </si>
  <si>
    <t>• CA 09.1: las observaciones deben mostrarse dentro de la solicitud correspondiente
 • CA 09.2: el usuario debe poder identificar qué información o documento debe corregir
 • CA 10.1: el emisor debe poder ver las observaciones obligatorias del revisor
 • CA 08.3: las observaciones deben quedar visibles para el emisor</t>
  </si>
  <si>
    <t>Emisor ve la observación con el archivo vigente y su versión
 Precondición: Solicitud con archivo PDF en Corrección requerida, con una observación del revisor.
 Acción: El emisor abre la lista de corrección y selecciona la solicitud observada.
 Resultado esperado: Se verifica que la observación aparece dentro de la solicitud con el texto exacto, que el archivo vigente se identifica por su nombre y versión 1, y que el título cargado es el de la solicitud.</t>
  </si>
  <si>
    <t>CP-ACC-05</t>
  </si>
  <si>
    <t>Auditor ve la solicitud sin botones de decisión y la API de aprobar responde 403
 Precondición: Solicitud sembrada en Operaciones, con jefatura de Operaciones y auditor disponibles.
 Acción: La jefatura abre la solicitud en la bandeja y verifica que tiene el botón Aprobar. Luego el auditor abre la misma solicitud e intenta aprobarla por API.
 Resultado esperado: La jefatura ve el botón Aprobar. El auditor ve la solicitud sin botones Aprobar, Rechazar ni Pedir corrección, y la API de aprobar responde 403 con el código RBAC_ACCION_DENEGADA.</t>
  </si>
  <si>
    <t>US-09</t>
  </si>
  <si>
    <t>CA 09.3
CA 09.4</t>
  </si>
  <si>
    <t>tests/e2e/src/specs/access/jefatura-hierarchy.spec.ts:87</t>
  </si>
  <si>
    <t>CP-OBS-02</t>
  </si>
  <si>
    <t>US-09 Ver observaciones del revisor (emisor)</t>
  </si>
  <si>
    <t>• CA 09.3: las observaciones deben quedar disponibles mientras la solicitud esté pendiente de corrección
 • CA 09.4: el emisor debe poder revisar las observaciones antes de modificar la solicitud</t>
  </si>
  <si>
    <t>Observaciones siguen visibles mientras se edita y tras recargar
 Precondición: Solicitud en Corrección requerida del colaborador de Finanzas, con una observación del revisor.
 Acción: El emisor abre la solicitud, escribe en el campo de descripción de la corrección y luego recarga la página.
 Resultado esperado: Se verifica que la observación permanece visible mientras el emisor escribe y que sigue disponible tras recargar y volver a abrir la solicitud.</t>
  </si>
  <si>
    <t>US-19
US-22</t>
  </si>
  <si>
    <t>CA 07.5
CA 10.1</t>
  </si>
  <si>
    <t>CP-ACC-06</t>
  </si>
  <si>
    <t>US-19 Gestionar roles y permisos
 US-22 Consultar documentos</t>
  </si>
  <si>
    <t>• CA 07.5: los permisos de visualización deben aislar los documentos según el departamento o área corporativa del usuario
 • CA 10.1: el usuario debe ver solo los documentos que correspondan a su departamento y rol permitido</t>
  </si>
  <si>
    <t>Aislamiento entre áreas: solicitudes ajenas no visibles y respuesta 404
 Precondición: Una solicitud de Operaciones y otra de Finanzas creadas; colaboradores de ambas áreas autenticados.
 Acción: Cada colaborador revisa su inventario de solicitudes y luego intenta abrir por interfaz y por API la solicitud del otro área.
 Resultado esperado: Cada colaborador ve su solicitud y no la del otro área. La solicitud ajena muestra “solicitud no encontrada” en la interfaz y la API responde 404 (RECURSO_NO_ENCONTRADO).</t>
  </si>
  <si>
    <t>CA 09.5</t>
  </si>
  <si>
    <t>CP-OBS-03</t>
  </si>
  <si>
    <t>• CA 09.5: solo las personas con acceso a la solicitud deben poder verlas</t>
  </si>
  <si>
    <t>Observaciones visibles solo para quien tiene acceso a la solicitud
 Precondición: Solicitud en Corrección requerida del colaborador de Finanzas, con una observación del revisor.
 Acción: El emisor consulta las observaciones por API y abre la solicitud; luego el colaborador de Operaciones consulta lo mismo por API y por la URL de la solicitud.
 Resultado esperado: Se verifica que el emisor obtiene la observación (respuesta 200), que el colaborador de Operaciones recibe 404 RECURSO_NO_ENCONTRADO y que la interfaz le muestra solicitud no encontrada, sin datos de la solicitud.</t>
  </si>
  <si>
    <t>tests/e2e/src/specs/access/area-isolation.spec.ts:101</t>
  </si>
  <si>
    <t>CA 07.6
CA 10.2</t>
  </si>
  <si>
    <t>CP-ACC-07</t>
  </si>
  <si>
    <t>• CA 07.6: se debe respetar la jerarquía organizacional: una jefatura puede visualizar documentos de su equipo a cargo, pero no los de su superior directo
 • CA 10.2: se debe respetar la jerarquía organizacional: las jefaturas acceden a documentos de sus colaboradores directos pero no a los de rangos superiores</t>
  </si>
  <si>
    <t>Jefatura de área padre ve solicitudes de su subárea dependiente
 Precondición: Solicitudes sembradas en Bodega (subárea) y en Operaciones (área padre), y jefatura de Operaciones con sesión iniciada.
 Acción: La jefatura revisa el inventario con el filtro Todas, abre el detalle de la solicitud de Bodega y consulta esa solicitud por API.
 Resultado esperado: Ambas solicitudes aparecen en el inventario, el detalle muestra el título correcto y la API responde 200 con la solicitud de Bodega.</t>
  </si>
  <si>
    <t>US-10
US-08</t>
  </si>
  <si>
    <t>CA 10.1
CA 08.3</t>
  </si>
  <si>
    <t>CP-FLUJO-03</t>
  </si>
  <si>
    <t>US-10 Corregir documento (Emisor)
 US-08 Solicitar correccion a documento (Revisor)</t>
  </si>
  <si>
    <t>• CA 10.1: el emisor debe poder ver las observaciones obligatorias del revisor
 • CA 08.3: las observaciones deben quedar visibles para el emisor</t>
  </si>
  <si>
    <t>Emisor ve la observación y reenvía la solicitud corregida
 Precondición: Solicitud en Corrección requerida creada por el administrador, con una observación del revisor.
 Acción: El emisor abre la solicitud en 'Corregir', modifica la descripción, adjunta un archivo corregido y la reenvía a revisión.
 Resultado esperado: Se verifica que la observación del revisor se muestra de forma visible y que aparece la confirmación de reenvío.</t>
  </si>
  <si>
    <t>tests/e2e/src/specs/access/jefatura-hierarchy.spec.ts:10</t>
  </si>
  <si>
    <t>CP-ACC-08</t>
  </si>
  <si>
    <t>US-10</t>
  </si>
  <si>
    <t>CA 10.2</t>
  </si>
  <si>
    <t>Jefatura de subárea no ve solicitudes de su área padre
 Precondición: Solicitudes sembradas en Bodega (subárea) y en Operaciones (área padre), y jefatura de Bodega con sesión iniciada.
 Acción: La jefatura de Bodega revisa el inventario con el filtro Todas, intenta abrir por URL la solicitud de Operaciones y consulta esa solicitud por API.
 Resultado esperado: Ve su propia solicitud y no la de Operaciones. La página muestra el mensaje de solicitud no encontrada y la API responde 404 con el código RECURSO_NO_ENCONTRADO.</t>
  </si>
  <si>
    <t>CP-CORR-01</t>
  </si>
  <si>
    <t>US-10 Corregir documento (Emisor)</t>
  </si>
  <si>
    <t>• CA 10.2: solo se pueden corregir solicitudes que estén pendientes de corrección</t>
  </si>
  <si>
    <t>Solo se reenvía una solicitud en Corrección requerida
 Precondición: Dos solicitudes del mismo colaborador de Finanzas: una pendiente de revisión y otra con corrección ya solicitada.
 Acción: El emisor revisa la lista de corrección, intenta reenviar por API la solicitud pendiente y luego abre el botón de reenvío de esa solicitud tras pedirle corrección.
 Resultado esperado: Se verifica que la pendiente no aparece en la lista de corrección ni tiene botón de reenvío, que la API responde 409 TRANSICION_INVALIDA y que, tras pedir corrección, el botón de reenvío aparece.</t>
  </si>
  <si>
    <t>tests/e2e/src/specs/access/jefatura-hierarchy.spec.ts:48</t>
  </si>
  <si>
    <t>CA 07.7</t>
  </si>
  <si>
    <t>CP-ACC-09</t>
  </si>
  <si>
    <t>• CA 07.7: los cambios de permisos y roles deben quedar guardados y auditables</t>
  </si>
  <si>
    <t>CA 10.3
CA 10.5</t>
  </si>
  <si>
    <t>Auditoría registra creación, edición y asignación de un rol
 Precondición: Usuario de prueba creado por API, sin accesos asignados.
 Acción: El administrador crea un rol, lo edita y lo asigna al usuario de prueba, todo por API; al terminar revoca la asignación.
 Resultado esperado: Se verifica en la auditoría los eventos ROL_CREADO, ROL_EDITADO (con el nombre anterior y el nuevo) y ROL_ASIGNADO, asociados al id del rol y al administrador.</t>
  </si>
  <si>
    <t>CP-CORR-02</t>
  </si>
  <si>
    <t>• CA 10.3: el emisor debe poder cambiar la información o archivos necesarios
 • CA 10.5: al reenviar, la solicitud debe quedar en 'pendiente de revisión'</t>
  </si>
  <si>
    <t>Reenvío con nuevo título y archivo vuelve a Pendiente de revisión
 Precondición: Solicitud en Corrección requerida creada por el emisor de Finanzas, con una observación del revisor.
 Acción: El emisor cambia el título, la descripción y el archivo, y pulsa reenviar.
 Resultado esperado: Se verifica el mensaje de éxito y que, por API, la solicitud queda en Pendiente de revisión con el nuevo título, el nuevo archivo y versión 2 del documento.</t>
  </si>
  <si>
    <t>tests/e2e/src/specs/access/roles-and-access.spec.ts:186</t>
  </si>
  <si>
    <t>US-20</t>
  </si>
  <si>
    <t>CA 08.1
CA 08.5</t>
  </si>
  <si>
    <t>CP-SLA-01</t>
  </si>
  <si>
    <t>US-20 Configurar plazos de aprobación y alertas por tipo de documento</t>
  </si>
  <si>
    <t>• CA 08.1: se debe poder configurar un plazo máximo en días hábiles según el tipo de documento (ej. 4 días hábiles para contratos de servicios, 2 días para órdenes de compra)
 • CA 08.5: solo los administradores deben poder configurar o modificar los plazos</t>
  </si>
  <si>
    <t>CA 10.4</t>
  </si>
  <si>
    <t>Administrador define plazos SLA por tipo de documento y actualiza reglas
 Precondición: Administrador con sesión iniciada.
 Acción: Abre la matriz SLA en Configurar Flujos, crea dos reglas (4 días hábiles y 2 días hábiles) y luego cambia el plazo de la segunda a 3 días hábiles.
 Resultado esperado: Cada regla muestra su plazo en días hábiles y, tras la modificación, la segunda muestra 3 días hábiles.</t>
  </si>
  <si>
    <t>CP-CORR-03</t>
  </si>
  <si>
    <t>• CA 10.4: antes de volver a enviar, los campos obligatorios deben estar completos</t>
  </si>
  <si>
    <t>Título obligatorio vacío impide el reenvío (UI y API)
 Precondición: Solicitud en Corrección requerida creada por el emisor de Finanzas.
 Acción: El emisor borra el título en el formulario de corrección y pulsa reenviar; luego la API recibe un reenvío con el título en blanco.
 Resultado esperado: Se verifica el mensaje 'El título del documento es obligatorio.' en la interfaz y que la API responde 400 SOLICITUD_DATOS_INVALIDOS.</t>
  </si>
  <si>
    <t>tests/e2e/src/specs/flow/sla-matrix-alerts.spec.ts:50</t>
  </si>
  <si>
    <t>CP-SLA-02</t>
  </si>
  <si>
    <t>• CA 08.2: el cálculo del plazo debe iniciar al registrarse o enviarse el documento a revisión</t>
  </si>
  <si>
    <t>El plazo se calcula desde el registro en días hábiles y no cae en fin de semana
 Precondición: Regla de 4 días hábiles para Contrato de Servicios configurada en la matriz SLA.
 Acción: Registra por la interfaz un contrato de servicios con archivo adjunto y luego consulta por API la solicitud creada.
 Resultado esperado: El plazo es posterior a la fecha de creación, entre 3,8 y 6,2 días naturales después de ella, y no cae en sábado ni domingo.</t>
  </si>
  <si>
    <t>CA 10.5</t>
  </si>
  <si>
    <t>CP-CORR-04</t>
  </si>
  <si>
    <t>• CA 10.5: al reenviar, la solicitud debe quedar en 'pendiente de revisión'</t>
  </si>
  <si>
    <t>Solicitud reenviada aparece pendiente en la bandeja del revisor
 Precondición: Solicitud en Corrección requerida creada por el emisor de Finanzas.
 Acción: El emisor reenvía la solicitud corregida y luego el revisor la busca en su bandeja de revisión.
 Resultado esperado: Se verifica que la solicitud figura en estado Pendiente y que el historial tiene tres registros, siendo el último un reenvío de Corrección requerida a Pendiente de revisión.</t>
  </si>
  <si>
    <t>tests/e2e/src/specs/flow/sla-matrix-alerts.spec.ts:105</t>
  </si>
  <si>
    <t>CP-SLA-03</t>
  </si>
  <si>
    <t>El plazo se calcula al registrar y la interfaz muestra ese mismo plazo
 Precondición: Tipo de documento Memorando con plazo configurado en la matriz SLA.
 Acción: Registra un Memorando por API y luego el colaborador de Operaciones abre el detalle de la solicitud.
 Resultado esperado: El plazo devuelto por la API coincide, al minuto, con el calculado en días hábiles desde la fecha de creación, y el detalle muestra ese plazo con el formato de la matriz.</t>
  </si>
  <si>
    <t>CA 10.6</t>
  </si>
  <si>
    <t>CP-CORR-05</t>
  </si>
  <si>
    <t>• CA 10.6: el revisor debe recibir notificación para volver a revisar</t>
  </si>
  <si>
    <t>Reenvío genera una única notificación nueva no leída al revisor
 Precondición: Solicitud en Corrección requerida; las notificaciones previas del revisor sobre ella están marcadas como leídas.
 Acción: El emisor reenvía la solicitud corregida y luego el revisor abre la campana de notificaciones.
 Resultado esperado: Se verifica por API que el revisor tiene exactamente una notificación no leída de tipo reenvío para la solicitud, y que la campana muestra un único ítem no leído con la etiqueta 'Reenviado'.</t>
  </si>
  <si>
    <t>tests/e2e/src/specs/flow/sla-states.spec.ts:28</t>
  </si>
  <si>
    <t>US-11</t>
  </si>
  <si>
    <t>CA 11.1
CA 11.2</t>
  </si>
  <si>
    <t>CA 08.3</t>
  </si>
  <si>
    <t>CP-HIST-01</t>
  </si>
  <si>
    <t>CP-SLA-04</t>
  </si>
  <si>
    <t>US-11 Consultar historial de flujos</t>
  </si>
  <si>
    <t>• CA 11.1: el historial debe mostrar los cambios en orden cronológico según fecha (creación, envío o aprobación)
 • CA 11.2: cada registro debe indicar el estado (aprobado, rechazado o devuelto con observaciones), quién lo realizó y cuándo</t>
  </si>
  <si>
    <t>• CA 08.3: el sistema debe mostrar alertas visuales en la bandeja de revisiones pendientes cuando un plazo esté por vencer o vencido</t>
  </si>
  <si>
    <t>Historial en orden cronológico con estado, actor y fecha de cada registro
 Precondición: Solicitud de Finanzas con corrección, reenvío y aprobación, y otra solicitud de Finanzas rechazada.
 Acción: Consulta el historial de cada solicitud desde la interfaz del colaborador y, para la primera, también por API.
 Resultado esperado: La API entrega los registros en orden cronológico ascendente. La interfaz muestra, para cada registro, la acción, el estado, el actor y la fecha; la solicitud rechazada tiene dos registros y el último es el rechazo.</t>
  </si>
  <si>
    <t>Alertas visuales de SLA en la bandeja de revisión y en el detalle
 Precondición: Contrato de servicios recién registrado con plazo vigente, asignado al revisor.
 Acción: El revisor abre la bandeja Por revisar y luego el detalle de la solicitud.
 Resultado esperado: La fila muestra la alerta A tiempo en la columna de plazo, junto con el texto del plazo, y el detalle muestra la misma alerta A tiempo.</t>
  </si>
  <si>
    <t>tests/e2e/src/specs/flow/sla-matrix-alerts.spec.ts:163</t>
  </si>
  <si>
    <t>CP-SLA-05</t>
  </si>
  <si>
    <t>CA 11.3</t>
  </si>
  <si>
    <t>CP-HIST-02</t>
  </si>
  <si>
    <t>Alertas Por vencer y Vencido en la bandeja y en el detalle de la solicitud
 Precondición: Dos solicitudes de Finanzas en revisión: una con plazo en 12 horas y otra con plazo vencido hace un día.
 Acción: El revisor abre la bandeja Por revisar y abre el detalle de cada solicitud.
 Resultado esperado: La fila y el detalle de la solicitud con plazo próximo muestran Por vencer, y la fila y el detalle de la solicitud vencida muestran Vencido.</t>
  </si>
  <si>
    <t>• CA 11.3: las observaciones de revisores deben aparecer cuando correspondan</t>
  </si>
  <si>
    <t>La observación del revisor aparece en el historial con el texto exacto
 Precondición: Solicitud de Finanzas con corrección solicitada por el revisor, incluyendo una observación.
 Acción: Abre el historial de la solicitud desde la interfaz del colaborador.
 Resultado esperado: El registro “Corrección solicitada” muestra la observación del revisor con el texto exacto.</t>
  </si>
  <si>
    <t>tests/e2e/src/specs/flow/sla-states.spec.ts:55</t>
  </si>
  <si>
    <t>CA 11.4</t>
  </si>
  <si>
    <t>CP-HIST-03</t>
  </si>
  <si>
    <t>• CA 11.4: solo las personas con acceso a la solicitud deben poder ver su historial</t>
  </si>
  <si>
    <t>Solo quienes tienen acceso a la solicitud pueden consultar su historial
 Precondición: Solicitud de Finanzas con corrección solicitada; el colaborador de Operaciones no tiene acceso a ella.
 Acción: Consulta el historial de la solicitud por API como colaborador de Operaciones y, luego, como colaborador de Finanzas.
 Resultado esperado: Operaciones recibe 404 (RECURSO_NO_ENCONTRADO). El colaborador de Finanzas recibe 200 y ve sus dos registros.</t>
  </si>
  <si>
    <t>CA 08.4</t>
  </si>
  <si>
    <t>CP-SLA-06</t>
  </si>
  <si>
    <t>• CA 08.4: el plazo configurado debe aplicar a las decisiones de aprobación, rechazo y solicitud de correcciones</t>
  </si>
  <si>
    <t>Aprobación y corrección dentro del plazo quedan registradas como a tiempo
 Precondición: Contrato de servicios con plazo vigente en la bandeja del revisor y orden de compra registrada con plazo de 2 días hábiles.
 Acción: El revisor aprueba el contrato y pide corrección en la orden de compra; luego se consulta el historial de cada solicitud por API.
 Resultado esperado: Aparecen los mensajes de documento aprobado y corrección solicitada, y el historial de cada decisión queda registrado como dentro del plazo.</t>
  </si>
  <si>
    <t>CA 11.5</t>
  </si>
  <si>
    <t>CP-HIST-04</t>
  </si>
  <si>
    <t>• CA 11.5: la información del historial no debe poder modificarse (inmutable)</t>
  </si>
  <si>
    <t>El historial no ofrece controles para editar ni eliminar registros
 Precondición: Solicitud de Finanzas aprobada por el revisor.
 Acción: Abre el historial de la solicitud desde la interfaz del colaborador.
 Resultado esperado: El historial muestra sus dos registros y no ofrece botones “Editar” ni “Eliminar”.</t>
  </si>
  <si>
    <t>tests/e2e/src/specs/flow/sla-matrix-alerts.spec.ts:192</t>
  </si>
  <si>
    <t>US-12
US-08</t>
  </si>
  <si>
    <t>CA 12.1
CA 12.2
CA 08.5</t>
  </si>
  <si>
    <t>CP-NOTIF-01</t>
  </si>
  <si>
    <t>US-12 Revisar notificaciones en bandeja de entrada
 US-08 Solicitar correccion a documento (Revisor)</t>
  </si>
  <si>
    <t>• CA 12.1: el usuario debe ver solo sus propias notificaciones
 • CA 12.2: cada notificación indica qué ocurrió y a qué solicitud corresponde
 • CA 08.5: el emisor debe recibir una notificación</t>
  </si>
  <si>
    <t>Cada usuario ve solo sus notificaciones y cada una indica qué ocurrió y a qué solicitud
 Precondición: Solicitud de Finanzas creada por el colaborador y devuelta a corrección por el revisor.
 Acción: Cada usuario abre su campana de notificaciones y, por API, el revisor intenta marcar como leída la notificación del emisor.
 Resultado esperado: El revisor ve solo la notificación de nueva solicitud y el emisor ve la de corrección requerida no leída con el correlativo. La API responde 404 con RECURSO_NO_ENCONTRADO al revisor.</t>
  </si>
  <si>
    <t>US-12</t>
  </si>
  <si>
    <t>CA 12.3</t>
  </si>
  <si>
    <t>CP-NOTIF-02</t>
  </si>
  <si>
    <t>US-12 Revisar notificaciones en bandeja de entrada</t>
  </si>
  <si>
    <t>• CA 12.3: se debe distinguir entre notificaciones leídas y no leídas</t>
  </si>
  <si>
    <t>La campana distingue leídas de no leídas y permite marcarlas
 Precondición: Solicitud devuelta a corrección por el revisor; el emisor tiene una notificación no leída.
 Acción: El emisor abre la campana, activa el filtro No leídas y luego Todas, y marca todas las notificaciones como leídas.
 Resultado esperado: La notificación figura como no leída y el filtro activo queda marcado. Tras marcar todas, desaparecen el contador y las no leídas, el filtro No leídas muestra Todo al día y la API informa 0 no leídas.</t>
  </si>
  <si>
    <t>US-20
US-05</t>
  </si>
  <si>
    <t>CA 08.4
CA 05.5</t>
  </si>
  <si>
    <t>CP-SLA-07</t>
  </si>
  <si>
    <t>US-20 Configurar plazos de aprobación y alertas por tipo de documento
 US-05 Ver revisiones pendiente (Revisor)</t>
  </si>
  <si>
    <t>• CA 08.4: el plazo configurado debe aplicar a las decisiones de aprobación, rechazo y solicitud de correcciones
 • CA 05.5: el sistema debe permitir aprobar, rechazar o solicitar correcciones</t>
  </si>
  <si>
    <t>La decisión queda registrada como dentro o fuera del plazo según corresponda
 Precondición: Dos solicitudes de Finanzas: una con plazo en 5 días y otra con plazo vencido hace 2 días.
 Acción: El revisor aprueba la primera y rechaza la segunda con un motivo; luego se revisa el historial de ambas.
 Resultado esperado: En la base de datos la aprobación queda como dentro del plazo y el rechazo como fuera del plazo. En la interfaz el historial muestra Decisión dentro del plazo y Decisión fuera del plazo, respectivamente.</t>
  </si>
  <si>
    <t>CA 12.4</t>
  </si>
  <si>
    <t>CP-NOTIF-03</t>
  </si>
  <si>
    <t>tests/e2e/src/specs/flow/sla-states.spec.ts:95</t>
  </si>
  <si>
    <t>• CA 12.4: al seleccionar una notificación, se debe poder ir a la solicitud relacionada</t>
  </si>
  <si>
    <t>Al abrir una notificación se llega a la solicitud asociada
 Precondición: Solicitud devuelta a corrección por el revisor; el emisor tiene una notificación de esa solicitud.
 Acción: El emisor abre la campana y selecciona la notificación de la solicitud.
 Resultado esperado: La campana se cierra y la aplicación lleva a la pestaña de corrección de esa solicitud, donde se muestra el campo de título.</t>
  </si>
  <si>
    <t>CA 08.5</t>
  </si>
  <si>
    <t>CP-SLA-08</t>
  </si>
  <si>
    <t>• CA 08.5: solo los administradores deben poder configurar o modificar los plazos</t>
  </si>
  <si>
    <t>Usuario sin rol ADMIN no accede a la matriz SLA por interfaz ni por API
 Precondición: Revisor (usuario operativo sin rol ADMIN) con sesión iniciada.
 Acción: Comprueba que no existe la entrada de Configurar Flujos, intenta abrir esa pantalla por URL e invoca directamente la API de creación de reglas SLA.
 Resultado esperado: La pantalla muestra acceso no disponible y la API responde 403 con el código RBAC_ACCION_DENEGADA.</t>
  </si>
  <si>
    <t>CA 12.5</t>
  </si>
  <si>
    <t>CP-NOTIF-04</t>
  </si>
  <si>
    <t>• CA 12.5: las notificaciones se deben generar ante cambios importantes</t>
  </si>
  <si>
    <t>El revisor recibe una notificación nueva no leída al registrarse una solicitud
 Precondición: Colaborador de Finanzas con sesión iniciada y flujo de Finanzas disponible.
 Acción: Registra un documento PDF en el flujo de Finanzas y luego el revisor de Finanzas abre la campana de notificaciones.
 Resultado esperado: La confirmación muestra un correlativo y el revisor tiene una notificación nueva, no leída, de tipo Nueva solicitud asociada a ese correlativo.</t>
  </si>
  <si>
    <t>tests/e2e/src/specs/flow/sla-matrix-alerts.spec.ts:81</t>
  </si>
  <si>
    <t>US-21</t>
  </si>
  <si>
    <t>CA 09.1</t>
  </si>
  <si>
    <t>CP-INV-02</t>
  </si>
  <si>
    <t>US-21 Ver detalle de una solicitud (Emisor/Revisor)</t>
  </si>
  <si>
    <t>— (complementaria)</t>
  </si>
  <si>
    <t>• CA 09.1: la solicitud debe mostrar su información principal</t>
  </si>
  <si>
    <t>CP-AUTH-08</t>
  </si>
  <si>
    <t>Encabezado del detalle muestra los datos de la solicitud
 Precondición: Solicitud de tipo Contrato recién creada por un colaborador de Operaciones.
 Acción: El colaborador abre el detalle de su solicitud.
 Resultado esperado: El detalle muestra correlativo, título, tipo Contrato, estado Pendiente, emisor, área Operaciones y la fecha de vencimiento del plazo de revisión.</t>
  </si>
  <si>
    <t>Prueba complementaria: no está etiquetada con un criterio de aceptación oficial.</t>
  </si>
  <si>
    <t>Redirección automática al login OIDC de Keycloak con branding MasterBase
 Precondición: Usuario sin sesión iniciada.
 Acción: Abre la página de inicio de sesión de la aplicación.
 Resultado esperado: La URL pasa al login OIDC de Keycloak y la pantalla muestra el título Accede a tu cuenta, los campos de usuario y contraseña y el botón de ingreso.</t>
  </si>
  <si>
    <t>tests/e2e/src/specs/inventory/request-detail.spec.ts:16</t>
  </si>
  <si>
    <t>CA 09.2</t>
  </si>
  <si>
    <t>CP-INV-03</t>
  </si>
  <si>
    <t>CP-AUTH-09</t>
  </si>
  <si>
    <t>• CA 09.2: se deben poder ver los documentos adjuntos</t>
  </si>
  <si>
    <t>Pestaña Documentos muestra la versión 2 vigente y la versión 1 anterior
 Precondición: Solicitud de Finanzas devuelta a corrección por el revisor y reenviada por el emisor con un nuevo archivo.
 Acción: El emisor abre el detalle de la solicitud y entra a la pestaña Documentos.
 Resultado esperado: La tarjeta principal muestra el documento vigente como Versión 2, y la lista muestra la Versión 2 como Vigente y la Versión 1 como Versión anterior.</t>
  </si>
  <si>
    <t>Error visible ante credenciales inválidas en el login
 Precondición: Usuario sin sesión iniciada en la pantalla de login de Keycloak.
 Acción: Ingresa un usuario inexistente y una clave incorrecta, y envía el formulario.
 Resultado esperado: Keycloak muestra el mensaje de credenciales inválidas.</t>
  </si>
  <si>
    <t>tests/e2e/src/specs/inventory/request-detail.spec.ts:44</t>
  </si>
  <si>
    <t>CP-USER-07</t>
  </si>
  <si>
    <t>CA 09.3</t>
  </si>
  <si>
    <t>CP-INV-04</t>
  </si>
  <si>
    <t>Admin desactiva y reactiva un usuario
 Precondición: Usuario activo creado por API y administrador con sesión iniciada en Gestión de usuarios.
 Acción: El administrador desactiva el usuario desde la interfaz y luego lo vuelve a activar.
 Resultado esperado: El estado de la fila cambia a Inactivo y después vuelve a Activo.</t>
  </si>
  <si>
    <t>• CA 09.3: se debe mostrar el estado actual de la solicitud</t>
  </si>
  <si>
    <t>Estado y etapa actual del detalle coinciden para emisor y revisor
 Precondición: Solicitud pendiente en el flujo base de Operaciones.
 Acción: El emisor y luego el jefe de Operaciones, que es el revisor real del flujo, abren el detalle de la solicitud.
 Resultado esperado: En ambas sesiones el estado se muestra como Pendiente y la etapa actual muestra el mismo nombre que devuelve el detalle por API.</t>
  </si>
  <si>
    <t>tests/e2e/src/specs/inventory/request-detail.spec.ts:99</t>
  </si>
  <si>
    <t>CP-USER-08</t>
  </si>
  <si>
    <t>Validación de contraseñas distintas al crear usuario
 Precondición: Administrador con sesión iniciada en Gestión de usuarios.
 Acción: El administrador abre el formulario de nuevo usuario, completa los datos con contraseña y confirmación distintas, y envía el formulario.
 Resultado esperado: El formulario sigue abierto y muestra el mensaje «Las contraseñas no coinciden». Al cancelar, el formulario se cierra.</t>
  </si>
  <si>
    <t>CA 09.4</t>
  </si>
  <si>
    <t>CP-INV-05</t>
  </si>
  <si>
    <t>• CA 09.4: se deben mostrar las observaciones cuando existan</t>
  </si>
  <si>
    <t>Observaciones de revisión muestran texto exacto, autor y fecha
 Precondición: Solicitud de Finanzas en el flujo con revisión, a la que el revisor pidió corrección con una observación.
 Acción: El emisor abre el detalle de la solicitud y entra a la pestaña Observaciones.
 Resultado esperado: La observación aparece con el texto exacto, el nombre del revisor como autor y la fecha del día.</t>
  </si>
  <si>
    <t>tests/e2e/src/specs/inventory/request-detail.spec.ts:130</t>
  </si>
  <si>
    <t>CP-USER-09</t>
  </si>
  <si>
    <t>Admin elimina un usuario y desaparece del sistema
 Precondición: Usuario creado por API y administrador con sesión iniciada en Gestión de usuarios.
 Acción: El administrador elimina el usuario desde la interfaz.
 Resultado esperado: La fila del usuario deja de mostrarse y la API de usuarios responde 200 sin incluir esa cuenta.</t>
  </si>
  <si>
    <t>CP-INV-06</t>
  </si>
  <si>
    <t>• CA 09.5: solo las personas con acceso a la solicitud deben poder ver su detalle</t>
  </si>
  <si>
    <t>Usuario de otra área no puede ver el detalle de la solicitud
 Precondición: Solicitud de Operaciones creada por un colaborador de Operaciones.
 Acción: Un colaborador de Finanzas abre la URL del detalle de esa solicitud y luego consulta la solicitud por API.
 Resultado esperado: La pantalla muestra el mensaje de solicitud no encontrada y la API responde 404 con código RECURSO_NO_ENCONTRADO.</t>
  </si>
  <si>
    <t>tests/e2e/src/specs/inventory/request-detail.spec.ts:159</t>
  </si>
  <si>
    <t>CP-USER-10</t>
  </si>
  <si>
    <t>Acciones de gestión de usuarios quedan registradas en auditoría
 Precondición: Administrador con sesión iniciada y fecha de referencia registrada antes de las acciones.
 Acción: El administrador crea, edita, desactiva, reactiva y elimina un usuario desde la interfaz.
 Resultado esperado: Por cada acción queda un evento de auditoría (crear, actualizar, desactivar, activar y eliminar usuario) con el administrador como actor y el correo del usuario en el detalle.</t>
  </si>
  <si>
    <t>US-22</t>
  </si>
  <si>
    <t>CA 10.3</t>
  </si>
  <si>
    <t>CP-INV-07</t>
  </si>
  <si>
    <t>US-22 Consultar documentos</t>
  </si>
  <si>
    <t>• CA 10.3: se debe poder buscar documentos por información relevante</t>
  </si>
  <si>
    <t>Búsqueda por correlativo, fragmento de título y nombre de archivo
 Precondición: Tres solicitudes creadas por el colaborador de Operaciones: una con título de referencia, una con nombre de archivo propio y una tercera.
 Acción: Busca cada solicitud por fragmento de título, por nombre de archivo y por correlativo, limpiando el buscador entre una búsqueda y otra.
 Resultado esperado: En cada búsqueda aparece la solicitud correspondiente, identificada por su correlativo.</t>
  </si>
  <si>
    <t>tests/e2e/src/specs/inventory/requests-inventory.spec.ts:80</t>
  </si>
  <si>
    <t>CP-DASH-01</t>
  </si>
  <si>
    <t>Visualización del dashboard y su estructura general
 Precondición: Sesión cerrada en el sistema.
 Acción: El administrador inicia sesión y abre el dashboard.
 Resultado esperado: Se muestran el título Dashboard, el saludo de bienvenida con el nombre del administrador, los botones Nueva solicitud y Actualizar, y las pestañas Acciones pendientes y Mis solicitudes en trámite.</t>
  </si>
  <si>
    <t>CP-INV-08</t>
  </si>
  <si>
    <t>• CA 10.4: se debe poder filtrar por datos como tipo de documento, estado, área o fecha</t>
  </si>
  <si>
    <t>Filtros por tipo, estado, área y fecha, individuales y combinados
 Precondición: Cuatro solicitudes de prueba con distinto tipo, estado, área y fecha, visibles para el administrador.
 Acción: Aplica cada filtro por separado (tipo, estado, área y fecha) y luego los combina (Contrato, Pendiente de revisión, Operaciones).
 Resultado esperado: En cada caso aparece exactamente el conjunto de solicitudes esperado para ese filtro, identificado por su correlativo.</t>
  </si>
  <si>
    <t>CP-DASH-02</t>
  </si>
  <si>
    <t>tests/e2e/src/specs/inventory/requests-inventory.spec.ts:122</t>
  </si>
  <si>
    <t>Solicitud registrada aparece como acción pendiente de revisión en el dashboard
 Precondición: Administrador con sesión iniciada.
 Acción: El administrador crea una solicitud documental con flujo, título, descripción y archivo adjunto, y luego vuelve al dashboard.
 Resultado esperado: La solicitud aparece en Acciones pendientes con la etiqueta «Revisión Requerida» y el botón Revisar. En Mis solicitudes en trámite aparece como «Pendiente de revisión» con el botón de seguimiento.</t>
  </si>
  <si>
    <t>CP-INV-09</t>
  </si>
  <si>
    <t>• CA 10.5: cada resultado debe mostrar información básica del documento incluyendo su código correlativo</t>
  </si>
  <si>
    <t>Fila de resultados muestra tipo, correlativo, título, estado y fecha exactos
 Precondición: Solicitud de tipo Contrato creada por el colaborador de Operaciones.
 Acción: Busca la solicitud por su correlativo en el inventario de solicitudes.
 Resultado esperado: La fila muestra tipo Contrato, correlativo con formato CONT-NNN, título sin el tipo, estado Pendiente de revisión y la fecha de emisión exacta.</t>
  </si>
  <si>
    <t>CP-DASH-03</t>
  </si>
  <si>
    <t>tests/e2e/src/specs/inventory/requests-inventory.spec.ts:24</t>
  </si>
  <si>
    <t>Botón Revisar del dashboard abre la solicitud y permite pedir corrección
 Precondición: Solicitud pendiente de revisión creada en el caso anterior y administrador con sesión iniciada.
 Acción: Desde el dashboard, el administrador hace clic en Revisar, abre el detalle de la solicitud y pide corrección con un comentario.
 Resultado esperado: La aplicación navega a la pantalla de revisión y muestra la solicitud en la tabla. Al confirmar, aparece el mensaje de éxito.</t>
  </si>
  <si>
    <t>CP-INV-10</t>
  </si>
  <si>
    <t>• CA 10.6: al seleccionar un documento, se debe poder ver su detalle</t>
  </si>
  <si>
    <t>Ver detalle abre la solicitud seleccionada
 Precondición: Solicitud de tipo Contrato creada por el colaborador de Operaciones.
 Acción: Busca la solicitud por su correlativo y pulsa “Ver detalle” en su fila.
 Resultado esperado: Se abre la página de esa solicitud y muestra el mismo título y correlativo.</t>
  </si>
  <si>
    <t>CP-DASH-04</t>
  </si>
  <si>
    <t>tests/e2e/src/specs/inventory/requests-inventory.spec.ts:53</t>
  </si>
  <si>
    <t>Subsanación Requerida aparece en el dashboard con observación y acceso directo
 Precondición: Solicitud con corrección requerida creada en el caso anterior y administrador con sesión iniciada.
 Acción: El administrador abre el dashboard y hace clic en Subsanar en la solicitud.
 Resultado esperado: La solicitud aparece con la etiqueta «Subsanación Requerida», muestra la observación ingresada y el botón Subsanar. Al hacer clic, se abre la pantalla de corrección del documento.</t>
  </si>
  <si>
    <t>US-23</t>
  </si>
  <si>
    <t>CP-INV-11</t>
  </si>
  <si>
    <t>US-23 Consultar estado de mis solicitudes</t>
  </si>
  <si>
    <t>• CA 11.1: el usuario debe ver sus solicitudes y aquellas a las que tenga acceso
 • CA 11.2: cada solicitud debe mostrar claramente su estado actual y su código correlativo</t>
  </si>
  <si>
    <t>Pestañas Creadas y Revisadas por mí, subfiltro Mi decisión y contadores
 Precondición: Revisor de Finanzas con tres solicitudes: una creada por él y dos revisadas, una aprobada y una rechazada.
 Acción: Recorre las pestañas “Creadas por mí” y “Revisadas por mí” y activa el subfiltro “Mi decisión: Aprobé”.
 Resultado esperado: Los contadores muestran 3, 1 y 2 para Todas, Creadas y Revisadas; cada pestaña muestra solo sus solicitudes y el subfiltro deja solo la aprobada.</t>
  </si>
  <si>
    <t>—</t>
  </si>
  <si>
    <t>CP-FLUJO-04</t>
  </si>
  <si>
    <t>tests/e2e/src/specs/inventory/requests-inventory.spec.ts:217</t>
  </si>
  <si>
    <t>Registro de documento simple con archivo adjunto
 Precondición: Administrador con sesión iniciada.
 Acción: El administrador completa el formulario de nuevo documento, adjunta un archivo y lo envía a revisión.
 Resultado esperado: Se verifica que el archivo seleccionado se muestra, que aparece el mensaje de registro exitoso y que la solicitud figura en 'Solicitudes creadas' con estado Pendiente.</t>
  </si>
  <si>
    <t>CP-INV-12</t>
  </si>
  <si>
    <t>• CA 11.3: debe indicarse si está pendiente de revisión, necesita correcciones, fue aprobada o fue rechazada</t>
  </si>
  <si>
    <t>Los cuatro estados del ciclo documental se muestran con su etiqueta exacta
 Precondición: Emisor con cuatro solicitudes en estados distintos: pendiente de revisión, aprobada, rechazada y con corrección requerida.
 Acción: Abre la pestaña “Creadas por mí” y revisa el estado de cada solicitud.
 Resultado esperado: Cada solicitud muestra su etiqueta de estado exacta y la tabla contiene exactamente cuatro filas.</t>
  </si>
  <si>
    <t>CP-FLUJO-05</t>
  </si>
  <si>
    <t>tests/e2e/src/specs/inventory/requests-inventory.spec.ts:259</t>
  </si>
  <si>
    <t>Aprobación final de solicitud subsanada
 Precondición: Solicitud reenviada tras la corrección, con el archivo subsanado como versión vigente, pendiente en la bandeja del revisor.
 Acción: El revisor abre la solicitud, confirma que el archivo vigente es el subsanado y la aprueba.
 Resultado esperado: Se verifica que aparece el mensaje de aprobación y que, por API, el estado de la solicitud es APROBADO.</t>
  </si>
  <si>
    <t>CA 11.4
CA 11.5</t>
  </si>
  <si>
    <t>CP-FLUJO-07</t>
  </si>
  <si>
    <t>• CA 11.4: al seleccionar una solicitud, se debe poder ver su detalle e historial inmutable
 • CA 11.5: los cambios de estado deben verse reflejados en la consulta</t>
  </si>
  <si>
    <t>Historial cronológico de la solicitud aprobada
 Precondición: Solicitud aprobada tras su creación, una corrección solicitada y un reenvío.
 Acción: El administrador abre el detalle de la solicitud aprobada y consulta su pestaña Historial.
 Resultado esperado: Se verifica que el detalle muestra estado Aprobada y que la línea de tiempo lista, en orden, las acciones: creada, corrección solicitada, reenviada y aprobada.</t>
  </si>
  <si>
    <t>tests/e2e/src/specs/flow/simple-request-flow.spec.ts:299</t>
  </si>
  <si>
    <t>CP-FLUJO-06</t>
  </si>
  <si>
    <t>Inbox de notificaciones in-app y marcado como leídas
 Precondición: Administrador con notificaciones generadas por el flujo anterior.
 Acción: El administrador abre el panel de notificaciones desde la campana y pulsa 'Marcar todas leídas'.
 Resultado esperado: Se verifica que el panel muestra notificaciones y que, al marcarlas, el indicador de no leídas desaparece.</t>
  </si>
  <si>
    <t>US-24
US-19</t>
  </si>
  <si>
    <t>CA 12.1
CA 07.4</t>
  </si>
  <si>
    <t>CP-ACC-10</t>
  </si>
  <si>
    <t>US-24 Descargar documentos
 US-19 Gestionar roles y permisos</t>
  </si>
  <si>
    <t>• CA 12.1: solo se deben poder descargar documentos a los que el usuario tenga acceso
 • CA 07.4: un usuario no debe poder realizar acciones que no correspondan a su rol</t>
  </si>
  <si>
    <t>Control de acceso a descargas según los permisos del usuario
 Precondición: Documento PDF registrado por un colaborador de Operaciones; existen un usuario sin acceso a la solicitud, un lector sin permiso de descarga y un lector con permiso de descarga.
 Acción: Consulta la descarga por API con el usuario sin acceso; el lector sin permiso revisa la pestaña Documentos y consulta la descarga por API; el lector con permiso revisa la pestaña y descarga.
 Resultado esperado: El usuario sin acceso recibe 404 con RECURSO_NO_ENCONTRADO. El lector sin permiso ve el mensaje de descarga denegada, no tiene botón de descarga y recibe 403 con DOCUMENTO_DESCARGA_DENEGADA. El lector con permiso ve el botón y la API responde 200.</t>
  </si>
  <si>
    <t>tests/e2e/src/specs/access/download-access.spec.ts:65</t>
  </si>
  <si>
    <t>CP-REV-07</t>
  </si>
  <si>
    <t>Filtro de revisiones pendientes por nombre de archivo
 Precondición: Solicitud con archivo PDF de nombre único sembrada en el flujo de Finanzas y revisor de Finanzas con sesión iniciada.
 Acción: El revisor abre los filtros y escribe el nombre exacto del archivo, luego un nombre inexistente y por último borra el filtro.
 Resultado esperado: Con el nombre exacto la solicitud aparece en la lista. Con un nombre inexistente desaparece y se muestra el estado vacío. Al limpiar el filtro vuelve a aparecer.</t>
  </si>
  <si>
    <t>US-24</t>
  </si>
  <si>
    <t>CA 12.2
CA 12.3</t>
  </si>
  <si>
    <t>CP-ACC-11</t>
  </si>
  <si>
    <t>US-24 Descargar documentos</t>
  </si>
  <si>
    <t>• CA 12.2: el archivo descargado debe mantener su contenido y formato
 • CA 12.3: el nombre del archivo debe conservarse cuando sea posible</t>
  </si>
  <si>
    <t>Auditor descarga el documento con integridad y nombre de archivo intactos
 Precondición: Documento PDF registrado por un colaborador de Operaciones; el auditor tiene acceso a la solicitud.
 Acción: El auditor abre la pestaña Documentos de la solicitud y descarga el documento vigente con el botón de descarga.
 Resultado esperado: La respuesta del servidor es de tipo application/pdf, el nombre sugerido coincide con el nombre original y el SHA-256 del archivo descargado es idéntico al del archivo cargado.</t>
  </si>
  <si>
    <t>tests/e2e/src/specs/access/download-access.spec.ts:13</t>
  </si>
  <si>
    <t>CP-REV-08</t>
  </si>
  <si>
    <t>Filtro de revisiones pendientes por emisor y limpieza de filtros
 Precondición: Solicitud sembrada de un colaborador de Finanzas y revisor de Finanzas con sesión iniciada.
 Acción: El revisor abre los filtros y escribe el correo del emisor, luego un correo inexistente y por último usa el botón Limpiar filtros.
 Resultado esperado: Con el correo del emisor la solicitud aparece. Con un correo sin solicitudes pendientes se muestra el estado vacío. Al usar Limpiar filtros la solicitud vuelve a aparecer.</t>
  </si>
  <si>
    <t>CP-ACC-12</t>
  </si>
  <si>
    <t>• CA 12.4: si el archivo no está disponible, se debe mostrar un mensaje al usuario</t>
  </si>
  <si>
    <t>Documento no disponible en el almacenamiento muestra un aviso en la interfaz
 Precondición: Documento registrado por el administrador; la descarga responde 404 por no encontrarse el archivo (respuesta simulada).
 Acción: El administrador abre la pestaña Documentos y pulsa el botón de descarga.
 Resultado esperado: Aparece un aviso de archivo no disponible con el texto exacto definido por la aplicación.</t>
  </si>
  <si>
    <t>tests/e2e/src/specs/access/download-access.spec.ts:109</t>
  </si>
  <si>
    <t>US-25</t>
  </si>
  <si>
    <t>CA 13.1
CA 13.2</t>
  </si>
  <si>
    <t>CP-PASS-01</t>
  </si>
  <si>
    <t>US-25 Cambiar Contraseña</t>
  </si>
  <si>
    <t>• CA 13.1: El usuario debe ingresar su contraseña actual antes de realizar el cambio.
 • CA 13.2: El usuario debe ingresar una nueva contraseña y confirmarla.</t>
  </si>
  <si>
    <t>Cambio de contraseña exige clave actual, nueva contraseña y confirmación
 Precondición: Revisor autenticado en la plataforma con su contraseña vigente.
 Acción: El usuario envía el formulario vacío y luego completa solo la clave actual y vuelve a enviar.
 Resultado esperado: Se muestran los mensajes de obligatoriedad de la clave actual, la nueva contraseña y la confirmación, y el foco queda en la clave actual. Al completar la clave actual, siguen exigidos la nueva contraseña y su confirmación.</t>
  </si>
  <si>
    <t>tests/e2e/src/specs/auth/change-password.spec.ts:112</t>
  </si>
  <si>
    <t>CA 13.3</t>
  </si>
  <si>
    <t>CP-PASS-02</t>
  </si>
  <si>
    <t>• CA 13.3: Si la contraseña actual es incorrecta, mostrar el mensaje: “La contraseña actual es incorrecta, inténtelo nuevamente.”</t>
  </si>
  <si>
    <t>Clave actual incorrecta muestra el mensaje exacto de rechazo
 Precondición: Revisor autenticado en el formulario de cambio de contraseña.
 Acción: El usuario envía el cambio con una clave actual errónea y una nueva contraseña válida y confirmada.
 Resultado esperado: La API responde 400 con código CURRENT_PASSWORD_INVALID y el campo de clave actual muestra “La contraseña actual es incorrecta, inténtelo nuevamente.”</t>
  </si>
  <si>
    <t>tests/e2e/src/specs/auth/change-password.spec.ts:139</t>
  </si>
  <si>
    <t>CA 13.4</t>
  </si>
  <si>
    <t>CP-PASS-03</t>
  </si>
  <si>
    <t>• CA 13.4: La nueva contraseña debe cumplir con los requisitos mínimos de seguridad establecidos por el sistema.</t>
  </si>
  <si>
    <t>Nueva contraseña debe cumplir la política de seguridad vigente
 Precondición: Revisor autenticado en el formulario de cambio de contraseña, con la política vigente consultada al sistema.
 Acción: El usuario intenta guardar varias contraseñas nuevas que incumplen las reglas que exige la política vigente.
 Resultado esperado: La lista de reglas muestra el largo mínimo vigente y cada candidata débil se rechaza con el mensaje “La nueva contraseña no cumple los requisitos de seguridad.”</t>
  </si>
  <si>
    <t>tests/e2e/src/specs/auth/change-password.spec.ts:172</t>
  </si>
  <si>
    <t>CA 13.5</t>
  </si>
  <si>
    <t>CP-PASS-04</t>
  </si>
  <si>
    <t>• CA 13.5: Si las contraseñas nuevas no coinciden, mostrar un mensaje indicando que las contraseñas no coinciden.</t>
  </si>
  <si>
    <t>Contraseñas nuevas distintas muestran mensaje de discrepancia
 Precondición: Revisor autenticado en el formulario de cambio de contraseña.
 Acción: El usuario ingresa una nueva contraseña y una confirmación distinta, y envía el formulario.
 Resultado esperado: Se muestra el mensaje “Las contraseñas no coinciden.” bajo el campo de confirmación.</t>
  </si>
  <si>
    <t>tests/e2e/src/specs/auth/change-password.spec.ts:203</t>
  </si>
  <si>
    <t>CA 13.6</t>
  </si>
  <si>
    <t>CP-PASS-05</t>
  </si>
  <si>
    <t>• CA 13.6: Al cambiar correctamente la contraseña, mostrar un mensaje de confirmación y permitir al usuario continuar utilizando el sistema.</t>
  </si>
  <si>
    <t>Cambio exitoso muestra confirmación y permite continuar en la plataforma
 Precondición: Revisor autenticado con su contraseña actual vigente.
 Acción: El usuario ingresa la clave actual, la nueva contraseña y su confirmación, y envía el formulario. Luego usa el enlace para continuar.
 Resultado esperado: La API responde 200 con el mensaje “Contraseña actualizada exitosamente”, el formulario desaparece y el enlace “Continuar a la plataforma” lleva al panel principal.</t>
  </si>
  <si>
    <t>tests/e2e/src/specs/auth/change-password.spec.ts:224</t>
  </si>
  <si>
    <t>US-26</t>
  </si>
  <si>
    <t>CA 14.1</t>
  </si>
  <si>
    <t>CP-DASH-05</t>
  </si>
  <si>
    <t>US-26 Ver resumen general de solicitudes</t>
  </si>
  <si>
    <t>• CA 14.1: se debe mostrar la cantidad de solicitudes pendientes, aprobadas, rechazadas y en corrección</t>
  </si>
  <si>
    <t>Totales del dashboard exactos al filtrar por área
 Precondición: Área de prueba con 5 solicitudes sembradas: 2 pendientes, 1 aprobada, 1 rechazada y 1 en corrección.
 Acción: El administrador abre el inicio y filtra el resumen por el área de prueba.
 Resultado esperado: Se verifica que las tarjetas muestran 2 pendientes, 1 aprobada, 1 rechazada y 1 en corrección, y que el alcance indica 5 solicitudes.</t>
  </si>
  <si>
    <t>tests/e2e/src/specs/flow/dashboard-general-summary.spec.ts:77</t>
  </si>
  <si>
    <t>CA 14.2
CA 14.5</t>
  </si>
  <si>
    <t>CP-DASH-06</t>
  </si>
  <si>
    <t>• CA 14.2: se debe poder ver información general por área cuando corresponda
 • CA 14.5: el resumen debe ser claro y fácil de entender</t>
  </si>
  <si>
    <t>Desglose por área coincide con los datos sembrados y etiquetas claras
 Precondición: Área de prueba con 5 solicitudes sembradas: 2 pendientes, 1 aprobada, 1 rechazada y 1 en corrección.
 Acción: El administrador abre el inicio, filtra por el área de prueba y revisa el desglose por área.
 Resultado esperado: Se verifica que las etiquetas de tarjetas y columnas son las esperadas y que la fila del área muestra 2 pendientes, 1 aprobada, 1 rechazada, 1 en corrección y total 5.</t>
  </si>
  <si>
    <t>tests/e2e/src/specs/flow/dashboard-general-summary.spec.ts:106</t>
  </si>
  <si>
    <t>CA 14.3</t>
  </si>
  <si>
    <t>CP-DASH-07</t>
  </si>
  <si>
    <t>• CA 14.3: la información debe actualizarse según los cambios de las solicitudes</t>
  </si>
  <si>
    <t>Botón Actualizar refleja cambios de estado de las solicitudes
 Precondición: Área de prueba con 2 pendientes y 1 aprobada visibles en el dashboard filtrado.
 Acción: Con el dashboard abierto, otra sesión aprueba una pendiente por API y el administrador pulsa Actualizar.
 Resultado esperado: Se verifica que el contador de pendientes pasa de 2 a 1 y el de aprobadas de 1 a 2.</t>
  </si>
  <si>
    <t>tests/e2e/src/specs/flow/dashboard-general-summary.spec.ts:146</t>
  </si>
  <si>
    <t>CA 14.4</t>
  </si>
  <si>
    <t>CP-ACC-13</t>
  </si>
  <si>
    <t>• CA 14.4: cada usuario debe ver solo la información que tenga permitido consultar</t>
  </si>
  <si>
    <t>Colaborador de Finanzas: inicio sin selector de área y total menor al del administrador
 Precondición: Colaborador de Finanzas con una solicitud propia; un emisor de Finanzas ajeno crea otra solicitud que el colaborador no debe ver.
 Acción: Abre el inicio del colaborador y consulta por API su resumen y el del administrador para Finanzas; también consulta la solicitud ajena.
 Resultado esperado: El inicio no muestra selector de área y sí la nota de alcance; la API indica que el colaborador no puede filtrar por área, ve solo Finanzas y su total es menor que el del administrador. La solicitud ajena responde 404 (RECURSO_NO_ENCONTRADO).</t>
  </si>
  <si>
    <t>tests/e2e/src/specs/access/area-isolation.spec.ts:12</t>
  </si>
  <si>
    <t>CP-DASH-08</t>
  </si>
  <si>
    <t>Colaborador de Finanzas ve solo los datos de su área en el dashboard
 Precondición: Solicitud propia creada para el colaborador de Finanzas.
 Acción: El colaborador de Finanzas abre el inicio.
 Resultado esperado: Se verifica que no aparece el selector global de área, que se muestra la nota de alcance delimitado y que el desglose contiene únicamente la fila de Finanzas.</t>
  </si>
  <si>
    <t>tests/e2e/src/specs/flow/dashboard-general-summary.spec.ts:178</t>
  </si>
  <si>
    <t>CP-PASS-06</t>
  </si>
  <si>
    <t>Tras el cambio, la clave antigua falla y la nueva permite ingresar
 Precondición: Cuenta del revisor con la contraseña ya cambiada por el caso anterior de la serie.
 Acción: Se cierra la sesión, se intenta ingresar con la clave antigua y luego con la nueva.
 Resultado esperado: La clave antigua muestra el mensaje de credenciales inválidas y la clave nueva permite ingresar al panel principal.</t>
  </si>
  <si>
    <t>tests/e2e/src/specs/auth/change-password.spec.ts:260</t>
  </si>
  <si>
    <t>CP-FLOW-09</t>
  </si>
  <si>
    <t>Revisor sin permiso de flujos no ve la configuración de flujos
 Precondición: Revisor de Finanzas sin permiso de flujos, con sesión iniciada.
 Acción: El revisor revisa el menú principal y luego intenta abrir por URL la configuración de flujos.
 Resultado esperado: El menú muestra la bandeja pero no el enlace a configuración de flujos. La página muestra «acceso no disponible».</t>
  </si>
  <si>
    <t>tests/e2e/src/specs/flow/flow-configuration.spec.ts:134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</si>
</sst>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quot;/&quot;mm&quot;/&quot;yy"/>
  </numFmts>
  <fonts count="23">
    <font>
      <sz val="12.0"/>
      <color rgb="FF000000"/>
      <name val="Arial"/>
      <scheme val="minor"/>
    </font>
    <font>
      <sz val="12.0"/>
      <color rgb="FF000000"/>
      <name val="Arial"/>
    </font>
    <font>
      <b/>
      <sz val="13.0"/>
      <color theme="1"/>
      <name val="Arial"/>
    </font>
    <font/>
    <font>
      <b/>
      <sz val="11.0"/>
      <color theme="1"/>
      <name val="Arial"/>
    </font>
    <font>
      <b/>
      <color rgb="FFFFFFFF"/>
      <name val="Arial"/>
    </font>
    <font>
      <b/>
      <sz val="24.0"/>
      <color rgb="FF000000"/>
      <name val="Arial"/>
    </font>
    <font>
      <color theme="1"/>
      <name val="Arial"/>
    </font>
    <font>
      <b/>
      <sz val="24.0"/>
      <color rgb="FF808080"/>
      <name val="Eras Md BT"/>
    </font>
    <font>
      <b/>
      <sz val="13.0"/>
      <color rgb="FF000000"/>
      <name val="NewsGotT"/>
    </font>
    <font>
      <sz val="12.0"/>
      <color rgb="FF000000"/>
      <name val="NewsGotT"/>
    </font>
    <font>
      <b/>
      <sz val="12.0"/>
      <color rgb="FF000000"/>
      <name val="Eras Md BT"/>
    </font>
    <font>
      <sz val="14.0"/>
      <color rgb="FF000000"/>
      <name val="NewsGotT"/>
    </font>
    <font>
      <sz val="10.0"/>
      <color rgb="FFFFFFFF"/>
      <name val="Arial"/>
    </font>
    <font>
      <color theme="1"/>
      <name val="Arial"/>
      <scheme val="minor"/>
    </font>
    <font>
      <b/>
      <sz val="10.0"/>
      <color rgb="FF000000"/>
      <name val="Arial"/>
    </font>
    <font>
      <b/>
      <color theme="1"/>
      <name val="Arial"/>
    </font>
    <font>
      <b/>
      <sz val="14.0"/>
      <color rgb="FF000000"/>
      <name val="Arial"/>
    </font>
    <font>
      <u/>
      <sz val="10.0"/>
      <color rgb="FF0000FF"/>
      <name val="Arial"/>
    </font>
    <font>
      <b/>
      <sz val="14.0"/>
      <color rgb="FF000000"/>
      <name val="NewsGotT"/>
    </font>
    <font>
      <u/>
      <sz val="10.0"/>
      <color rgb="FF0000FF"/>
      <name val="Arial"/>
    </font>
    <font>
      <color rgb="FF9C5700"/>
      <name val="Arial"/>
    </font>
    <font>
      <i/>
      <sz val="9.0"/>
      <color rgb="FF595959"/>
      <name val="Arial"/>
    </font>
  </fonts>
  <fills count="10">
    <fill>
      <patternFill patternType="none"/>
    </fill>
    <fill>
      <patternFill patternType="lightGray"/>
    </fill>
    <fill>
      <patternFill patternType="solid">
        <fgColor rgb="FF1F4E78"/>
        <bgColor rgb="FF1F4E78"/>
      </patternFill>
    </fill>
    <fill>
      <patternFill patternType="solid">
        <fgColor rgb="FFCCCCCC"/>
        <bgColor rgb="FFCCCCCC"/>
      </patternFill>
    </fill>
    <fill>
      <patternFill patternType="solid">
        <fgColor rgb="FFB6D7A8"/>
        <bgColor rgb="FFB6D7A8"/>
      </patternFill>
    </fill>
    <fill>
      <patternFill patternType="solid">
        <fgColor rgb="FFF4CCCC"/>
        <bgColor rgb="FFF4CCCC"/>
      </patternFill>
    </fill>
    <fill>
      <patternFill patternType="solid">
        <fgColor rgb="FFE6E6E6"/>
        <bgColor rgb="FFE6E6E6"/>
      </patternFill>
    </fill>
    <fill>
      <patternFill patternType="solid">
        <fgColor rgb="FFD9D9D9"/>
        <bgColor rgb="FFD9D9D9"/>
      </patternFill>
    </fill>
    <fill>
      <patternFill patternType="solid">
        <fgColor rgb="FFFFFFFF"/>
        <bgColor rgb="FFFFFFFF"/>
      </patternFill>
    </fill>
    <fill>
      <patternFill patternType="solid">
        <fgColor rgb="FFFFEB9C"/>
        <bgColor rgb="FFFFEB9C"/>
      </patternFill>
    </fill>
  </fills>
  <borders count="42">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BFBFBF"/>
      </left>
      <right style="thin">
        <color rgb="FFBFBFBF"/>
      </right>
      <top style="thin">
        <color rgb="FFBFBFBF"/>
      </top>
      <bottom style="thin">
        <color rgb="FFBFBFBF"/>
      </bottom>
    </border>
    <border>
      <left style="double">
        <color rgb="FF999999"/>
      </left>
      <right style="double">
        <color rgb="FF999999"/>
      </right>
      <top style="double">
        <color rgb="FF999999"/>
      </top>
      <bottom style="thin">
        <color rgb="FF999999"/>
      </bottom>
    </border>
    <border>
      <left style="double">
        <color rgb="FF999999"/>
      </left>
      <top style="double">
        <color rgb="FF999999"/>
      </top>
      <bottom style="thin">
        <color rgb="FF999999"/>
      </bottom>
    </border>
    <border>
      <top style="double">
        <color rgb="FF999999"/>
      </top>
      <bottom style="thin">
        <color rgb="FF999999"/>
      </bottom>
    </border>
    <border>
      <right style="double">
        <color rgb="FF999999"/>
      </right>
      <top style="double">
        <color rgb="FF999999"/>
      </top>
      <bottom style="thin">
        <color rgb="FF999999"/>
      </bottom>
    </border>
    <border>
      <left style="double">
        <color rgb="FF999999"/>
      </left>
      <right style="double">
        <color rgb="FF999999"/>
      </right>
      <top style="thin">
        <color rgb="FF999999"/>
      </top>
      <bottom style="thin">
        <color rgb="FF999999"/>
      </bottom>
    </border>
    <border>
      <left style="double">
        <color rgb="FF999999"/>
      </left>
      <top style="thin">
        <color rgb="FF999999"/>
      </top>
      <bottom style="thin">
        <color rgb="FF999999"/>
      </bottom>
    </border>
    <border>
      <top style="thin">
        <color rgb="FF999999"/>
      </top>
      <bottom style="thin">
        <color rgb="FF999999"/>
      </bottom>
    </border>
    <border>
      <right style="double">
        <color rgb="FF999999"/>
      </right>
      <top style="thin">
        <color rgb="FF999999"/>
      </top>
      <bottom style="thin">
        <color rgb="FF999999"/>
      </bottom>
    </border>
    <border>
      <left style="double">
        <color rgb="FF999999"/>
      </left>
      <top style="thin">
        <color rgb="FF999999"/>
      </top>
    </border>
    <border>
      <top style="thin">
        <color rgb="FF999999"/>
      </top>
    </border>
    <border>
      <right style="double">
        <color rgb="FF999999"/>
      </right>
      <top style="thin">
        <color rgb="FF999999"/>
      </top>
    </border>
    <border>
      <left style="thin">
        <color rgb="FF999999"/>
      </left>
      <right style="double">
        <color rgb="FF999999"/>
      </right>
      <top style="thin">
        <color rgb="FF999999"/>
      </top>
      <bottom style="thin">
        <color rgb="FF999999"/>
      </bottom>
    </border>
    <border>
      <left style="double">
        <color rgb="FF999999"/>
      </left>
      <right style="double">
        <color rgb="FF999999"/>
      </right>
      <top style="thin">
        <color rgb="FF999999"/>
      </top>
      <bottom style="double">
        <color rgb="FF999999"/>
      </bottom>
    </border>
    <border>
      <left style="double">
        <color rgb="FF999999"/>
      </left>
      <top style="thin">
        <color rgb="FF999999"/>
      </top>
      <bottom style="double">
        <color rgb="FF999999"/>
      </bottom>
    </border>
    <border>
      <right style="double">
        <color rgb="FF999999"/>
      </right>
      <top style="thin">
        <color rgb="FF999999"/>
      </top>
      <bottom style="double">
        <color rgb="FF999999"/>
      </bottom>
    </border>
    <border>
      <left style="thin">
        <color rgb="FF999999"/>
      </left>
      <right style="double">
        <color rgb="FF999999"/>
      </right>
      <top style="thin">
        <color rgb="FF999999"/>
      </top>
      <bottom style="double">
        <color rgb="FF999999"/>
      </bottom>
    </border>
    <border>
      <left style="double">
        <color rgb="FF999999"/>
      </left>
      <right style="thin">
        <color rgb="FF999999"/>
      </right>
      <top style="double">
        <color rgb="FF999999"/>
      </top>
      <bottom style="double">
        <color rgb="FF999999"/>
      </bottom>
    </border>
    <border>
      <left style="thin">
        <color rgb="FF999999"/>
      </left>
      <right style="thin">
        <color rgb="FF999999"/>
      </right>
      <top style="double">
        <color rgb="FF999999"/>
      </top>
      <bottom style="double">
        <color rgb="FF999999"/>
      </bottom>
    </border>
    <border>
      <left style="thin">
        <color rgb="FF999999"/>
      </left>
      <top style="double">
        <color rgb="FF999999"/>
      </top>
      <bottom style="double">
        <color rgb="FF999999"/>
      </bottom>
    </border>
    <border>
      <right style="thin">
        <color rgb="FF999999"/>
      </right>
      <top style="double">
        <color rgb="FF999999"/>
      </top>
      <bottom style="double">
        <color rgb="FF999999"/>
      </bottom>
    </border>
    <border>
      <left style="thin">
        <color rgb="FF999999"/>
      </left>
      <right style="double">
        <color rgb="FF999999"/>
      </right>
      <top style="double">
        <color rgb="FF999999"/>
      </top>
      <bottom style="double">
        <color rgb="FF999999"/>
      </bottom>
    </border>
    <border>
      <left style="double">
        <color rgb="FF999999"/>
      </left>
      <right style="thin">
        <color rgb="FF999999"/>
      </right>
      <top style="double">
        <color rgb="FF999999"/>
      </top>
      <bottom style="thin">
        <color rgb="FF999999"/>
      </bottom>
    </border>
    <border>
      <left style="thin">
        <color rgb="FF999999"/>
      </left>
      <right style="thin">
        <color rgb="FF999999"/>
      </right>
      <top style="double">
        <color rgb="FF999999"/>
      </top>
      <bottom style="thin">
        <color rgb="FF999999"/>
      </bottom>
    </border>
    <border>
      <left style="thin">
        <color rgb="FF999999"/>
      </left>
      <top style="double">
        <color rgb="FF999999"/>
      </top>
      <bottom style="thin">
        <color rgb="FF999999"/>
      </bottom>
    </border>
    <border>
      <right style="thin">
        <color rgb="FF999999"/>
      </right>
      <top style="double">
        <color rgb="FF999999"/>
      </top>
      <bottom style="thin">
        <color rgb="FF999999"/>
      </bottom>
    </border>
    <border>
      <left style="thin">
        <color rgb="FF999999"/>
      </left>
      <right style="double">
        <color rgb="FF999999"/>
      </right>
      <top style="double">
        <color rgb="FF999999"/>
      </top>
      <bottom style="thin">
        <color rgb="FF999999"/>
      </bottom>
    </border>
    <border>
      <left style="double">
        <color rgb="FF999999"/>
      </left>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
      <left style="thin">
        <color rgb="FFFFFFFF"/>
      </left>
      <right style="thin">
        <color rgb="FFFFFFFF"/>
      </right>
      <bottom style="thin">
        <color rgb="FFFFFFFF"/>
      </bottom>
    </border>
    <border>
      <left style="double">
        <color rgb="FF999999"/>
      </left>
      <top style="double">
        <color rgb="FF999999"/>
      </top>
      <bottom style="double">
        <color rgb="FF999999"/>
      </bottom>
    </border>
    <border>
      <top style="double">
        <color rgb="FF999999"/>
      </top>
      <bottom style="double">
        <color rgb="FF999999"/>
      </bottom>
    </border>
    <border>
      <right style="double">
        <color rgb="FF999999"/>
      </right>
      <top style="double">
        <color rgb="FF999999"/>
      </top>
      <bottom style="double">
        <color rgb="FF999999"/>
      </bottom>
    </border>
    <border>
      <right style="thin">
        <color rgb="FFFFFFFF"/>
      </right>
      <top style="thin">
        <color rgb="FFFFFFFF"/>
      </top>
    </border>
    <border>
      <left/>
      <right/>
      <top/>
      <bottom/>
    </border>
  </borders>
  <cellStyleXfs count="1">
    <xf borderId="0" fillId="0" fontId="0" numFmtId="0" applyAlignment="1" applyFont="1"/>
  </cellStyleXfs>
  <cellXfs count="93">
    <xf borderId="0" fillId="0" fontId="0" numFmtId="0" xfId="0" applyAlignment="1" applyFont="1">
      <alignment readingOrder="0" shrinkToFit="0" vertical="bottom" wrapText="0"/>
    </xf>
    <xf borderId="1" fillId="0" fontId="1" numFmtId="0" xfId="0" applyBorder="1" applyFont="1"/>
    <xf borderId="0" fillId="0" fontId="1" numFmtId="0" xfId="0" applyAlignment="1" applyFont="1">
      <alignment shrinkToFit="0" vertical="bottom" wrapText="0"/>
    </xf>
    <xf borderId="0" fillId="0" fontId="2" numFmtId="0" xfId="0" applyAlignment="1" applyFont="1">
      <alignment readingOrder="0" shrinkToFit="0" vertical="bottom" wrapText="0"/>
    </xf>
    <xf borderId="0" fillId="0" fontId="1" numFmtId="0" xfId="0" applyAlignment="1" applyFont="1">
      <alignment shrinkToFit="0" vertical="bottom" wrapText="0"/>
    </xf>
    <xf borderId="2" fillId="0" fontId="1" numFmtId="0" xfId="0" applyBorder="1" applyFont="1"/>
    <xf borderId="3" fillId="0" fontId="3" numFmtId="0" xfId="0" applyBorder="1" applyFont="1"/>
    <xf borderId="0" fillId="0" fontId="4" numFmtId="0" xfId="0" applyAlignment="1" applyFont="1">
      <alignment readingOrder="0" shrinkToFit="0" vertical="bottom" wrapText="0"/>
    </xf>
    <xf borderId="4" fillId="0" fontId="3" numFmtId="0" xfId="0" applyBorder="1" applyFont="1"/>
    <xf borderId="5" fillId="2" fontId="5" numFmtId="0" xfId="0" applyAlignment="1" applyBorder="1" applyFill="1" applyFont="1">
      <alignment horizontal="center" readingOrder="0"/>
    </xf>
    <xf borderId="5" fillId="0" fontId="7" numFmtId="0" xfId="0" applyAlignment="1" applyBorder="1" applyFont="1">
      <alignment horizontal="left" readingOrder="0" shrinkToFit="0" vertical="bottom" wrapText="0"/>
    </xf>
    <xf borderId="2" fillId="0" fontId="6" numFmtId="0" xfId="0" applyAlignment="1" applyBorder="1" applyFont="1">
      <alignment horizontal="center"/>
    </xf>
    <xf borderId="2" fillId="0" fontId="8" numFmtId="0" xfId="0" applyAlignment="1" applyBorder="1" applyFont="1">
      <alignment horizontal="center" shrinkToFit="0" wrapText="1"/>
    </xf>
    <xf borderId="6" fillId="3" fontId="9" numFmtId="0" xfId="0" applyAlignment="1" applyBorder="1" applyFill="1" applyFont="1">
      <alignment horizontal="left" shrinkToFit="0" vertical="center" wrapText="1"/>
    </xf>
    <xf borderId="7" fillId="0" fontId="1" numFmtId="0" xfId="0" applyAlignment="1" applyBorder="1" applyFont="1">
      <alignment horizontal="left" shrinkToFit="0" vertical="center" wrapText="1"/>
    </xf>
    <xf borderId="8" fillId="0" fontId="3" numFmtId="0" xfId="0" applyBorder="1" applyFont="1"/>
    <xf borderId="9" fillId="0" fontId="3" numFmtId="0" xfId="0" applyBorder="1" applyFont="1"/>
    <xf borderId="5" fillId="0" fontId="7" numFmtId="0" xfId="0" applyAlignment="1" applyBorder="1" applyFont="1">
      <alignment horizontal="center" shrinkToFit="0" vertical="bottom" wrapText="0"/>
    </xf>
    <xf borderId="10" fillId="3" fontId="9" numFmtId="0" xfId="0" applyAlignment="1" applyBorder="1" applyFill="1" applyFont="1">
      <alignment horizontal="left" shrinkToFit="0" vertical="center" wrapText="1"/>
    </xf>
    <xf borderId="11" fillId="0" fontId="1" numFmtId="0" xfId="0" applyAlignment="1" applyBorder="1" applyFont="1">
      <alignment horizontal="left" readingOrder="0" shrinkToFit="0" vertical="center" wrapText="1"/>
    </xf>
    <xf borderId="12" fillId="0" fontId="3" numFmtId="0" xfId="0" applyBorder="1" applyFont="1"/>
    <xf borderId="13" fillId="0" fontId="3" numFmtId="0" xfId="0" applyBorder="1" applyFont="1"/>
    <xf borderId="4" fillId="0" fontId="1" numFmtId="0" xfId="0" applyBorder="1" applyFont="1"/>
    <xf borderId="11" fillId="0" fontId="1" numFmtId="0" xfId="0" applyAlignment="1" applyBorder="1" applyFont="1">
      <alignment horizontal="left" shrinkToFit="0" vertical="center" wrapText="1"/>
    </xf>
    <xf borderId="14" fillId="0" fontId="1" numFmtId="0" xfId="0" applyAlignment="1" applyBorder="1" applyFont="1">
      <alignment horizontal="left" shrinkToFit="0" vertical="center" wrapText="1"/>
    </xf>
    <xf borderId="15" fillId="0" fontId="3" numFmtId="0" xfId="0" applyBorder="1" applyFont="1"/>
    <xf borderId="16" fillId="0" fontId="3" numFmtId="0" xfId="0" applyBorder="1" applyFont="1"/>
    <xf borderId="5" fillId="4" fontId="7" numFmtId="0" xfId="0" applyAlignment="1" applyBorder="1" applyFill="1" applyFont="1">
      <alignment horizontal="center" shrinkToFit="0" vertical="bottom" wrapText="0"/>
    </xf>
    <xf borderId="17" fillId="3" fontId="9" numFmtId="0" xfId="0" applyAlignment="1" applyBorder="1" applyFill="1" applyFont="1">
      <alignment horizontal="left" shrinkToFit="0" vertical="center" wrapText="1"/>
    </xf>
    <xf borderId="11" fillId="0" fontId="10" numFmtId="49" xfId="0" applyAlignment="1" applyBorder="1" applyFont="1" applyNumberFormat="1">
      <alignment horizontal="center" shrinkToFit="0" vertical="center" wrapText="1"/>
    </xf>
    <xf borderId="6" fillId="3" fontId="9" numFmtId="49" xfId="0" applyAlignment="1" applyBorder="1" applyFill="1" applyFont="1" applyNumberFormat="1">
      <alignment horizontal="left" shrinkToFit="0" vertical="center" wrapText="1"/>
    </xf>
    <xf borderId="17" fillId="0" fontId="1" numFmtId="49" xfId="0" applyAlignment="1" applyBorder="1" applyFont="1" applyNumberFormat="1">
      <alignment horizontal="center" shrinkToFit="0" vertical="center" wrapText="1"/>
    </xf>
    <xf borderId="11" fillId="0" fontId="1" numFmtId="0" xfId="0" applyBorder="1" applyFont="1"/>
    <xf borderId="10" fillId="3" fontId="9" numFmtId="49" xfId="0" applyAlignment="1" applyBorder="1" applyFill="1" applyFont="1" applyNumberFormat="1">
      <alignment horizontal="left" shrinkToFit="0" vertical="center" wrapText="1"/>
    </xf>
    <xf borderId="18" fillId="0" fontId="11" numFmtId="0" xfId="0" applyAlignment="1" applyBorder="1" applyFont="1">
      <alignment horizontal="left" shrinkToFit="0" vertical="center" wrapText="1"/>
    </xf>
    <xf borderId="19" fillId="0" fontId="1" numFmtId="0" xfId="0" applyBorder="1" applyFont="1"/>
    <xf borderId="20" fillId="0" fontId="3" numFmtId="0" xfId="0" applyBorder="1" applyFont="1"/>
    <xf borderId="18" fillId="3" fontId="9" numFmtId="49" xfId="0" applyAlignment="1" applyBorder="1" applyFill="1" applyFont="1" applyNumberFormat="1">
      <alignment horizontal="left" shrinkToFit="0" vertical="center" wrapText="1"/>
    </xf>
    <xf borderId="21" fillId="0" fontId="10" numFmtId="49" xfId="0" applyAlignment="1" applyBorder="1" applyFont="1" applyNumberFormat="1">
      <alignment horizontal="center" shrinkToFit="0" vertical="center" wrapText="1"/>
    </xf>
    <xf borderId="5" fillId="5" fontId="7" numFmtId="0" xfId="0" applyAlignment="1" applyBorder="1" applyFill="1" applyFont="1">
      <alignment horizontal="center" shrinkToFit="0" vertical="bottom" wrapText="0"/>
    </xf>
    <xf borderId="1" fillId="0" fontId="12" numFmtId="0" xfId="0" applyBorder="1" applyFont="1"/>
    <xf borderId="1" fillId="0" fontId="13" numFmtId="0" xfId="0" applyBorder="1" applyFont="1"/>
    <xf borderId="22" fillId="6" fontId="9" numFmtId="0" xfId="0" applyAlignment="1" applyBorder="1" applyFill="1" applyFont="1">
      <alignment horizontal="center" vertical="center"/>
    </xf>
    <xf borderId="23" fillId="6" fontId="9" numFmtId="0" xfId="0" applyAlignment="1" applyBorder="1" applyFill="1" applyFont="1">
      <alignment horizontal="center" vertical="center"/>
    </xf>
    <xf borderId="24" fillId="6" fontId="9" numFmtId="0" xfId="0" applyAlignment="1" applyBorder="1" applyFill="1" applyFont="1">
      <alignment horizontal="center" vertical="center"/>
    </xf>
    <xf borderId="25" fillId="0" fontId="3" numFmtId="0" xfId="0" applyBorder="1" applyFont="1"/>
    <xf borderId="26" fillId="6" fontId="9" numFmtId="0" xfId="0" applyAlignment="1" applyBorder="1" applyFill="1" applyFont="1">
      <alignment horizontal="center" vertical="center"/>
    </xf>
    <xf borderId="27" fillId="0" fontId="1" numFmtId="49" xfId="0" applyAlignment="1" applyBorder="1" applyFont="1" applyNumberFormat="1">
      <alignment horizontal="center" shrinkToFit="0" vertical="center" wrapText="1"/>
    </xf>
    <xf borderId="28" fillId="0" fontId="1" numFmtId="49" xfId="0" applyAlignment="1" applyBorder="1" applyFont="1" applyNumberFormat="1">
      <alignment horizontal="left" readingOrder="0" shrinkToFit="0" vertical="center" wrapText="1"/>
    </xf>
    <xf borderId="29" fillId="0" fontId="1" numFmtId="49" xfId="0" applyAlignment="1" applyBorder="1" applyFont="1" applyNumberFormat="1">
      <alignment horizontal="center" shrinkToFit="0" vertical="center" wrapText="1"/>
    </xf>
    <xf borderId="30" fillId="0" fontId="3" numFmtId="0" xfId="0" applyBorder="1" applyFont="1"/>
    <xf borderId="31" fillId="0" fontId="1" numFmtId="164" xfId="0" applyAlignment="1" applyBorder="1" applyFont="1" applyNumberFormat="1">
      <alignment horizontal="center" shrinkToFit="0" vertical="center" wrapText="1"/>
    </xf>
    <xf borderId="32" fillId="0" fontId="1" numFmtId="49" xfId="0" applyAlignment="1" applyBorder="1" applyFont="1" applyNumberFormat="1">
      <alignment horizontal="center" readingOrder="0" shrinkToFit="0" vertical="center" wrapText="1"/>
    </xf>
    <xf borderId="33" fillId="0" fontId="1" numFmtId="49" xfId="0" applyAlignment="1" applyBorder="1" applyFont="1" applyNumberFormat="1">
      <alignment horizontal="left" readingOrder="0" shrinkToFit="0" vertical="center" wrapText="1"/>
    </xf>
    <xf borderId="5" fillId="7" fontId="7" numFmtId="0" xfId="0" applyAlignment="1" applyBorder="1" applyFill="1" applyFont="1">
      <alignment horizontal="center" shrinkToFit="0" vertical="bottom" wrapText="0"/>
    </xf>
    <xf borderId="34" fillId="0" fontId="1" numFmtId="0" xfId="0" applyAlignment="1" applyBorder="1" applyFont="1">
      <alignment horizontal="center" readingOrder="0"/>
    </xf>
    <xf borderId="35" fillId="0" fontId="3" numFmtId="0" xfId="0" applyBorder="1" applyFont="1"/>
    <xf borderId="17" fillId="0" fontId="1" numFmtId="49" xfId="0" applyAlignment="1" applyBorder="1" applyFont="1" applyNumberFormat="1">
      <alignment horizontal="center" readingOrder="0" shrinkToFit="0" vertical="center" wrapText="1"/>
    </xf>
    <xf borderId="5" fillId="0" fontId="7" numFmtId="10" xfId="0" applyAlignment="1" applyBorder="1" applyFont="1" applyNumberFormat="1">
      <alignment horizontal="center" shrinkToFit="0" vertical="bottom" wrapText="0"/>
    </xf>
    <xf borderId="27" fillId="0" fontId="1" numFmtId="49" xfId="0" applyAlignment="1" applyBorder="1" applyFont="1" applyNumberFormat="1">
      <alignment horizontal="center" readingOrder="0" shrinkToFit="0" vertical="center" wrapText="1"/>
    </xf>
    <xf borderId="31" fillId="0" fontId="1" numFmtId="164" xfId="0" applyAlignment="1" applyBorder="1" applyFont="1" applyNumberFormat="1">
      <alignment horizontal="center" readingOrder="0" shrinkToFit="0" vertical="center" wrapText="1"/>
    </xf>
    <xf borderId="36" fillId="0" fontId="1" numFmtId="0" xfId="0" applyBorder="1" applyFont="1"/>
    <xf borderId="37" fillId="6" fontId="9" numFmtId="0" xfId="0" applyAlignment="1" applyBorder="1" applyFill="1" applyFont="1">
      <alignment horizontal="left" vertical="center"/>
    </xf>
    <xf borderId="38" fillId="0" fontId="3" numFmtId="0" xfId="0" applyBorder="1" applyFont="1"/>
    <xf borderId="39" fillId="0" fontId="3" numFmtId="0" xfId="0" applyBorder="1" applyFont="1"/>
    <xf borderId="7" fillId="0" fontId="1" numFmtId="0" xfId="0" applyBorder="1" applyFont="1"/>
    <xf borderId="1" fillId="8" fontId="1" numFmtId="0" xfId="0" applyAlignment="1" applyBorder="1" applyFill="1" applyFont="1">
      <alignment vertical="center"/>
    </xf>
    <xf borderId="1" fillId="8" fontId="1" numFmtId="0" xfId="0" applyBorder="1" applyFill="1" applyFont="1"/>
    <xf borderId="0" fillId="0" fontId="14" numFmtId="0" xfId="0" applyAlignment="1" applyFont="1">
      <alignment shrinkToFit="0" wrapText="1"/>
    </xf>
    <xf borderId="1" fillId="8" fontId="15" numFmtId="0" xfId="0" applyAlignment="1" applyBorder="1" applyFill="1" applyFont="1">
      <alignment vertical="center"/>
    </xf>
    <xf borderId="40" fillId="0" fontId="1" numFmtId="0" xfId="0" applyBorder="1" applyFont="1"/>
    <xf borderId="41" fillId="8" fontId="1" numFmtId="0" xfId="0" applyBorder="1" applyFill="1" applyFont="1"/>
    <xf borderId="0" fillId="0" fontId="16" numFmtId="49" xfId="0" applyAlignment="1" applyFont="1" applyNumberFormat="1">
      <alignment horizontal="left" readingOrder="0" shrinkToFit="0" vertical="center" wrapText="1"/>
    </xf>
    <xf borderId="1" fillId="8" fontId="17" numFmtId="0" xfId="0" applyAlignment="1" applyBorder="1" applyFill="1" applyFont="1">
      <alignment vertical="center"/>
    </xf>
    <xf borderId="0" fillId="0" fontId="16" numFmtId="0" xfId="0" applyAlignment="1" applyFont="1">
      <alignment horizontal="left" readingOrder="0" shrinkToFit="0" vertical="center" wrapText="1"/>
    </xf>
    <xf borderId="1" fillId="8" fontId="18" numFmtId="0" xfId="0" applyAlignment="1" applyBorder="1" applyFill="1" applyFont="1">
      <alignment vertical="center"/>
    </xf>
    <xf borderId="1" fillId="8" fontId="19" numFmtId="0" xfId="0" applyAlignment="1" applyBorder="1" applyFill="1" applyFont="1">
      <alignment vertical="center"/>
    </xf>
    <xf borderId="0" fillId="0" fontId="16" numFmtId="0" xfId="0" applyAlignment="1" applyFont="1">
      <alignment horizontal="left" readingOrder="0" shrinkToFit="0" vertical="center" wrapText="0"/>
    </xf>
    <xf borderId="1" fillId="8" fontId="20" numFmtId="0" xfId="0" applyBorder="1" applyFill="1" applyFont="1"/>
    <xf borderId="0" fillId="0" fontId="14" numFmtId="0" xfId="0" applyAlignment="1" applyFont="1">
      <alignment horizontal="left" readingOrder="0" shrinkToFit="0" vertical="center" wrapText="0"/>
    </xf>
    <xf borderId="0" fillId="0" fontId="14" numFmtId="0" xfId="0" applyAlignment="1" applyFont="1">
      <alignment horizontal="left" readingOrder="0" shrinkToFit="0" vertical="center" wrapText="1"/>
    </xf>
    <xf borderId="5" fillId="0" fontId="7" numFmtId="0" xfId="0" applyAlignment="1" applyBorder="1" applyFont="1">
      <alignment readingOrder="0" shrinkToFit="0" vertical="top" wrapText="0"/>
    </xf>
    <xf borderId="5" fillId="0" fontId="7" numFmtId="0" xfId="0" applyAlignment="1" applyBorder="1" applyFont="1">
      <alignment readingOrder="0" shrinkToFit="0" vertical="top" wrapText="1"/>
    </xf>
    <xf borderId="5" fillId="0" fontId="16" numFmtId="0" xfId="0" applyAlignment="1" applyBorder="1" applyFont="1">
      <alignment readingOrder="0" shrinkToFit="0" vertical="top" wrapText="0"/>
    </xf>
    <xf borderId="5" fillId="0" fontId="7" numFmtId="0" xfId="0" applyAlignment="1" applyBorder="1" applyFont="1">
      <alignment readingOrder="0" shrinkToFit="0" vertical="top" wrapText="0"/>
    </xf>
    <xf borderId="5" fillId="9" fontId="21" numFmtId="0" xfId="0" applyAlignment="1" applyBorder="1" applyFill="1" applyFont="1">
      <alignment readingOrder="0" shrinkToFit="0" vertical="top" wrapText="0"/>
    </xf>
    <xf borderId="5" fillId="0" fontId="7" numFmtId="0" xfId="0" applyAlignment="1" applyBorder="1" applyFont="1">
      <alignment shrinkToFit="0" vertical="top" wrapText="0"/>
    </xf>
    <xf borderId="5" fillId="0" fontId="16" numFmtId="0" xfId="0" applyAlignment="1" applyBorder="1" applyFont="1">
      <alignment horizontal="left" readingOrder="0" shrinkToFit="0" vertical="bottom" wrapText="0"/>
    </xf>
    <xf borderId="5" fillId="0" fontId="16" numFmtId="0" xfId="0" applyAlignment="1" applyBorder="1" applyFont="1">
      <alignment horizontal="center" shrinkToFit="0" vertical="bottom" wrapText="0"/>
    </xf>
    <xf borderId="5" fillId="4" fontId="16" numFmtId="0" xfId="0" applyAlignment="1" applyBorder="1" applyFill="1" applyFont="1">
      <alignment horizontal="center" shrinkToFit="0" vertical="bottom" wrapText="0"/>
    </xf>
    <xf borderId="5" fillId="5" fontId="16" numFmtId="0" xfId="0" applyAlignment="1" applyBorder="1" applyFill="1" applyFont="1">
      <alignment horizontal="center" shrinkToFit="0" vertical="bottom" wrapText="0"/>
    </xf>
    <xf borderId="5" fillId="7" fontId="16" numFmtId="0" xfId="0" applyAlignment="1" applyBorder="1" applyFill="1" applyFont="1">
      <alignment horizontal="center" shrinkToFit="0" vertical="bottom" wrapText="0"/>
    </xf>
    <xf borderId="0" fillId="0" fontId="22" numFmtId="0" xfId="0" applyAlignment="1" applyFont="1">
      <alignment readingOrder="0"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casos prueba sprint 1-style">
      <tableStyleElement dxfId="1" type="headerRow"/>
      <tableStyleElement dxfId="2" type="firstRowStripe"/>
      <tableStyleElement dxfId="3" type="secondRowStripe"/>
      <tableStyleElement dxfId="4" size="0" type="wholeTable"/>
    </tableStyle>
    <tableStyle count="4" pivot="0" name="casos prueba sprint 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2:M66" displayName="Casos_Prueba_1" name="Casos_Prueba_1" id="2">
  <tableColumns count="12">
    <tableColumn name="ID HU" id="1"/>
    <tableColumn name="ID CA" id="2"/>
    <tableColumn name="ID Caso Prueba" id="3"/>
    <tableColumn name="Historia de Usuario" id="4"/>
    <tableColumn name="Criterio de Aceptacion" id="5"/>
    <tableColumn name="Descripcion" id="6"/>
    <tableColumn name="Tipo prueba" id="7"/>
    <tableColumn name="Estado" id="8"/>
    <tableColumn name="Criticidad" id="9"/>
    <tableColumn name="Automatizado" id="10"/>
    <tableColumn name="Evidencia: Fotos" id="11"/>
    <tableColumn name="Evidencia: Automatismo" id="12"/>
  </tableColumns>
  <tableStyleInfo name="casos prueba sprint 1-style" showColumnStripes="0" showFirstColumn="1" showLastColumn="1" showRowStripes="1"/>
</table>
</file>

<file path=xl/tables/table2.xml><?xml version="1.0" encoding="utf-8"?>
<table xmlns="http://schemas.openxmlformats.org/spreadsheetml/2006/main" ref="B2:M68" displayName="Casos_Prueba_Sprint_2" name="Casos_Prueba_Sprint_2" id="1">
  <tableColumns count="12">
    <tableColumn name="ID HU" id="1"/>
    <tableColumn name="ID CA" id="2"/>
    <tableColumn name="ID Caso Prueba" id="3"/>
    <tableColumn name="Historia de Usuario" id="4"/>
    <tableColumn name="Criterio de Aceptacion" id="5"/>
    <tableColumn name="Descripcion" id="6"/>
    <tableColumn name="Tipo prueba" id="7"/>
    <tableColumn name="Estado" id="8"/>
    <tableColumn name="Criticidad" id="9"/>
    <tableColumn name="Automatizado" id="10"/>
    <tableColumn name="Evidencia: Fotos" id="11"/>
    <tableColumn name="Evidencia: Automatismo" id="12"/>
  </tableColumns>
  <tableStyleInfo name="casos prueba sprint 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4.7"/>
    <col customWidth="1" min="2" max="2" width="17.3"/>
    <col customWidth="1" min="3" max="3" width="29.7"/>
    <col customWidth="1" min="4" max="4" width="12.8"/>
    <col customWidth="1" min="5" max="5" width="19.2"/>
    <col customWidth="1" min="6" max="6" width="21.2"/>
    <col customWidth="1" min="7" max="8" width="14.0"/>
    <col customWidth="1" min="9" max="9" width="19.4"/>
    <col customWidth="1" min="10" max="10" width="22.3"/>
    <col customWidth="1" min="11" max="11" width="17.7"/>
    <col customWidth="1" min="12" max="12" width="21.7"/>
    <col customWidth="1" min="13" max="16" width="14.0"/>
    <col customWidth="1" min="17" max="26" width="10.5"/>
  </cols>
  <sheetData>
    <row r="1" ht="16.5" customHeight="1">
      <c r="A1" s="1"/>
      <c r="B1" s="1"/>
      <c r="C1" s="5"/>
      <c r="D1" s="6"/>
      <c r="E1" s="8"/>
      <c r="F1" s="5"/>
      <c r="G1" s="6"/>
      <c r="H1" s="8"/>
      <c r="I1" s="1"/>
      <c r="J1" s="1"/>
      <c r="K1" s="1"/>
      <c r="L1" s="1"/>
      <c r="M1" s="1"/>
      <c r="N1" s="1"/>
      <c r="O1" s="1"/>
      <c r="P1" s="1"/>
      <c r="Q1" s="1"/>
      <c r="R1" s="1"/>
      <c r="S1" s="1"/>
      <c r="T1" s="1"/>
      <c r="U1" s="1"/>
      <c r="V1" s="1"/>
      <c r="W1" s="1"/>
      <c r="X1" s="1"/>
      <c r="Y1" s="1"/>
      <c r="Z1" s="1"/>
    </row>
    <row r="2">
      <c r="A2" s="1"/>
      <c r="B2" s="11" t="s">
        <v>3</v>
      </c>
      <c r="C2" s="6"/>
      <c r="D2" s="6"/>
      <c r="E2" s="6"/>
      <c r="F2" s="8"/>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2" t="s">
        <v>11</v>
      </c>
      <c r="C5" s="6"/>
      <c r="D5" s="6"/>
      <c r="E5" s="6"/>
      <c r="F5" s="8"/>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C7" s="1"/>
      <c r="E7" s="1"/>
      <c r="G7" s="1"/>
      <c r="H7" s="1"/>
      <c r="I7" s="1"/>
      <c r="J7" s="1"/>
      <c r="K7" s="1"/>
      <c r="L7" s="1"/>
      <c r="M7" s="1"/>
      <c r="N7" s="1"/>
      <c r="O7" s="1"/>
      <c r="P7" s="1"/>
      <c r="Q7" s="1"/>
      <c r="R7" s="1"/>
      <c r="S7" s="1"/>
      <c r="T7" s="1"/>
      <c r="U7" s="1"/>
      <c r="V7" s="1"/>
      <c r="W7" s="1"/>
      <c r="X7" s="1"/>
      <c r="Y7" s="1"/>
      <c r="Z7" s="1"/>
    </row>
    <row r="8">
      <c r="A8" s="1"/>
      <c r="B8" s="13" t="s">
        <v>12</v>
      </c>
      <c r="C8" s="14"/>
      <c r="D8" s="15"/>
      <c r="E8" s="15"/>
      <c r="F8" s="16"/>
      <c r="G8" s="1"/>
      <c r="H8" s="1"/>
      <c r="I8" s="1"/>
      <c r="J8" s="1"/>
      <c r="K8" s="1"/>
      <c r="L8" s="1"/>
      <c r="M8" s="1"/>
      <c r="N8" s="1"/>
      <c r="O8" s="1"/>
      <c r="P8" s="1"/>
      <c r="Q8" s="1"/>
      <c r="R8" s="1"/>
      <c r="S8" s="1"/>
      <c r="T8" s="1"/>
      <c r="U8" s="1"/>
      <c r="V8" s="1"/>
      <c r="W8" s="1"/>
      <c r="X8" s="1"/>
      <c r="Y8" s="1"/>
      <c r="Z8" s="1"/>
    </row>
    <row r="9">
      <c r="A9" s="1"/>
      <c r="B9" s="18" t="s">
        <v>13</v>
      </c>
      <c r="C9" s="19" t="s">
        <v>14</v>
      </c>
      <c r="D9" s="20"/>
      <c r="E9" s="20"/>
      <c r="F9" s="21"/>
      <c r="G9" s="22"/>
      <c r="H9" s="1"/>
      <c r="I9" s="1"/>
      <c r="J9" s="1"/>
      <c r="K9" s="1"/>
      <c r="L9" s="1"/>
      <c r="M9" s="1"/>
      <c r="N9" s="1"/>
      <c r="O9" s="1"/>
      <c r="P9" s="1"/>
      <c r="Q9" s="1"/>
      <c r="R9" s="1"/>
      <c r="S9" s="1"/>
      <c r="T9" s="1"/>
      <c r="U9" s="1"/>
      <c r="V9" s="1"/>
      <c r="W9" s="1"/>
      <c r="X9" s="1"/>
      <c r="Y9" s="1"/>
      <c r="Z9" s="1"/>
    </row>
    <row r="10">
      <c r="A10" s="1"/>
      <c r="B10" s="18" t="s">
        <v>15</v>
      </c>
      <c r="C10" s="23" t="s">
        <v>16</v>
      </c>
      <c r="D10" s="20"/>
      <c r="E10" s="20"/>
      <c r="F10" s="21"/>
      <c r="G10" s="1"/>
      <c r="H10" s="1"/>
      <c r="I10" s="1"/>
      <c r="J10" s="1"/>
      <c r="K10" s="1"/>
      <c r="L10" s="1"/>
      <c r="M10" s="1"/>
      <c r="N10" s="1"/>
      <c r="O10" s="1"/>
      <c r="P10" s="1"/>
      <c r="Q10" s="1"/>
      <c r="R10" s="1"/>
      <c r="S10" s="1"/>
      <c r="T10" s="1"/>
      <c r="U10" s="1"/>
      <c r="V10" s="1"/>
      <c r="W10" s="1"/>
      <c r="X10" s="1"/>
      <c r="Y10" s="1"/>
      <c r="Z10" s="1"/>
    </row>
    <row r="11" ht="19.5" customHeight="1">
      <c r="A11" s="1"/>
      <c r="B11" s="18" t="s">
        <v>17</v>
      </c>
      <c r="C11" s="24"/>
      <c r="D11" s="25"/>
      <c r="E11" s="25"/>
      <c r="F11" s="26"/>
      <c r="G11" s="1"/>
      <c r="H11" s="1"/>
      <c r="I11" s="1"/>
      <c r="J11" s="1"/>
      <c r="K11" s="1"/>
      <c r="L11" s="1"/>
      <c r="M11" s="1"/>
      <c r="N11" s="1"/>
      <c r="O11" s="1"/>
      <c r="P11" s="1"/>
      <c r="Q11" s="1"/>
      <c r="R11" s="1"/>
      <c r="S11" s="1"/>
      <c r="T11" s="1"/>
      <c r="U11" s="1"/>
      <c r="V11" s="1"/>
      <c r="W11" s="1"/>
      <c r="X11" s="1"/>
      <c r="Y11" s="1"/>
      <c r="Z11" s="1"/>
    </row>
    <row r="12" ht="19.5" customHeight="1">
      <c r="A12" s="1"/>
      <c r="B12" s="28" t="s">
        <v>18</v>
      </c>
      <c r="C12" s="29"/>
      <c r="D12" s="21"/>
      <c r="E12" s="30" t="s">
        <v>19</v>
      </c>
      <c r="F12" s="31"/>
      <c r="G12" s="1"/>
      <c r="H12" s="1"/>
      <c r="I12" s="1"/>
      <c r="J12" s="1"/>
      <c r="K12" s="1"/>
      <c r="L12" s="1"/>
      <c r="M12" s="1"/>
      <c r="N12" s="1"/>
      <c r="O12" s="1"/>
      <c r="P12" s="1"/>
      <c r="Q12" s="1"/>
      <c r="R12" s="1"/>
      <c r="S12" s="1"/>
      <c r="T12" s="1"/>
      <c r="U12" s="1"/>
      <c r="V12" s="1"/>
      <c r="W12" s="1"/>
      <c r="X12" s="1"/>
      <c r="Y12" s="1"/>
      <c r="Z12" s="1"/>
    </row>
    <row r="13" ht="19.5" customHeight="1">
      <c r="A13" s="1"/>
      <c r="B13" s="28" t="s">
        <v>20</v>
      </c>
      <c r="C13" s="32"/>
      <c r="D13" s="21"/>
      <c r="E13" s="33" t="s">
        <v>21</v>
      </c>
      <c r="F13" s="31"/>
      <c r="G13" s="1"/>
      <c r="H13" s="1"/>
      <c r="I13" s="1"/>
      <c r="J13" s="1"/>
      <c r="K13" s="1"/>
      <c r="L13" s="1"/>
      <c r="M13" s="1"/>
      <c r="N13" s="1"/>
      <c r="O13" s="1"/>
      <c r="P13" s="1"/>
      <c r="Q13" s="1"/>
      <c r="R13" s="1"/>
      <c r="S13" s="1"/>
      <c r="T13" s="1"/>
      <c r="U13" s="1"/>
      <c r="V13" s="1"/>
      <c r="W13" s="1"/>
      <c r="X13" s="1"/>
      <c r="Y13" s="1"/>
      <c r="Z13" s="1"/>
    </row>
    <row r="14" ht="19.5" customHeight="1">
      <c r="A14" s="1"/>
      <c r="B14" s="34"/>
      <c r="C14" s="35"/>
      <c r="D14" s="36"/>
      <c r="E14" s="37" t="s">
        <v>22</v>
      </c>
      <c r="F14" s="38"/>
      <c r="G14" s="1"/>
      <c r="H14" s="1"/>
      <c r="I14" s="1"/>
      <c r="J14" s="1"/>
      <c r="K14" s="1"/>
      <c r="L14" s="1"/>
      <c r="M14" s="1"/>
      <c r="N14" s="1"/>
      <c r="O14" s="1"/>
      <c r="P14" s="1"/>
      <c r="Q14" s="1"/>
      <c r="R14" s="1"/>
      <c r="S14" s="1"/>
      <c r="T14" s="1"/>
      <c r="U14" s="1"/>
      <c r="V14" s="1"/>
      <c r="W14" s="1"/>
      <c r="X14" s="1"/>
      <c r="Y14" s="1"/>
      <c r="Z14" s="1"/>
    </row>
    <row r="15" ht="19.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9.5" customHeight="1">
      <c r="A16" s="1"/>
      <c r="B16" s="40" t="s">
        <v>23</v>
      </c>
      <c r="D16" s="1"/>
      <c r="E16" s="1"/>
      <c r="G16" s="1"/>
      <c r="H16" s="1"/>
      <c r="I16" s="1"/>
      <c r="J16" s="1"/>
      <c r="K16" s="1"/>
      <c r="L16" s="1"/>
      <c r="M16" s="1"/>
      <c r="N16" s="1"/>
      <c r="O16" s="1"/>
      <c r="P16" s="41" t="s">
        <v>24</v>
      </c>
      <c r="Q16" s="1"/>
      <c r="R16" s="1"/>
      <c r="S16" s="1"/>
      <c r="T16" s="1"/>
      <c r="U16" s="1"/>
      <c r="V16" s="1"/>
      <c r="W16" s="1"/>
      <c r="X16" s="1"/>
      <c r="Y16" s="1"/>
      <c r="Z16" s="1"/>
    </row>
    <row r="17" ht="19.5" customHeight="1">
      <c r="A17" s="1"/>
      <c r="C17" s="1"/>
      <c r="D17" s="1"/>
      <c r="F17" s="1"/>
      <c r="G17" s="1"/>
      <c r="H17" s="1"/>
      <c r="I17" s="1"/>
      <c r="J17" s="1"/>
      <c r="K17" s="1"/>
      <c r="L17" s="1"/>
      <c r="M17" s="1"/>
      <c r="N17" s="1"/>
      <c r="O17" s="1"/>
      <c r="P17" s="1"/>
      <c r="Q17" s="1"/>
      <c r="R17" s="1"/>
      <c r="S17" s="1"/>
      <c r="T17" s="1"/>
      <c r="U17" s="1"/>
      <c r="V17" s="1"/>
      <c r="W17" s="1"/>
      <c r="X17" s="1"/>
      <c r="Y17" s="1"/>
      <c r="Z17" s="1"/>
    </row>
    <row r="18" ht="30.0" customHeight="1">
      <c r="A18" s="1"/>
      <c r="B18" s="42" t="s">
        <v>25</v>
      </c>
      <c r="C18" s="43" t="s">
        <v>26</v>
      </c>
      <c r="D18" s="44" t="s">
        <v>27</v>
      </c>
      <c r="E18" s="45"/>
      <c r="F18" s="46" t="s">
        <v>28</v>
      </c>
      <c r="G18" s="1"/>
      <c r="H18" s="1"/>
      <c r="I18" s="1"/>
      <c r="J18" s="1"/>
      <c r="K18" s="1"/>
      <c r="L18" s="1"/>
      <c r="M18" s="1"/>
      <c r="N18" s="1"/>
      <c r="O18" s="1"/>
      <c r="P18" s="1"/>
      <c r="Q18" s="1"/>
      <c r="R18" s="1"/>
      <c r="S18" s="1"/>
      <c r="T18" s="1"/>
      <c r="U18" s="1"/>
      <c r="V18" s="1"/>
      <c r="W18" s="1"/>
      <c r="X18" s="1"/>
      <c r="Y18" s="1"/>
      <c r="Z18" s="1"/>
    </row>
    <row r="19">
      <c r="A19" s="1"/>
      <c r="B19" s="47" t="s">
        <v>29</v>
      </c>
      <c r="C19" s="48" t="s">
        <v>30</v>
      </c>
      <c r="D19" s="49" t="s">
        <v>31</v>
      </c>
      <c r="E19" s="50"/>
      <c r="F19" s="51">
        <v>46277.0</v>
      </c>
      <c r="G19" s="1"/>
      <c r="H19" s="1"/>
      <c r="I19" s="1"/>
      <c r="J19" s="1"/>
      <c r="K19" s="1"/>
      <c r="L19" s="1"/>
      <c r="M19" s="1"/>
      <c r="N19" s="1"/>
      <c r="O19" s="1"/>
      <c r="P19" s="1"/>
      <c r="Q19" s="1"/>
      <c r="R19" s="1"/>
      <c r="S19" s="1"/>
      <c r="T19" s="1"/>
      <c r="U19" s="1"/>
      <c r="V19" s="1"/>
      <c r="W19" s="1"/>
      <c r="X19" s="1"/>
      <c r="Y19" s="1"/>
      <c r="Z19" s="1"/>
    </row>
    <row r="20">
      <c r="A20" s="1"/>
      <c r="B20" s="52" t="s">
        <v>32</v>
      </c>
      <c r="C20" s="53" t="s">
        <v>33</v>
      </c>
      <c r="D20" s="55" t="s">
        <v>31</v>
      </c>
      <c r="E20" s="56"/>
      <c r="F20" s="57" t="s">
        <v>34</v>
      </c>
      <c r="G20" s="1"/>
      <c r="H20" s="1"/>
      <c r="I20" s="1"/>
      <c r="J20" s="1"/>
      <c r="K20" s="1"/>
      <c r="L20" s="1"/>
      <c r="M20" s="1"/>
      <c r="N20" s="1"/>
      <c r="O20" s="1"/>
      <c r="P20" s="1"/>
      <c r="Q20" s="1"/>
      <c r="R20" s="1"/>
      <c r="S20" s="1"/>
      <c r="T20" s="1"/>
      <c r="U20" s="1"/>
      <c r="V20" s="1"/>
      <c r="W20" s="1"/>
      <c r="X20" s="1"/>
      <c r="Y20" s="1"/>
      <c r="Z20" s="1"/>
    </row>
    <row r="21">
      <c r="A21" s="1"/>
      <c r="B21" s="52" t="s">
        <v>35</v>
      </c>
      <c r="C21" s="53" t="s">
        <v>36</v>
      </c>
      <c r="D21" s="55" t="s">
        <v>37</v>
      </c>
      <c r="E21" s="56"/>
      <c r="F21" s="57" t="s">
        <v>38</v>
      </c>
      <c r="G21" s="1"/>
      <c r="H21" s="1"/>
      <c r="I21" s="1"/>
      <c r="J21" s="1"/>
      <c r="K21" s="1"/>
      <c r="L21" s="1"/>
      <c r="M21" s="1"/>
      <c r="N21" s="1"/>
      <c r="O21" s="1"/>
      <c r="P21" s="1"/>
      <c r="Q21" s="1"/>
      <c r="R21" s="1"/>
      <c r="S21" s="1"/>
      <c r="T21" s="1"/>
      <c r="U21" s="1"/>
      <c r="V21" s="1"/>
      <c r="W21" s="1"/>
      <c r="X21" s="1"/>
      <c r="Y21" s="1"/>
      <c r="Z21" s="1"/>
    </row>
    <row r="22">
      <c r="A22" s="1"/>
      <c r="B22" s="52" t="s">
        <v>39</v>
      </c>
      <c r="C22" s="53" t="s">
        <v>40</v>
      </c>
      <c r="D22" s="55" t="s">
        <v>37</v>
      </c>
      <c r="E22" s="56"/>
      <c r="F22" s="57" t="s">
        <v>41</v>
      </c>
      <c r="G22" s="1"/>
      <c r="H22" s="1"/>
      <c r="I22" s="1"/>
      <c r="J22" s="1"/>
      <c r="K22" s="1"/>
      <c r="L22" s="1"/>
      <c r="M22" s="1"/>
      <c r="N22" s="1"/>
      <c r="O22" s="1"/>
      <c r="P22" s="1"/>
      <c r="Q22" s="1"/>
      <c r="R22" s="1"/>
      <c r="S22" s="1"/>
      <c r="T22" s="1"/>
      <c r="U22" s="1"/>
      <c r="V22" s="1"/>
      <c r="W22" s="1"/>
      <c r="X22" s="1"/>
      <c r="Y22" s="1"/>
      <c r="Z22" s="1"/>
    </row>
    <row r="23">
      <c r="A23" s="1"/>
      <c r="B23" s="52" t="s">
        <v>43</v>
      </c>
      <c r="C23" s="53" t="s">
        <v>44</v>
      </c>
      <c r="D23" s="55" t="s">
        <v>37</v>
      </c>
      <c r="E23" s="56"/>
      <c r="F23" s="57" t="s">
        <v>45</v>
      </c>
      <c r="G23" s="1"/>
      <c r="H23" s="1"/>
      <c r="I23" s="1"/>
      <c r="J23" s="1"/>
      <c r="K23" s="1"/>
      <c r="L23" s="1"/>
      <c r="M23" s="1"/>
      <c r="N23" s="1"/>
      <c r="O23" s="1"/>
      <c r="P23" s="1"/>
      <c r="Q23" s="1"/>
      <c r="R23" s="1"/>
      <c r="S23" s="1"/>
      <c r="T23" s="1"/>
      <c r="U23" s="1"/>
      <c r="V23" s="1"/>
      <c r="W23" s="1"/>
      <c r="X23" s="1"/>
      <c r="Y23" s="1"/>
      <c r="Z23" s="1"/>
    </row>
    <row r="24" ht="95.25" customHeight="1">
      <c r="A24" s="1"/>
      <c r="B24" s="59" t="s">
        <v>46</v>
      </c>
      <c r="C24" s="48" t="s">
        <v>47</v>
      </c>
      <c r="D24" s="49" t="s">
        <v>31</v>
      </c>
      <c r="E24" s="50"/>
      <c r="F24" s="60">
        <v>46310.0</v>
      </c>
      <c r="G24" s="1"/>
      <c r="H24" s="1"/>
      <c r="I24" s="1"/>
      <c r="J24" s="1"/>
      <c r="K24" s="1"/>
      <c r="L24" s="1"/>
      <c r="M24" s="1"/>
      <c r="N24" s="1"/>
      <c r="O24" s="1"/>
      <c r="P24" s="1"/>
      <c r="Q24" s="1"/>
      <c r="R24" s="1"/>
      <c r="S24" s="1"/>
      <c r="T24" s="1"/>
      <c r="U24" s="1"/>
      <c r="V24" s="1"/>
      <c r="W24" s="1"/>
      <c r="X24" s="1"/>
      <c r="Y24" s="1"/>
      <c r="Z24" s="1"/>
    </row>
    <row r="25" ht="19.5" customHeight="1">
      <c r="B25" s="1"/>
      <c r="C25" s="1"/>
      <c r="E25" s="61"/>
      <c r="F25" s="1"/>
      <c r="G25" s="1"/>
      <c r="H25" s="1"/>
      <c r="I25" s="1"/>
      <c r="J25" s="1"/>
      <c r="K25" s="1"/>
      <c r="L25" s="1"/>
      <c r="M25" s="1"/>
      <c r="N25" s="1"/>
      <c r="O25" s="1"/>
      <c r="P25" s="1"/>
      <c r="Q25" s="1"/>
      <c r="R25" s="1"/>
      <c r="S25" s="1"/>
      <c r="T25" s="1"/>
      <c r="U25" s="1"/>
      <c r="V25" s="1"/>
      <c r="W25" s="1"/>
      <c r="X25" s="1"/>
      <c r="Y25" s="1"/>
      <c r="Z25" s="1"/>
    </row>
    <row r="26" ht="19.5" customHeight="1">
      <c r="A26" s="1"/>
      <c r="B26" s="40" t="s">
        <v>48</v>
      </c>
      <c r="C26" s="1"/>
      <c r="D26" s="1"/>
      <c r="E26" s="1"/>
      <c r="F26" s="1"/>
      <c r="G26" s="1"/>
      <c r="H26" s="1"/>
      <c r="I26" s="1"/>
      <c r="J26" s="1"/>
      <c r="K26" s="1"/>
      <c r="L26" s="1"/>
      <c r="M26" s="1"/>
      <c r="N26" s="1"/>
      <c r="O26" s="1"/>
      <c r="P26" s="1"/>
      <c r="Q26" s="1"/>
      <c r="R26" s="1"/>
      <c r="S26" s="1"/>
      <c r="T26" s="1"/>
      <c r="U26" s="1"/>
      <c r="V26" s="1"/>
      <c r="W26" s="1"/>
      <c r="X26" s="1"/>
      <c r="Y26" s="1"/>
      <c r="Z26" s="1"/>
    </row>
    <row r="27" ht="30.0"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9.5" customHeight="1">
      <c r="A28" s="1"/>
      <c r="B28" s="62" t="s">
        <v>49</v>
      </c>
      <c r="C28" s="63"/>
      <c r="D28" s="63"/>
      <c r="E28" s="63"/>
      <c r="F28" s="64"/>
      <c r="G28" s="1"/>
      <c r="H28" s="1"/>
      <c r="I28" s="1"/>
      <c r="J28" s="1"/>
      <c r="K28" s="1"/>
      <c r="L28" s="1"/>
      <c r="M28" s="1"/>
      <c r="N28" s="1"/>
      <c r="O28" s="1"/>
      <c r="P28" s="1"/>
      <c r="Q28" s="1"/>
      <c r="R28" s="1"/>
      <c r="S28" s="1"/>
      <c r="T28" s="1"/>
      <c r="U28" s="1"/>
      <c r="V28" s="1"/>
      <c r="W28" s="1"/>
      <c r="X28" s="1"/>
      <c r="Y28" s="1"/>
      <c r="Z28" s="1"/>
    </row>
    <row r="29" ht="25.5" customHeight="1">
      <c r="A29" s="1"/>
      <c r="B29" s="65" t="s">
        <v>31</v>
      </c>
      <c r="C29" s="15"/>
      <c r="D29" s="15"/>
      <c r="E29" s="15"/>
      <c r="F29" s="16"/>
      <c r="G29" s="1"/>
      <c r="H29" s="1"/>
      <c r="I29" s="1"/>
      <c r="J29" s="1"/>
      <c r="K29" s="1"/>
      <c r="L29" s="1"/>
      <c r="M29" s="1"/>
      <c r="N29" s="1"/>
      <c r="O29" s="1"/>
      <c r="P29" s="1"/>
      <c r="Q29" s="1"/>
      <c r="R29" s="1"/>
      <c r="S29" s="1"/>
      <c r="T29" s="1"/>
      <c r="U29" s="1"/>
      <c r="V29" s="1"/>
      <c r="W29" s="1"/>
      <c r="X29" s="1"/>
      <c r="Y29" s="1"/>
      <c r="Z29" s="1"/>
    </row>
    <row r="30" ht="25.5" customHeight="1">
      <c r="A30" s="1"/>
      <c r="B30" s="32" t="s">
        <v>50</v>
      </c>
      <c r="C30" s="20"/>
      <c r="D30" s="20"/>
      <c r="E30" s="20"/>
      <c r="F30" s="21"/>
      <c r="G30" s="1"/>
      <c r="H30" s="1"/>
      <c r="I30" s="1"/>
      <c r="J30" s="1" t="s">
        <v>51</v>
      </c>
      <c r="K30" s="1"/>
      <c r="L30" s="1"/>
      <c r="M30" s="1"/>
      <c r="N30" s="1"/>
      <c r="O30" s="1"/>
      <c r="P30" s="1"/>
      <c r="Q30" s="1"/>
      <c r="R30" s="1"/>
      <c r="S30" s="1"/>
      <c r="T30" s="1"/>
      <c r="U30" s="1"/>
      <c r="V30" s="1"/>
      <c r="W30" s="1"/>
      <c r="X30" s="1"/>
      <c r="Y30" s="1"/>
      <c r="Z30" s="1"/>
    </row>
    <row r="31" ht="25.5" customHeight="1">
      <c r="A31" s="1"/>
      <c r="B31" s="32" t="s">
        <v>37</v>
      </c>
      <c r="C31" s="20"/>
      <c r="D31" s="20"/>
      <c r="E31" s="20"/>
      <c r="F31" s="21"/>
      <c r="G31" s="1"/>
      <c r="H31" s="1"/>
      <c r="I31" s="1"/>
      <c r="J31" s="1"/>
      <c r="K31" s="1"/>
      <c r="L31" s="1"/>
      <c r="M31" s="1"/>
      <c r="N31" s="1"/>
      <c r="O31" s="1"/>
      <c r="P31" s="1"/>
      <c r="Q31" s="1"/>
      <c r="R31" s="1"/>
      <c r="S31" s="1"/>
      <c r="T31" s="1"/>
      <c r="U31" s="1"/>
      <c r="V31" s="1"/>
      <c r="W31" s="1"/>
      <c r="X31" s="1"/>
      <c r="Y31" s="1"/>
      <c r="Z31" s="1"/>
    </row>
    <row r="32" ht="19.5" customHeight="1">
      <c r="A32" s="66"/>
      <c r="B32" s="66"/>
      <c r="C32" s="67"/>
      <c r="D32" s="1"/>
      <c r="E32" s="1"/>
      <c r="F32" s="1"/>
      <c r="G32" s="1"/>
      <c r="H32" s="1"/>
      <c r="I32" s="1"/>
      <c r="J32" s="1"/>
      <c r="K32" s="1"/>
      <c r="L32" s="1"/>
      <c r="M32" s="1"/>
      <c r="N32" s="1"/>
      <c r="O32" s="1"/>
      <c r="P32" s="1"/>
      <c r="Q32" s="1"/>
      <c r="R32" s="1"/>
      <c r="S32" s="1"/>
      <c r="T32" s="1"/>
      <c r="U32" s="1"/>
      <c r="V32" s="1"/>
      <c r="W32" s="1"/>
      <c r="X32" s="1"/>
      <c r="Y32" s="1"/>
      <c r="Z32" s="1"/>
    </row>
    <row r="33" ht="19.5" customHeight="1">
      <c r="A33" s="66"/>
      <c r="B33" s="66"/>
      <c r="C33" s="69"/>
      <c r="D33" s="67"/>
      <c r="E33" s="67"/>
      <c r="F33" s="67"/>
      <c r="G33" s="1"/>
      <c r="H33" s="1"/>
      <c r="I33" s="1"/>
      <c r="J33" s="1"/>
      <c r="K33" s="1"/>
      <c r="L33" s="1"/>
      <c r="M33" s="1"/>
      <c r="N33" s="1"/>
      <c r="O33" s="1"/>
      <c r="P33" s="1"/>
      <c r="Q33" s="1"/>
      <c r="R33" s="1"/>
      <c r="S33" s="1"/>
      <c r="T33" s="1"/>
      <c r="U33" s="1"/>
      <c r="V33" s="1"/>
      <c r="W33" s="1"/>
      <c r="X33" s="1"/>
      <c r="Y33" s="1"/>
      <c r="Z33" s="1"/>
    </row>
    <row r="34" ht="19.5" customHeight="1">
      <c r="B34" s="66"/>
      <c r="D34" s="67"/>
      <c r="F34" s="67"/>
      <c r="H34" s="1"/>
      <c r="I34" s="70"/>
      <c r="J34" s="1"/>
      <c r="K34" s="1"/>
      <c r="L34" s="1"/>
      <c r="M34" s="1"/>
      <c r="N34" s="1"/>
      <c r="O34" s="1"/>
      <c r="P34" s="1"/>
      <c r="Q34" s="1"/>
      <c r="R34" s="1"/>
      <c r="S34" s="1"/>
      <c r="T34" s="1"/>
      <c r="U34" s="1"/>
      <c r="V34" s="1"/>
      <c r="W34" s="1"/>
      <c r="X34" s="1"/>
      <c r="Y34" s="1"/>
      <c r="Z34" s="1"/>
    </row>
    <row r="35" ht="19.5" customHeight="1">
      <c r="A35" s="66"/>
      <c r="B35" s="66"/>
      <c r="C35" s="67"/>
      <c r="D35" s="67"/>
      <c r="E35" s="67"/>
      <c r="F35" s="67"/>
      <c r="G35" s="67"/>
      <c r="H35" s="1"/>
      <c r="I35" s="1"/>
      <c r="J35" s="1"/>
      <c r="K35" s="41"/>
      <c r="L35" s="41"/>
      <c r="M35" s="41"/>
      <c r="N35" s="1"/>
      <c r="O35" s="1"/>
      <c r="P35" s="1"/>
      <c r="Q35" s="1"/>
      <c r="R35" s="1"/>
      <c r="S35" s="1"/>
      <c r="T35" s="1"/>
      <c r="U35" s="1"/>
      <c r="V35" s="1"/>
      <c r="W35" s="1"/>
      <c r="X35" s="1"/>
      <c r="Y35" s="1"/>
      <c r="Z35" s="1"/>
    </row>
    <row r="36" ht="19.5" customHeight="1">
      <c r="A36" s="66"/>
      <c r="C36" s="66"/>
      <c r="D36" s="67"/>
      <c r="E36" s="67"/>
      <c r="F36" s="67"/>
      <c r="G36" s="67"/>
      <c r="H36" s="1"/>
      <c r="I36" s="1"/>
      <c r="J36" s="1"/>
      <c r="K36" s="41"/>
      <c r="L36" s="41"/>
      <c r="M36" s="41"/>
      <c r="N36" s="1"/>
      <c r="O36" s="1"/>
      <c r="P36" s="1"/>
      <c r="Q36" s="1"/>
      <c r="R36" s="1"/>
      <c r="S36" s="1"/>
      <c r="T36" s="1"/>
      <c r="U36" s="1"/>
      <c r="V36" s="1"/>
      <c r="W36" s="1"/>
      <c r="X36" s="1"/>
      <c r="Y36" s="1"/>
      <c r="Z36" s="1"/>
    </row>
    <row r="37" ht="19.5" customHeight="1">
      <c r="A37" s="66"/>
      <c r="B37" s="66"/>
      <c r="C37" s="66"/>
      <c r="E37" s="67"/>
      <c r="F37" s="67"/>
      <c r="H37" s="1"/>
      <c r="I37" s="1"/>
      <c r="J37" s="1"/>
      <c r="K37" s="41"/>
      <c r="L37" s="41"/>
      <c r="M37" s="41"/>
      <c r="N37" s="1"/>
      <c r="O37" s="1"/>
      <c r="P37" s="1"/>
      <c r="Q37" s="1"/>
      <c r="R37" s="1"/>
      <c r="S37" s="1"/>
      <c r="T37" s="1"/>
      <c r="U37" s="1"/>
      <c r="V37" s="1"/>
      <c r="W37" s="1"/>
      <c r="X37" s="1"/>
      <c r="Y37" s="1"/>
      <c r="Z37" s="1"/>
    </row>
    <row r="38" ht="19.5" customHeight="1">
      <c r="A38" s="66"/>
      <c r="B38" s="66"/>
      <c r="C38" s="69"/>
      <c r="D38" s="1"/>
      <c r="E38" s="1"/>
      <c r="F38" s="1"/>
      <c r="G38" s="67"/>
      <c r="H38" s="71"/>
      <c r="I38" s="1"/>
      <c r="J38" s="1"/>
      <c r="K38" s="41"/>
      <c r="L38" s="41"/>
      <c r="M38" s="41"/>
      <c r="N38" s="1"/>
      <c r="O38" s="1"/>
      <c r="P38" s="1"/>
      <c r="Q38" s="1"/>
      <c r="R38" s="1"/>
      <c r="S38" s="1"/>
      <c r="T38" s="1"/>
      <c r="U38" s="1"/>
      <c r="V38" s="1"/>
      <c r="W38" s="1"/>
      <c r="X38" s="1"/>
      <c r="Y38" s="1"/>
      <c r="Z38" s="1"/>
    </row>
    <row r="39" ht="19.5" customHeight="1">
      <c r="A39" s="66"/>
      <c r="B39" s="66"/>
      <c r="C39" s="67"/>
      <c r="D39" s="1"/>
      <c r="E39" s="1"/>
      <c r="F39" s="1"/>
      <c r="G39" s="1"/>
      <c r="H39" s="1"/>
      <c r="I39" s="1"/>
      <c r="J39" s="1"/>
      <c r="K39" s="41"/>
      <c r="L39" s="41"/>
      <c r="M39" s="1"/>
      <c r="N39" s="1"/>
      <c r="O39" s="1"/>
      <c r="P39" s="1"/>
      <c r="Q39" s="1"/>
      <c r="R39" s="1"/>
      <c r="S39" s="1"/>
      <c r="T39" s="1"/>
      <c r="U39" s="1"/>
      <c r="V39" s="1"/>
      <c r="W39" s="1"/>
      <c r="X39" s="1"/>
      <c r="Y39" s="1"/>
      <c r="Z39" s="1"/>
    </row>
    <row r="40" ht="19.5" customHeight="1">
      <c r="A40" s="5"/>
      <c r="B40" s="66"/>
      <c r="C40" s="67"/>
      <c r="D40" s="67"/>
      <c r="E40" s="1"/>
      <c r="F40" s="1"/>
      <c r="G40" s="1"/>
      <c r="H40" s="1"/>
      <c r="I40" s="1"/>
      <c r="J40" s="1"/>
      <c r="K40" s="41"/>
      <c r="L40" s="41"/>
      <c r="M40" s="1"/>
      <c r="N40" s="1"/>
      <c r="O40" s="1"/>
      <c r="P40" s="1"/>
      <c r="Q40" s="1"/>
      <c r="R40" s="1"/>
      <c r="S40" s="1"/>
      <c r="T40" s="1"/>
      <c r="U40" s="1"/>
      <c r="V40" s="1"/>
      <c r="W40" s="1"/>
      <c r="X40" s="1"/>
      <c r="Y40" s="1"/>
      <c r="Z40" s="1"/>
    </row>
    <row r="41" ht="19.5" customHeight="1">
      <c r="A41" s="5"/>
      <c r="B41" s="73"/>
      <c r="C41" s="67"/>
      <c r="D41" s="67"/>
      <c r="E41" s="1"/>
      <c r="F41" s="1"/>
      <c r="G41" s="1"/>
      <c r="H41" s="1"/>
      <c r="I41" s="1"/>
      <c r="J41" s="1"/>
      <c r="K41" s="41"/>
      <c r="L41" s="41"/>
      <c r="M41" s="1"/>
      <c r="N41" s="1"/>
      <c r="O41" s="1"/>
      <c r="P41" s="1"/>
      <c r="Q41" s="1"/>
      <c r="R41" s="1"/>
      <c r="S41" s="1"/>
      <c r="T41" s="1"/>
      <c r="U41" s="1"/>
      <c r="V41" s="1"/>
      <c r="W41" s="1"/>
      <c r="X41" s="1"/>
      <c r="Y41" s="1"/>
      <c r="Z41" s="1"/>
    </row>
    <row r="42" ht="19.5" customHeight="1">
      <c r="A42" s="5"/>
      <c r="B42" s="75"/>
      <c r="C42" s="67"/>
      <c r="D42" s="67"/>
      <c r="E42" s="1"/>
      <c r="F42" s="1"/>
      <c r="G42" s="1"/>
      <c r="H42" s="1"/>
      <c r="I42" s="1"/>
      <c r="J42" s="1"/>
      <c r="K42" s="41"/>
      <c r="L42" s="41"/>
      <c r="M42" s="1"/>
      <c r="N42" s="1"/>
      <c r="O42" s="1"/>
      <c r="P42" s="1"/>
      <c r="Q42" s="1"/>
      <c r="R42" s="1"/>
      <c r="S42" s="1"/>
      <c r="T42" s="1"/>
      <c r="U42" s="1"/>
      <c r="V42" s="1"/>
      <c r="W42" s="1"/>
      <c r="X42" s="1"/>
      <c r="Y42" s="1"/>
      <c r="Z42" s="1"/>
    </row>
    <row r="43" ht="19.5" customHeight="1">
      <c r="A43" s="5"/>
      <c r="B43" s="67"/>
      <c r="C43" s="67"/>
      <c r="D43" s="67"/>
      <c r="E43" s="1"/>
      <c r="F43" s="76"/>
      <c r="G43" s="1"/>
      <c r="H43" s="1"/>
      <c r="I43" s="1"/>
      <c r="J43" s="1"/>
      <c r="K43" s="41"/>
      <c r="L43" s="41"/>
      <c r="M43" s="1"/>
      <c r="N43" s="1"/>
      <c r="O43" s="1"/>
      <c r="P43" s="1"/>
      <c r="Q43" s="1"/>
      <c r="R43" s="1"/>
      <c r="S43" s="1"/>
      <c r="T43" s="1"/>
      <c r="U43" s="1"/>
      <c r="V43" s="1"/>
      <c r="W43" s="1"/>
      <c r="X43" s="1"/>
      <c r="Y43" s="1"/>
      <c r="Z43" s="1"/>
    </row>
    <row r="44" ht="19.5" customHeight="1">
      <c r="A44" s="5"/>
      <c r="B44" s="75"/>
      <c r="C44" s="67"/>
      <c r="D44" s="67"/>
      <c r="E44" s="1"/>
      <c r="F44" s="1"/>
      <c r="G44" s="67"/>
      <c r="H44" s="1"/>
      <c r="I44" s="1"/>
      <c r="J44" s="1"/>
      <c r="K44" s="41"/>
      <c r="L44" s="41"/>
      <c r="M44" s="1"/>
      <c r="N44" s="1"/>
      <c r="O44" s="1"/>
      <c r="P44" s="1"/>
      <c r="Q44" s="1"/>
      <c r="R44" s="1"/>
      <c r="S44" s="1"/>
      <c r="T44" s="1"/>
      <c r="U44" s="1"/>
      <c r="V44" s="1"/>
      <c r="W44" s="1"/>
      <c r="X44" s="1"/>
      <c r="Y44" s="1"/>
      <c r="Z44" s="1"/>
    </row>
    <row r="45" ht="19.5" customHeight="1">
      <c r="A45" s="5"/>
      <c r="B45" s="67"/>
      <c r="C45" s="67"/>
      <c r="D45" s="67"/>
      <c r="E45" s="1"/>
      <c r="F45" s="69"/>
      <c r="G45" s="1"/>
      <c r="H45" s="1"/>
      <c r="I45" s="1"/>
      <c r="J45" s="1"/>
      <c r="K45" s="41"/>
      <c r="L45" s="41"/>
      <c r="M45" s="1"/>
      <c r="N45" s="1"/>
      <c r="O45" s="1"/>
      <c r="P45" s="1"/>
      <c r="Q45" s="1"/>
      <c r="R45" s="1"/>
      <c r="S45" s="1"/>
      <c r="T45" s="1"/>
      <c r="U45" s="1"/>
      <c r="V45" s="1"/>
      <c r="W45" s="1"/>
      <c r="X45" s="1"/>
      <c r="Y45" s="1"/>
      <c r="Z45" s="1"/>
    </row>
    <row r="46" ht="19.5" customHeight="1">
      <c r="A46" s="5"/>
      <c r="B46" s="75"/>
      <c r="C46" s="67"/>
      <c r="D46" s="67"/>
      <c r="E46" s="1"/>
      <c r="F46" s="66"/>
      <c r="G46" s="69"/>
      <c r="H46" s="1"/>
      <c r="I46" s="1"/>
      <c r="J46" s="1"/>
      <c r="K46" s="41"/>
      <c r="L46" s="41"/>
      <c r="M46" s="1"/>
      <c r="N46" s="1"/>
      <c r="O46" s="1"/>
      <c r="P46" s="1"/>
      <c r="Q46" s="1"/>
      <c r="R46" s="1"/>
      <c r="S46" s="1"/>
      <c r="T46" s="1"/>
      <c r="U46" s="1"/>
      <c r="V46" s="1"/>
      <c r="W46" s="1"/>
      <c r="X46" s="1"/>
      <c r="Y46" s="1"/>
      <c r="Z46" s="1"/>
    </row>
    <row r="47" ht="19.5" customHeight="1">
      <c r="A47" s="5"/>
      <c r="B47" s="67"/>
      <c r="C47" s="67"/>
      <c r="D47" s="67"/>
      <c r="E47" s="5"/>
      <c r="F47" s="66"/>
      <c r="G47" s="69"/>
      <c r="H47" s="1"/>
      <c r="I47" s="1"/>
      <c r="J47" s="1"/>
      <c r="K47" s="41"/>
      <c r="L47" s="41"/>
      <c r="M47" s="1"/>
      <c r="N47" s="1"/>
      <c r="O47" s="1"/>
      <c r="P47" s="1"/>
      <c r="Q47" s="1"/>
      <c r="R47" s="1"/>
      <c r="S47" s="1"/>
      <c r="T47" s="1"/>
      <c r="U47" s="1"/>
      <c r="V47" s="1"/>
      <c r="W47" s="1"/>
      <c r="X47" s="1"/>
      <c r="Y47" s="1"/>
      <c r="Z47" s="1"/>
    </row>
    <row r="48" ht="19.5" customHeight="1">
      <c r="A48" s="5"/>
      <c r="B48" s="78"/>
      <c r="C48" s="67"/>
      <c r="D48" s="67"/>
      <c r="E48" s="5"/>
      <c r="F48" s="66"/>
      <c r="G48" s="67"/>
      <c r="H48" s="1"/>
      <c r="I48" s="1"/>
      <c r="J48" s="1"/>
      <c r="K48" s="41"/>
      <c r="L48" s="41"/>
      <c r="M48" s="1"/>
      <c r="N48" s="1"/>
      <c r="O48" s="1"/>
      <c r="P48" s="1"/>
      <c r="Q48" s="1"/>
      <c r="R48" s="1"/>
      <c r="S48" s="1"/>
      <c r="T48" s="1"/>
      <c r="U48" s="1"/>
      <c r="V48" s="1"/>
      <c r="W48" s="1"/>
      <c r="X48" s="1"/>
      <c r="Y48" s="1"/>
      <c r="Z48" s="1"/>
    </row>
    <row r="49" ht="19.5" customHeight="1">
      <c r="A49" s="5"/>
      <c r="B49" s="67"/>
      <c r="C49" s="67"/>
      <c r="D49" s="67"/>
      <c r="E49" s="5"/>
      <c r="F49" s="73"/>
      <c r="G49" s="67"/>
      <c r="H49" s="1"/>
      <c r="I49" s="1"/>
      <c r="J49" s="1"/>
      <c r="K49" s="41"/>
      <c r="L49" s="41"/>
      <c r="M49" s="1"/>
      <c r="N49" s="1"/>
      <c r="O49" s="1"/>
      <c r="P49" s="1"/>
      <c r="Q49" s="1"/>
      <c r="R49" s="1"/>
      <c r="S49" s="1"/>
      <c r="T49" s="1"/>
      <c r="U49" s="1"/>
      <c r="V49" s="1"/>
      <c r="W49" s="1"/>
      <c r="X49" s="1"/>
      <c r="Y49" s="1"/>
      <c r="Z49" s="1"/>
    </row>
    <row r="50" ht="19.5" customHeight="1">
      <c r="A50" s="5"/>
      <c r="B50" s="78"/>
      <c r="C50" s="67"/>
      <c r="D50" s="67"/>
      <c r="E50" s="1"/>
      <c r="F50" s="1"/>
      <c r="G50" s="67"/>
      <c r="H50" s="1"/>
      <c r="I50" s="1"/>
      <c r="J50" s="1"/>
      <c r="K50" s="41"/>
      <c r="L50" s="41"/>
      <c r="M50" s="1"/>
      <c r="N50" s="1"/>
      <c r="O50" s="1"/>
      <c r="P50" s="1"/>
      <c r="Q50" s="1"/>
      <c r="R50" s="1"/>
      <c r="S50" s="1"/>
      <c r="T50" s="1"/>
      <c r="U50" s="1"/>
      <c r="V50" s="1"/>
      <c r="W50" s="1"/>
      <c r="X50" s="1"/>
      <c r="Y50" s="1"/>
      <c r="Z50" s="1"/>
    </row>
    <row r="51" ht="19.5" customHeight="1">
      <c r="A51" s="5"/>
      <c r="B51" s="67"/>
      <c r="C51" s="67"/>
      <c r="D51" s="67"/>
      <c r="E51" s="1"/>
      <c r="F51" s="1"/>
      <c r="G51" s="1"/>
      <c r="H51" s="1"/>
      <c r="I51" s="1"/>
      <c r="J51" s="1"/>
      <c r="K51" s="41"/>
      <c r="L51" s="41"/>
      <c r="M51" s="1"/>
      <c r="N51" s="1"/>
      <c r="O51" s="1"/>
      <c r="P51" s="1"/>
      <c r="Q51" s="1"/>
      <c r="R51" s="1"/>
      <c r="S51" s="1"/>
      <c r="T51" s="1"/>
      <c r="U51" s="1"/>
      <c r="V51" s="1"/>
      <c r="W51" s="1"/>
      <c r="X51" s="1"/>
      <c r="Y51" s="1"/>
      <c r="Z51" s="1"/>
    </row>
    <row r="52" ht="19.5" customHeight="1">
      <c r="A52" s="5"/>
      <c r="B52" s="78"/>
      <c r="C52" s="67"/>
      <c r="D52" s="67"/>
      <c r="E52" s="1"/>
      <c r="F52" s="1"/>
      <c r="G52" s="1"/>
      <c r="H52" s="1"/>
      <c r="I52" s="1"/>
      <c r="J52" s="1"/>
      <c r="K52" s="1"/>
      <c r="L52" s="1"/>
      <c r="M52" s="1"/>
      <c r="N52" s="1"/>
      <c r="O52" s="1"/>
      <c r="P52" s="1"/>
      <c r="Q52" s="1"/>
      <c r="R52" s="1"/>
      <c r="S52" s="1"/>
      <c r="T52" s="1"/>
      <c r="U52" s="1"/>
      <c r="V52" s="1"/>
      <c r="W52" s="1"/>
      <c r="X52" s="1"/>
      <c r="Y52" s="1"/>
      <c r="Z52" s="1"/>
    </row>
    <row r="53" ht="19.5" customHeight="1">
      <c r="A53" s="5"/>
      <c r="B53" s="67"/>
      <c r="C53" s="67"/>
      <c r="D53" s="67"/>
      <c r="E53" s="1"/>
      <c r="F53" s="1"/>
      <c r="G53" s="1"/>
      <c r="H53" s="1"/>
      <c r="I53" s="1"/>
      <c r="J53" s="1"/>
      <c r="K53" s="1"/>
      <c r="L53" s="1"/>
      <c r="M53" s="1"/>
      <c r="N53" s="1"/>
      <c r="O53" s="1"/>
      <c r="P53" s="1"/>
      <c r="Q53" s="1"/>
      <c r="R53" s="1"/>
      <c r="S53" s="1"/>
      <c r="T53" s="1"/>
      <c r="U53" s="1"/>
      <c r="V53" s="1"/>
      <c r="W53" s="1"/>
      <c r="X53" s="1"/>
      <c r="Y53" s="1"/>
      <c r="Z53" s="1"/>
    </row>
    <row r="54" ht="19.5" customHeight="1">
      <c r="A54" s="5"/>
      <c r="B54" s="78"/>
      <c r="C54" s="67"/>
      <c r="D54" s="67"/>
      <c r="E54" s="1"/>
      <c r="F54" s="1"/>
      <c r="G54" s="1"/>
      <c r="H54" s="1"/>
      <c r="I54" s="1"/>
      <c r="J54" s="1"/>
      <c r="K54" s="1"/>
      <c r="L54" s="1"/>
      <c r="M54" s="1"/>
      <c r="N54" s="1"/>
      <c r="O54" s="1"/>
      <c r="P54" s="1"/>
      <c r="Q54" s="1"/>
      <c r="R54" s="1"/>
      <c r="S54" s="1"/>
      <c r="T54" s="1"/>
      <c r="U54" s="1"/>
      <c r="V54" s="1"/>
      <c r="W54" s="1"/>
      <c r="X54" s="1"/>
      <c r="Y54" s="1"/>
      <c r="Z54" s="1"/>
    </row>
    <row r="55" ht="19.5" customHeight="1">
      <c r="A55" s="5"/>
      <c r="B55" s="67"/>
      <c r="C55" s="67"/>
      <c r="D55" s="67"/>
      <c r="E55" s="1"/>
      <c r="F55" s="1"/>
      <c r="G55" s="1"/>
      <c r="H55" s="1"/>
      <c r="I55" s="1"/>
      <c r="J55" s="1"/>
      <c r="K55" s="1"/>
      <c r="L55" s="1"/>
      <c r="M55" s="1"/>
      <c r="N55" s="1"/>
      <c r="O55" s="1"/>
      <c r="P55" s="1"/>
      <c r="Q55" s="1"/>
      <c r="R55" s="1"/>
      <c r="S55" s="1"/>
      <c r="T55" s="1"/>
      <c r="U55" s="1"/>
      <c r="V55" s="1"/>
      <c r="W55" s="1"/>
      <c r="X55" s="1"/>
      <c r="Y55" s="1"/>
      <c r="Z55" s="1"/>
    </row>
    <row r="56" ht="19.5" customHeight="1">
      <c r="A56" s="5"/>
      <c r="B56" s="78"/>
      <c r="C56" s="67"/>
      <c r="D56" s="67"/>
      <c r="E56" s="1"/>
      <c r="F56" s="1"/>
      <c r="G56" s="1"/>
      <c r="H56" s="1"/>
      <c r="I56" s="1"/>
      <c r="J56" s="1"/>
      <c r="K56" s="1"/>
      <c r="L56" s="1"/>
      <c r="M56" s="1"/>
      <c r="N56" s="1"/>
      <c r="O56" s="1"/>
      <c r="P56" s="1"/>
      <c r="Q56" s="1"/>
      <c r="R56" s="1"/>
      <c r="S56" s="1"/>
      <c r="T56" s="1"/>
      <c r="U56" s="1"/>
      <c r="V56" s="1"/>
      <c r="W56" s="1"/>
      <c r="X56" s="1"/>
      <c r="Y56" s="1"/>
      <c r="Z56" s="1"/>
    </row>
    <row r="57" ht="19.5" customHeight="1">
      <c r="A57" s="5"/>
      <c r="B57" s="67"/>
      <c r="C57" s="67"/>
      <c r="D57" s="67"/>
      <c r="E57" s="1"/>
      <c r="F57" s="1"/>
      <c r="G57" s="1"/>
      <c r="H57" s="1"/>
      <c r="I57" s="1"/>
      <c r="J57" s="1"/>
      <c r="K57" s="1"/>
      <c r="L57" s="1"/>
      <c r="M57" s="1"/>
      <c r="N57" s="1"/>
      <c r="O57" s="1"/>
      <c r="P57" s="1"/>
      <c r="Q57" s="1"/>
      <c r="R57" s="1"/>
      <c r="S57" s="1"/>
      <c r="T57" s="1"/>
      <c r="U57" s="1"/>
      <c r="V57" s="1"/>
      <c r="W57" s="1"/>
      <c r="X57" s="1"/>
      <c r="Y57" s="1"/>
      <c r="Z57" s="1"/>
    </row>
    <row r="58" ht="19.5" customHeight="1">
      <c r="A58" s="5"/>
      <c r="B58" s="78"/>
      <c r="C58" s="67"/>
      <c r="D58" s="67"/>
      <c r="E58" s="1"/>
      <c r="F58" s="1"/>
      <c r="G58" s="1"/>
      <c r="H58" s="1"/>
      <c r="I58" s="1"/>
      <c r="J58" s="1"/>
      <c r="K58" s="1"/>
      <c r="L58" s="1"/>
      <c r="M58" s="1"/>
      <c r="N58" s="1"/>
      <c r="O58" s="1"/>
      <c r="P58" s="1"/>
      <c r="Q58" s="1"/>
      <c r="R58" s="1"/>
      <c r="S58" s="1"/>
      <c r="T58" s="1"/>
      <c r="U58" s="1"/>
      <c r="V58" s="1"/>
      <c r="W58" s="1"/>
      <c r="X58" s="1"/>
      <c r="Y58" s="1"/>
      <c r="Z58" s="1"/>
    </row>
    <row r="59" ht="19.5" customHeight="1">
      <c r="A59" s="5"/>
      <c r="B59" s="67"/>
      <c r="C59" s="67"/>
      <c r="D59" s="67"/>
      <c r="E59" s="1"/>
      <c r="F59" s="1"/>
      <c r="G59" s="1"/>
      <c r="H59" s="1"/>
      <c r="I59" s="1"/>
      <c r="J59" s="1"/>
      <c r="K59" s="1"/>
      <c r="L59" s="1"/>
      <c r="M59" s="1"/>
      <c r="N59" s="1"/>
      <c r="O59" s="1"/>
      <c r="P59" s="1"/>
      <c r="Q59" s="1"/>
      <c r="R59" s="1"/>
      <c r="S59" s="1"/>
      <c r="T59" s="1"/>
      <c r="U59" s="1"/>
      <c r="V59" s="1"/>
      <c r="W59" s="1"/>
      <c r="X59" s="1"/>
      <c r="Y59" s="1"/>
      <c r="Z59" s="1"/>
    </row>
    <row r="60" ht="19.5" customHeight="1">
      <c r="A60" s="5"/>
      <c r="B60" s="78"/>
      <c r="C60" s="67"/>
      <c r="D60" s="67"/>
      <c r="E60" s="1"/>
      <c r="F60" s="1"/>
      <c r="G60" s="1"/>
      <c r="H60" s="1"/>
      <c r="I60" s="1"/>
      <c r="J60" s="1"/>
      <c r="K60" s="1"/>
      <c r="L60" s="1"/>
      <c r="M60" s="1"/>
      <c r="N60" s="1"/>
      <c r="O60" s="1"/>
      <c r="P60" s="1"/>
      <c r="Q60" s="1"/>
      <c r="R60" s="1"/>
      <c r="S60" s="1"/>
      <c r="T60" s="1"/>
      <c r="U60" s="1"/>
      <c r="V60" s="1"/>
      <c r="W60" s="1"/>
      <c r="X60" s="1"/>
      <c r="Y60" s="1"/>
      <c r="Z60" s="1"/>
    </row>
    <row r="61" ht="19.5" customHeight="1">
      <c r="A61" s="1"/>
      <c r="B61" s="67"/>
      <c r="C61" s="67"/>
      <c r="D61" s="67"/>
      <c r="E61" s="1"/>
      <c r="F61" s="1"/>
      <c r="G61" s="1"/>
      <c r="H61" s="1"/>
      <c r="I61" s="1"/>
      <c r="J61" s="1"/>
      <c r="K61" s="1"/>
      <c r="L61" s="1"/>
      <c r="M61" s="1"/>
      <c r="N61" s="1"/>
      <c r="O61" s="1"/>
      <c r="P61" s="1"/>
      <c r="Q61" s="1"/>
      <c r="R61" s="1"/>
      <c r="S61" s="1"/>
      <c r="T61" s="1"/>
      <c r="U61" s="1"/>
      <c r="V61" s="1"/>
      <c r="W61" s="1"/>
      <c r="X61" s="1"/>
      <c r="Y61" s="1"/>
      <c r="Z61" s="1"/>
    </row>
    <row r="62" ht="19.5" customHeight="1">
      <c r="A62" s="1"/>
      <c r="B62" s="78"/>
      <c r="C62" s="67"/>
      <c r="D62" s="67"/>
      <c r="E62" s="1"/>
      <c r="F62" s="1"/>
      <c r="G62" s="1"/>
      <c r="H62" s="1"/>
      <c r="I62" s="1"/>
      <c r="J62" s="1"/>
      <c r="K62" s="1"/>
      <c r="L62" s="1"/>
      <c r="M62" s="1"/>
      <c r="N62" s="1"/>
      <c r="O62" s="1"/>
      <c r="P62" s="1"/>
      <c r="Q62" s="1"/>
      <c r="R62" s="1"/>
      <c r="S62" s="1"/>
      <c r="T62" s="1"/>
      <c r="U62" s="1"/>
      <c r="V62" s="1"/>
      <c r="W62" s="1"/>
      <c r="X62" s="1"/>
      <c r="Y62" s="1"/>
      <c r="Z62" s="1"/>
    </row>
    <row r="63" ht="19.5" customHeight="1">
      <c r="A63" s="1"/>
      <c r="B63" s="67"/>
      <c r="C63" s="67"/>
      <c r="D63" s="67"/>
      <c r="E63" s="1"/>
      <c r="F63" s="1"/>
      <c r="G63" s="1"/>
      <c r="H63" s="1"/>
      <c r="I63" s="1"/>
      <c r="J63" s="1"/>
      <c r="K63" s="1"/>
      <c r="L63" s="1"/>
      <c r="M63" s="1"/>
      <c r="N63" s="1"/>
      <c r="O63" s="1"/>
      <c r="P63" s="1"/>
      <c r="Q63" s="1"/>
      <c r="R63" s="1"/>
      <c r="S63" s="1"/>
      <c r="T63" s="1"/>
      <c r="U63" s="1"/>
      <c r="V63" s="1"/>
      <c r="W63" s="1"/>
      <c r="X63" s="1"/>
      <c r="Y63" s="1"/>
      <c r="Z63" s="1"/>
    </row>
    <row r="64" ht="19.5" customHeight="1">
      <c r="A64" s="1"/>
      <c r="B64" s="78"/>
      <c r="C64" s="67"/>
      <c r="D64" s="67"/>
      <c r="E64" s="1"/>
      <c r="F64" s="1"/>
      <c r="G64" s="1"/>
      <c r="H64" s="1"/>
      <c r="I64" s="1"/>
      <c r="J64" s="1"/>
      <c r="K64" s="1"/>
      <c r="L64" s="1"/>
      <c r="M64" s="1"/>
      <c r="N64" s="1"/>
      <c r="O64" s="1"/>
      <c r="P64" s="1"/>
      <c r="Q64" s="1"/>
      <c r="R64" s="1"/>
      <c r="S64" s="1"/>
      <c r="T64" s="1"/>
      <c r="U64" s="1"/>
      <c r="V64" s="1"/>
      <c r="W64" s="1"/>
      <c r="X64" s="1"/>
      <c r="Y64" s="1"/>
      <c r="Z64" s="1"/>
    </row>
    <row r="65" ht="19.5" customHeight="1">
      <c r="A65" s="1"/>
      <c r="B65" s="67"/>
      <c r="C65" s="67"/>
      <c r="D65" s="67"/>
      <c r="E65" s="1"/>
      <c r="F65" s="1"/>
      <c r="G65" s="1"/>
      <c r="H65" s="1"/>
      <c r="I65" s="1"/>
      <c r="J65" s="22"/>
      <c r="K65" s="1"/>
      <c r="L65" s="1"/>
      <c r="M65" s="1"/>
      <c r="N65" s="1"/>
      <c r="O65" s="1"/>
      <c r="P65" s="1"/>
      <c r="Q65" s="1"/>
      <c r="R65" s="1"/>
      <c r="S65" s="1"/>
      <c r="T65" s="1"/>
      <c r="U65" s="1"/>
      <c r="V65" s="1"/>
      <c r="W65" s="1"/>
      <c r="X65" s="1"/>
      <c r="Y65" s="1"/>
      <c r="Z65" s="1"/>
    </row>
    <row r="66" ht="15.75" customHeight="1">
      <c r="A66" s="1"/>
      <c r="B66" s="78"/>
      <c r="C66" s="67"/>
      <c r="D66" s="67"/>
      <c r="E66" s="1"/>
      <c r="F66" s="1"/>
      <c r="G66" s="1"/>
      <c r="H66" s="1"/>
      <c r="I66" s="1"/>
      <c r="J66" s="22"/>
      <c r="K66" s="1"/>
      <c r="L66" s="1"/>
      <c r="M66" s="1"/>
      <c r="N66" s="1"/>
      <c r="O66" s="1"/>
      <c r="P66" s="1"/>
      <c r="Q66" s="1"/>
      <c r="R66" s="1"/>
      <c r="S66" s="1"/>
      <c r="T66" s="1"/>
      <c r="U66" s="1"/>
      <c r="V66" s="1"/>
      <c r="W66" s="1"/>
      <c r="X66" s="1"/>
      <c r="Y66" s="1"/>
      <c r="Z66" s="1"/>
    </row>
    <row r="67" ht="15.75" customHeight="1">
      <c r="A67" s="1"/>
      <c r="B67" s="67"/>
      <c r="C67" s="67"/>
      <c r="D67" s="67"/>
      <c r="E67" s="1"/>
      <c r="F67" s="1"/>
      <c r="G67" s="1"/>
      <c r="H67" s="1"/>
      <c r="I67" s="1"/>
      <c r="J67" s="1"/>
      <c r="K67" s="1"/>
      <c r="L67" s="1"/>
      <c r="M67" s="1"/>
      <c r="N67" s="1"/>
      <c r="O67" s="1"/>
      <c r="P67" s="1"/>
      <c r="Q67" s="1"/>
      <c r="R67" s="1"/>
      <c r="S67" s="1"/>
      <c r="T67" s="1"/>
      <c r="U67" s="1"/>
      <c r="V67" s="1"/>
      <c r="W67" s="1"/>
      <c r="X67" s="1"/>
      <c r="Y67" s="1"/>
      <c r="Z67" s="1"/>
    </row>
    <row r="68" ht="15.75" customHeight="1">
      <c r="A68" s="1"/>
      <c r="B68" s="78"/>
      <c r="C68" s="67"/>
      <c r="D68" s="67"/>
      <c r="E68" s="1"/>
      <c r="F68" s="1"/>
      <c r="G68" s="1"/>
      <c r="H68" s="1"/>
      <c r="I68" s="1"/>
      <c r="J68" s="1"/>
      <c r="K68" s="1"/>
      <c r="L68" s="1"/>
      <c r="M68" s="1"/>
      <c r="N68" s="1"/>
      <c r="O68" s="1"/>
      <c r="P68" s="1"/>
      <c r="Q68" s="1"/>
      <c r="R68" s="1"/>
      <c r="S68" s="1"/>
      <c r="T68" s="1"/>
      <c r="U68" s="1"/>
      <c r="V68" s="1"/>
      <c r="W68" s="1"/>
      <c r="X68" s="1"/>
      <c r="Y68" s="1"/>
      <c r="Z68" s="1"/>
    </row>
    <row r="69" ht="15.75" customHeight="1">
      <c r="A69" s="1"/>
      <c r="B69" s="67"/>
      <c r="C69" s="67"/>
      <c r="D69" s="67"/>
      <c r="E69" s="1"/>
      <c r="F69" s="1"/>
      <c r="G69" s="1"/>
      <c r="H69" s="1"/>
      <c r="I69" s="1"/>
      <c r="J69" s="1"/>
      <c r="K69" s="1"/>
      <c r="L69" s="1"/>
      <c r="M69" s="1"/>
      <c r="N69" s="1"/>
      <c r="O69" s="1"/>
      <c r="P69" s="1"/>
      <c r="Q69" s="1"/>
      <c r="R69" s="1"/>
      <c r="S69" s="1"/>
      <c r="T69" s="1"/>
      <c r="U69" s="1"/>
      <c r="V69" s="1"/>
      <c r="W69" s="1"/>
      <c r="X69" s="1"/>
      <c r="Y69" s="1"/>
      <c r="Z69" s="1"/>
    </row>
    <row r="70" ht="15.75" customHeight="1">
      <c r="A70" s="1"/>
      <c r="B70" s="78"/>
      <c r="C70" s="67"/>
      <c r="D70" s="67"/>
      <c r="E70" s="1"/>
      <c r="F70" s="1"/>
      <c r="G70" s="1"/>
      <c r="H70" s="1"/>
      <c r="I70" s="1"/>
      <c r="J70" s="1"/>
      <c r="K70" s="1"/>
      <c r="L70" s="1"/>
      <c r="M70" s="1"/>
      <c r="N70" s="1"/>
      <c r="O70" s="1"/>
      <c r="P70" s="1"/>
      <c r="Q70" s="1"/>
      <c r="R70" s="1"/>
      <c r="S70" s="1"/>
      <c r="T70" s="1"/>
      <c r="U70" s="1"/>
      <c r="V70" s="1"/>
      <c r="W70" s="1"/>
      <c r="X70" s="1"/>
      <c r="Y70" s="1"/>
      <c r="Z70" s="1"/>
    </row>
    <row r="71" ht="15.75" customHeight="1">
      <c r="A71" s="1"/>
      <c r="B71" s="67"/>
      <c r="C71" s="67"/>
      <c r="D71" s="67"/>
      <c r="E71" s="1"/>
      <c r="F71" s="1"/>
      <c r="G71" s="1"/>
      <c r="H71" s="1"/>
      <c r="I71" s="1"/>
      <c r="J71" s="1"/>
      <c r="K71" s="1"/>
      <c r="L71" s="1"/>
      <c r="M71" s="1"/>
      <c r="N71" s="1"/>
      <c r="O71" s="1"/>
      <c r="P71" s="1"/>
      <c r="Q71" s="1"/>
      <c r="R71" s="1"/>
      <c r="S71" s="1"/>
      <c r="T71" s="1"/>
      <c r="U71" s="1"/>
      <c r="V71" s="1"/>
      <c r="W71" s="1"/>
      <c r="X71" s="1"/>
      <c r="Y71" s="1"/>
      <c r="Z71" s="1"/>
    </row>
    <row r="72" ht="15.75" customHeight="1">
      <c r="A72" s="1"/>
      <c r="B72" s="78"/>
      <c r="C72" s="67"/>
      <c r="D72" s="67"/>
      <c r="E72" s="1"/>
      <c r="F72" s="1"/>
      <c r="G72" s="1"/>
      <c r="H72" s="1"/>
      <c r="I72" s="1"/>
      <c r="J72" s="1"/>
      <c r="K72" s="1"/>
      <c r="L72" s="1"/>
      <c r="M72" s="1"/>
      <c r="N72" s="1"/>
      <c r="O72" s="1"/>
      <c r="P72" s="1"/>
      <c r="Q72" s="1"/>
      <c r="R72" s="1"/>
      <c r="S72" s="1"/>
      <c r="T72" s="1"/>
      <c r="U72" s="1"/>
      <c r="V72" s="1"/>
      <c r="W72" s="1"/>
      <c r="X72" s="1"/>
      <c r="Y72" s="1"/>
      <c r="Z72" s="1"/>
    </row>
    <row r="73" ht="15.75" customHeight="1">
      <c r="A73" s="1"/>
      <c r="B73" s="69"/>
      <c r="C73" s="67"/>
      <c r="D73" s="67"/>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69"/>
      <c r="D74" s="67"/>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22">
    <mergeCell ref="C1:E1"/>
    <mergeCell ref="F1:H1"/>
    <mergeCell ref="B2:F2"/>
    <mergeCell ref="B5:F5"/>
    <mergeCell ref="C8:F8"/>
    <mergeCell ref="C9:F9"/>
    <mergeCell ref="C10:F10"/>
    <mergeCell ref="D21:E21"/>
    <mergeCell ref="D22:E22"/>
    <mergeCell ref="D23:E23"/>
    <mergeCell ref="D24:E24"/>
    <mergeCell ref="B28:F28"/>
    <mergeCell ref="B29:F29"/>
    <mergeCell ref="B30:F30"/>
    <mergeCell ref="B31:F31"/>
    <mergeCell ref="C11:F11"/>
    <mergeCell ref="C12:D12"/>
    <mergeCell ref="C13:D13"/>
    <mergeCell ref="C14:D14"/>
    <mergeCell ref="D18:E18"/>
    <mergeCell ref="D19:E19"/>
    <mergeCell ref="D20:E20"/>
  </mergeCells>
  <printOptions horizontalCentered="1"/>
  <pageMargins bottom="0.03976377952755911" footer="0.0" header="0.0" left="0.0" right="0.0" top="0.03976377952755911"/>
  <pageSetup scale="45"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cols>
    <col customWidth="1" min="1" max="1" width="1.9"/>
    <col customWidth="1" min="2" max="2" width="7.7"/>
    <col customWidth="1" min="3" max="3" width="9.1"/>
    <col customWidth="1" min="4" max="4" width="11.9"/>
    <col customWidth="1" min="5" max="5" width="13.0"/>
    <col customWidth="1" min="6" max="6" width="17.9"/>
    <col customWidth="1" min="7" max="7" width="33.5"/>
    <col customWidth="1" min="8" max="8" width="9.7"/>
    <col customWidth="1" min="9" max="9" width="14.4"/>
    <col customWidth="1" min="10" max="10" width="17.6"/>
    <col customWidth="1" min="11" max="11" width="30.7"/>
    <col customWidth="1" min="12" max="12" width="24.9"/>
    <col customWidth="1" min="13" max="13" width="20.4"/>
  </cols>
  <sheetData>
    <row r="1">
      <c r="C1" s="68"/>
      <c r="E1" s="68"/>
      <c r="F1" s="68"/>
      <c r="G1" s="68"/>
      <c r="M1" s="68"/>
    </row>
    <row r="2" ht="22.5" customHeight="1">
      <c r="B2" s="72" t="s">
        <v>52</v>
      </c>
      <c r="C2" s="72" t="s">
        <v>53</v>
      </c>
      <c r="D2" s="74" t="s">
        <v>54</v>
      </c>
      <c r="E2" s="74" t="s">
        <v>55</v>
      </c>
      <c r="F2" s="74" t="s">
        <v>56</v>
      </c>
      <c r="G2" s="74" t="s">
        <v>57</v>
      </c>
      <c r="H2" s="74" t="s">
        <v>58</v>
      </c>
      <c r="I2" s="77" t="s">
        <v>59</v>
      </c>
      <c r="J2" s="77" t="s">
        <v>60</v>
      </c>
      <c r="K2" s="77" t="s">
        <v>61</v>
      </c>
      <c r="L2" s="79" t="s">
        <v>62</v>
      </c>
      <c r="M2" s="80" t="s">
        <v>63</v>
      </c>
    </row>
    <row r="3" ht="22.5" customHeight="1">
      <c r="B3" s="81" t="s">
        <v>64</v>
      </c>
      <c r="C3" s="82" t="s">
        <v>66</v>
      </c>
      <c r="D3" s="83" t="s">
        <v>68</v>
      </c>
      <c r="E3" s="82" t="s">
        <v>69</v>
      </c>
      <c r="F3" s="82" t="s">
        <v>70</v>
      </c>
      <c r="G3" s="82" t="s">
        <v>71</v>
      </c>
      <c r="H3" s="84" t="s">
        <v>67</v>
      </c>
      <c r="I3" s="85" t="s">
        <v>5</v>
      </c>
      <c r="J3" s="84" t="s">
        <v>76</v>
      </c>
      <c r="K3" s="84" t="s">
        <v>77</v>
      </c>
      <c r="L3" s="86"/>
      <c r="M3" s="82"/>
    </row>
    <row r="4" ht="22.5" customHeight="1">
      <c r="B4" s="81" t="s">
        <v>64</v>
      </c>
      <c r="C4" s="82" t="s">
        <v>80</v>
      </c>
      <c r="D4" s="83" t="s">
        <v>81</v>
      </c>
      <c r="E4" s="82" t="s">
        <v>69</v>
      </c>
      <c r="F4" s="82" t="s">
        <v>83</v>
      </c>
      <c r="G4" s="82" t="s">
        <v>85</v>
      </c>
      <c r="H4" s="84" t="s">
        <v>67</v>
      </c>
      <c r="I4" s="85" t="s">
        <v>5</v>
      </c>
      <c r="J4" s="84" t="s">
        <v>76</v>
      </c>
      <c r="K4" s="84" t="s">
        <v>77</v>
      </c>
      <c r="L4" s="86"/>
      <c r="M4" s="82"/>
    </row>
    <row r="5" ht="22.5" customHeight="1">
      <c r="B5" s="81" t="s">
        <v>64</v>
      </c>
      <c r="C5" s="82" t="s">
        <v>91</v>
      </c>
      <c r="D5" s="83" t="s">
        <v>92</v>
      </c>
      <c r="E5" s="82" t="s">
        <v>69</v>
      </c>
      <c r="F5" s="82" t="s">
        <v>93</v>
      </c>
      <c r="G5" s="82" t="s">
        <v>94</v>
      </c>
      <c r="H5" s="84" t="s">
        <v>67</v>
      </c>
      <c r="I5" s="85" t="s">
        <v>5</v>
      </c>
      <c r="J5" s="84" t="s">
        <v>76</v>
      </c>
      <c r="K5" s="84" t="s">
        <v>77</v>
      </c>
      <c r="L5" s="86"/>
      <c r="M5" s="82"/>
    </row>
    <row r="6" ht="22.5" customHeight="1">
      <c r="B6" s="81" t="s">
        <v>64</v>
      </c>
      <c r="C6" s="82" t="s">
        <v>98</v>
      </c>
      <c r="D6" s="83" t="s">
        <v>99</v>
      </c>
      <c r="E6" s="82" t="s">
        <v>69</v>
      </c>
      <c r="F6" s="82" t="s">
        <v>100</v>
      </c>
      <c r="G6" s="82" t="s">
        <v>102</v>
      </c>
      <c r="H6" s="84" t="s">
        <v>10</v>
      </c>
      <c r="I6" s="85" t="s">
        <v>5</v>
      </c>
      <c r="J6" s="84" t="s">
        <v>76</v>
      </c>
      <c r="K6" s="84" t="s">
        <v>77</v>
      </c>
      <c r="L6" s="86"/>
      <c r="M6" s="82"/>
    </row>
    <row r="7" ht="22.5" customHeight="1">
      <c r="B7" s="81" t="s">
        <v>105</v>
      </c>
      <c r="C7" s="82" t="s">
        <v>107</v>
      </c>
      <c r="D7" s="83" t="s">
        <v>108</v>
      </c>
      <c r="E7" s="82" t="s">
        <v>109</v>
      </c>
      <c r="F7" s="82" t="s">
        <v>110</v>
      </c>
      <c r="G7" s="82" t="s">
        <v>111</v>
      </c>
      <c r="H7" s="84" t="s">
        <v>67</v>
      </c>
      <c r="I7" s="85" t="s">
        <v>5</v>
      </c>
      <c r="J7" s="84" t="s">
        <v>76</v>
      </c>
      <c r="K7" s="84" t="s">
        <v>77</v>
      </c>
      <c r="L7" s="86"/>
      <c r="M7" s="82"/>
    </row>
    <row r="8" ht="22.5" customHeight="1">
      <c r="B8" s="81" t="s">
        <v>105</v>
      </c>
      <c r="C8" s="82" t="s">
        <v>115</v>
      </c>
      <c r="D8" s="83" t="s">
        <v>116</v>
      </c>
      <c r="E8" s="82" t="s">
        <v>109</v>
      </c>
      <c r="F8" s="82" t="s">
        <v>117</v>
      </c>
      <c r="G8" s="82" t="s">
        <v>119</v>
      </c>
      <c r="H8" s="84" t="s">
        <v>67</v>
      </c>
      <c r="I8" s="85" t="s">
        <v>5</v>
      </c>
      <c r="J8" s="84" t="s">
        <v>76</v>
      </c>
      <c r="K8" s="84" t="s">
        <v>77</v>
      </c>
      <c r="L8" s="86"/>
      <c r="M8" s="82"/>
    </row>
    <row r="9" ht="22.5" customHeight="1">
      <c r="B9" s="81" t="s">
        <v>105</v>
      </c>
      <c r="C9" s="82" t="s">
        <v>122</v>
      </c>
      <c r="D9" s="83" t="s">
        <v>123</v>
      </c>
      <c r="E9" s="82" t="s">
        <v>109</v>
      </c>
      <c r="F9" s="82" t="s">
        <v>124</v>
      </c>
      <c r="G9" s="82" t="s">
        <v>125</v>
      </c>
      <c r="H9" s="84" t="s">
        <v>42</v>
      </c>
      <c r="I9" s="85" t="s">
        <v>5</v>
      </c>
      <c r="J9" s="84" t="s">
        <v>78</v>
      </c>
      <c r="K9" s="84" t="s">
        <v>77</v>
      </c>
      <c r="L9" s="86"/>
      <c r="M9" s="82"/>
    </row>
    <row r="10" ht="22.5" customHeight="1">
      <c r="B10" s="81" t="s">
        <v>131</v>
      </c>
      <c r="C10" s="82" t="s">
        <v>132</v>
      </c>
      <c r="D10" s="83" t="s">
        <v>133</v>
      </c>
      <c r="E10" s="82" t="s">
        <v>134</v>
      </c>
      <c r="F10" s="82" t="s">
        <v>135</v>
      </c>
      <c r="G10" s="82" t="s">
        <v>136</v>
      </c>
      <c r="H10" s="84" t="s">
        <v>10</v>
      </c>
      <c r="I10" s="85" t="s">
        <v>5</v>
      </c>
      <c r="J10" s="84" t="s">
        <v>78</v>
      </c>
      <c r="K10" s="84" t="s">
        <v>77</v>
      </c>
      <c r="L10" s="86"/>
      <c r="M10" s="82"/>
    </row>
    <row r="11" ht="22.5" customHeight="1">
      <c r="B11" s="81" t="s">
        <v>131</v>
      </c>
      <c r="C11" s="82" t="s">
        <v>142</v>
      </c>
      <c r="D11" s="83" t="s">
        <v>144</v>
      </c>
      <c r="E11" s="82" t="s">
        <v>134</v>
      </c>
      <c r="F11" s="82" t="s">
        <v>145</v>
      </c>
      <c r="G11" s="82" t="s">
        <v>146</v>
      </c>
      <c r="H11" s="84" t="s">
        <v>10</v>
      </c>
      <c r="I11" s="85" t="s">
        <v>5</v>
      </c>
      <c r="J11" s="84" t="s">
        <v>78</v>
      </c>
      <c r="K11" s="84" t="s">
        <v>77</v>
      </c>
      <c r="L11" s="86"/>
      <c r="M11" s="82"/>
    </row>
    <row r="12" ht="22.5" customHeight="1">
      <c r="B12" s="81" t="s">
        <v>131</v>
      </c>
      <c r="C12" s="82" t="s">
        <v>150</v>
      </c>
      <c r="D12" s="83" t="s">
        <v>151</v>
      </c>
      <c r="E12" s="82" t="s">
        <v>134</v>
      </c>
      <c r="F12" s="82" t="s">
        <v>153</v>
      </c>
      <c r="G12" s="82" t="s">
        <v>154</v>
      </c>
      <c r="H12" s="84" t="s">
        <v>67</v>
      </c>
      <c r="I12" s="85" t="s">
        <v>5</v>
      </c>
      <c r="J12" s="84" t="s">
        <v>76</v>
      </c>
      <c r="K12" s="84" t="s">
        <v>77</v>
      </c>
      <c r="L12" s="86"/>
      <c r="M12" s="82"/>
    </row>
    <row r="13" ht="22.5" customHeight="1">
      <c r="B13" s="81" t="s">
        <v>131</v>
      </c>
      <c r="C13" s="82" t="s">
        <v>158</v>
      </c>
      <c r="D13" s="83" t="s">
        <v>159</v>
      </c>
      <c r="E13" s="82" t="s">
        <v>134</v>
      </c>
      <c r="F13" s="82" t="s">
        <v>160</v>
      </c>
      <c r="G13" s="82" t="s">
        <v>162</v>
      </c>
      <c r="H13" s="84" t="s">
        <v>10</v>
      </c>
      <c r="I13" s="85" t="s">
        <v>5</v>
      </c>
      <c r="J13" s="84" t="s">
        <v>89</v>
      </c>
      <c r="K13" s="84" t="s">
        <v>77</v>
      </c>
      <c r="L13" s="86"/>
      <c r="M13" s="82"/>
    </row>
    <row r="14" ht="22.5" customHeight="1">
      <c r="B14" s="81" t="s">
        <v>131</v>
      </c>
      <c r="C14" s="82" t="s">
        <v>169</v>
      </c>
      <c r="D14" s="83" t="s">
        <v>170</v>
      </c>
      <c r="E14" s="82" t="s">
        <v>134</v>
      </c>
      <c r="F14" s="82" t="s">
        <v>171</v>
      </c>
      <c r="G14" s="82" t="s">
        <v>172</v>
      </c>
      <c r="H14" s="84" t="s">
        <v>67</v>
      </c>
      <c r="I14" s="85" t="s">
        <v>5</v>
      </c>
      <c r="J14" s="84" t="s">
        <v>76</v>
      </c>
      <c r="K14" s="84" t="s">
        <v>77</v>
      </c>
      <c r="L14" s="86"/>
      <c r="M14" s="82"/>
    </row>
    <row r="15" ht="22.5" customHeight="1">
      <c r="B15" s="81" t="s">
        <v>131</v>
      </c>
      <c r="C15" s="82" t="s">
        <v>169</v>
      </c>
      <c r="D15" s="83" t="s">
        <v>176</v>
      </c>
      <c r="E15" s="82" t="s">
        <v>134</v>
      </c>
      <c r="F15" s="82" t="s">
        <v>171</v>
      </c>
      <c r="G15" s="82" t="s">
        <v>179</v>
      </c>
      <c r="H15" s="84" t="s">
        <v>67</v>
      </c>
      <c r="I15" s="85" t="s">
        <v>5</v>
      </c>
      <c r="J15" s="84" t="s">
        <v>76</v>
      </c>
      <c r="K15" s="84" t="s">
        <v>77</v>
      </c>
      <c r="L15" s="86"/>
      <c r="M15" s="82"/>
    </row>
    <row r="16" ht="22.5" customHeight="1">
      <c r="B16" s="81" t="s">
        <v>182</v>
      </c>
      <c r="C16" s="82" t="s">
        <v>183</v>
      </c>
      <c r="D16" s="83" t="s">
        <v>184</v>
      </c>
      <c r="E16" s="82" t="s">
        <v>185</v>
      </c>
      <c r="F16" s="82" t="s">
        <v>187</v>
      </c>
      <c r="G16" s="82" t="s">
        <v>189</v>
      </c>
      <c r="H16" s="84" t="s">
        <v>10</v>
      </c>
      <c r="I16" s="85" t="s">
        <v>5</v>
      </c>
      <c r="J16" s="84" t="s">
        <v>76</v>
      </c>
      <c r="K16" s="84" t="s">
        <v>77</v>
      </c>
      <c r="L16" s="86"/>
      <c r="M16" s="82"/>
    </row>
    <row r="17" ht="22.5" customHeight="1">
      <c r="B17" s="81" t="s">
        <v>182</v>
      </c>
      <c r="C17" s="82" t="s">
        <v>192</v>
      </c>
      <c r="D17" s="83" t="s">
        <v>193</v>
      </c>
      <c r="E17" s="82" t="s">
        <v>185</v>
      </c>
      <c r="F17" s="82" t="s">
        <v>194</v>
      </c>
      <c r="G17" s="82" t="s">
        <v>195</v>
      </c>
      <c r="H17" s="84" t="s">
        <v>10</v>
      </c>
      <c r="I17" s="85" t="s">
        <v>5</v>
      </c>
      <c r="J17" s="84" t="s">
        <v>89</v>
      </c>
      <c r="K17" s="84" t="s">
        <v>77</v>
      </c>
      <c r="L17" s="86"/>
      <c r="M17" s="82"/>
    </row>
    <row r="18" ht="22.5" customHeight="1">
      <c r="B18" s="81" t="s">
        <v>182</v>
      </c>
      <c r="C18" s="82" t="s">
        <v>197</v>
      </c>
      <c r="D18" s="83" t="s">
        <v>199</v>
      </c>
      <c r="E18" s="82" t="s">
        <v>185</v>
      </c>
      <c r="F18" s="82" t="s">
        <v>201</v>
      </c>
      <c r="G18" s="82" t="s">
        <v>203</v>
      </c>
      <c r="H18" s="84" t="s">
        <v>10</v>
      </c>
      <c r="I18" s="85" t="s">
        <v>5</v>
      </c>
      <c r="J18" s="84" t="s">
        <v>76</v>
      </c>
      <c r="K18" s="84" t="s">
        <v>77</v>
      </c>
      <c r="L18" s="86"/>
      <c r="M18" s="82"/>
    </row>
    <row r="19" ht="22.5" customHeight="1">
      <c r="B19" s="81" t="s">
        <v>182</v>
      </c>
      <c r="C19" s="82" t="s">
        <v>207</v>
      </c>
      <c r="D19" s="83" t="s">
        <v>208</v>
      </c>
      <c r="E19" s="82" t="s">
        <v>185</v>
      </c>
      <c r="F19" s="82" t="s">
        <v>209</v>
      </c>
      <c r="G19" s="82" t="s">
        <v>210</v>
      </c>
      <c r="H19" s="84" t="s">
        <v>10</v>
      </c>
      <c r="I19" s="85" t="s">
        <v>5</v>
      </c>
      <c r="J19" s="84" t="s">
        <v>76</v>
      </c>
      <c r="K19" s="84" t="s">
        <v>77</v>
      </c>
      <c r="L19" s="86"/>
      <c r="M19" s="82"/>
    </row>
    <row r="20" ht="22.5" customHeight="1">
      <c r="B20" s="81" t="s">
        <v>215</v>
      </c>
      <c r="C20" s="82" t="s">
        <v>216</v>
      </c>
      <c r="D20" s="83" t="s">
        <v>217</v>
      </c>
      <c r="E20" s="82" t="s">
        <v>219</v>
      </c>
      <c r="F20" s="82" t="s">
        <v>220</v>
      </c>
      <c r="G20" s="82" t="s">
        <v>221</v>
      </c>
      <c r="H20" s="84" t="s">
        <v>10</v>
      </c>
      <c r="I20" s="85" t="s">
        <v>5</v>
      </c>
      <c r="J20" s="84" t="s">
        <v>78</v>
      </c>
      <c r="K20" s="84" t="s">
        <v>77</v>
      </c>
      <c r="L20" s="86"/>
      <c r="M20" s="82"/>
    </row>
    <row r="21" ht="22.5" customHeight="1">
      <c r="B21" s="81" t="s">
        <v>215</v>
      </c>
      <c r="C21" s="82" t="s">
        <v>227</v>
      </c>
      <c r="D21" s="83" t="s">
        <v>228</v>
      </c>
      <c r="E21" s="82" t="s">
        <v>219</v>
      </c>
      <c r="F21" s="82" t="s">
        <v>229</v>
      </c>
      <c r="G21" s="82" t="s">
        <v>230</v>
      </c>
      <c r="H21" s="84" t="s">
        <v>10</v>
      </c>
      <c r="I21" s="85" t="s">
        <v>5</v>
      </c>
      <c r="J21" s="84" t="s">
        <v>78</v>
      </c>
      <c r="K21" s="84" t="s">
        <v>77</v>
      </c>
      <c r="L21" s="86"/>
      <c r="M21" s="82"/>
    </row>
    <row r="22" ht="22.5" customHeight="1">
      <c r="B22" s="81" t="s">
        <v>215</v>
      </c>
      <c r="C22" s="82" t="s">
        <v>234</v>
      </c>
      <c r="D22" s="83" t="s">
        <v>236</v>
      </c>
      <c r="E22" s="82" t="s">
        <v>219</v>
      </c>
      <c r="F22" s="82" t="s">
        <v>239</v>
      </c>
      <c r="G22" s="82" t="s">
        <v>241</v>
      </c>
      <c r="H22" s="84" t="s">
        <v>10</v>
      </c>
      <c r="I22" s="85" t="s">
        <v>5</v>
      </c>
      <c r="J22" s="84" t="s">
        <v>78</v>
      </c>
      <c r="K22" s="84" t="s">
        <v>77</v>
      </c>
      <c r="L22" s="86"/>
      <c r="M22" s="82"/>
    </row>
    <row r="23" ht="22.5" customHeight="1">
      <c r="B23" s="81" t="s">
        <v>243</v>
      </c>
      <c r="C23" s="82" t="s">
        <v>244</v>
      </c>
      <c r="D23" s="83" t="s">
        <v>245</v>
      </c>
      <c r="E23" s="82" t="s">
        <v>247</v>
      </c>
      <c r="F23" s="82" t="s">
        <v>248</v>
      </c>
      <c r="G23" s="82" t="s">
        <v>249</v>
      </c>
      <c r="H23" s="84" t="s">
        <v>10</v>
      </c>
      <c r="I23" s="85" t="s">
        <v>5</v>
      </c>
      <c r="J23" s="84" t="s">
        <v>76</v>
      </c>
      <c r="K23" s="84" t="s">
        <v>77</v>
      </c>
      <c r="L23" s="86"/>
      <c r="M23" s="82"/>
    </row>
    <row r="24" ht="22.5" customHeight="1">
      <c r="B24" s="81" t="s">
        <v>253</v>
      </c>
      <c r="C24" s="82" t="s">
        <v>254</v>
      </c>
      <c r="D24" s="83" t="s">
        <v>255</v>
      </c>
      <c r="E24" s="82" t="s">
        <v>257</v>
      </c>
      <c r="F24" s="82" t="s">
        <v>259</v>
      </c>
      <c r="G24" s="82" t="s">
        <v>260</v>
      </c>
      <c r="H24" s="84" t="s">
        <v>10</v>
      </c>
      <c r="I24" s="85" t="s">
        <v>5</v>
      </c>
      <c r="J24" s="84" t="s">
        <v>76</v>
      </c>
      <c r="K24" s="84" t="s">
        <v>77</v>
      </c>
      <c r="L24" s="86"/>
      <c r="M24" s="82"/>
    </row>
    <row r="25" ht="22.5" customHeight="1">
      <c r="B25" s="81" t="s">
        <v>264</v>
      </c>
      <c r="C25" s="82" t="s">
        <v>265</v>
      </c>
      <c r="D25" s="83" t="s">
        <v>266</v>
      </c>
      <c r="E25" s="82" t="s">
        <v>267</v>
      </c>
      <c r="F25" s="82" t="s">
        <v>268</v>
      </c>
      <c r="G25" s="82" t="s">
        <v>269</v>
      </c>
      <c r="H25" s="84" t="s">
        <v>67</v>
      </c>
      <c r="I25" s="85" t="s">
        <v>5</v>
      </c>
      <c r="J25" s="84" t="s">
        <v>76</v>
      </c>
      <c r="K25" s="84" t="s">
        <v>77</v>
      </c>
      <c r="L25" s="86"/>
      <c r="M25" s="82"/>
    </row>
    <row r="26" ht="22.5" customHeight="1">
      <c r="B26" s="81" t="s">
        <v>273</v>
      </c>
      <c r="C26" s="82" t="s">
        <v>274</v>
      </c>
      <c r="D26" s="83" t="s">
        <v>275</v>
      </c>
      <c r="E26" s="82" t="s">
        <v>276</v>
      </c>
      <c r="F26" s="82" t="s">
        <v>277</v>
      </c>
      <c r="G26" s="82" t="s">
        <v>279</v>
      </c>
      <c r="H26" s="84" t="s">
        <v>10</v>
      </c>
      <c r="I26" s="85" t="s">
        <v>5</v>
      </c>
      <c r="J26" s="84" t="s">
        <v>76</v>
      </c>
      <c r="K26" s="84" t="s">
        <v>77</v>
      </c>
      <c r="L26" s="86"/>
      <c r="M26" s="82"/>
    </row>
    <row r="27" ht="22.5" customHeight="1">
      <c r="B27" s="81" t="s">
        <v>285</v>
      </c>
      <c r="C27" s="82" t="s">
        <v>287</v>
      </c>
      <c r="D27" s="83" t="s">
        <v>288</v>
      </c>
      <c r="E27" s="82" t="s">
        <v>289</v>
      </c>
      <c r="F27" s="82" t="s">
        <v>290</v>
      </c>
      <c r="G27" s="82" t="s">
        <v>291</v>
      </c>
      <c r="H27" s="84" t="s">
        <v>10</v>
      </c>
      <c r="I27" s="85" t="s">
        <v>5</v>
      </c>
      <c r="J27" s="84" t="s">
        <v>78</v>
      </c>
      <c r="K27" s="84" t="s">
        <v>77</v>
      </c>
      <c r="L27" s="86"/>
      <c r="M27" s="82"/>
    </row>
    <row r="28" ht="22.5" customHeight="1">
      <c r="B28" s="81" t="s">
        <v>297</v>
      </c>
      <c r="C28" s="82" t="s">
        <v>298</v>
      </c>
      <c r="D28" s="83" t="s">
        <v>299</v>
      </c>
      <c r="E28" s="82" t="s">
        <v>300</v>
      </c>
      <c r="F28" s="82" t="s">
        <v>301</v>
      </c>
      <c r="G28" s="82" t="s">
        <v>302</v>
      </c>
      <c r="H28" s="84" t="s">
        <v>10</v>
      </c>
      <c r="I28" s="85" t="s">
        <v>5</v>
      </c>
      <c r="J28" s="84" t="s">
        <v>78</v>
      </c>
      <c r="K28" s="84" t="s">
        <v>77</v>
      </c>
      <c r="L28" s="86"/>
      <c r="M28" s="82"/>
    </row>
    <row r="29" ht="22.5" customHeight="1">
      <c r="B29" s="81" t="s">
        <v>308</v>
      </c>
      <c r="C29" s="82" t="s">
        <v>309</v>
      </c>
      <c r="D29" s="83" t="s">
        <v>310</v>
      </c>
      <c r="E29" s="82" t="s">
        <v>311</v>
      </c>
      <c r="F29" s="82" t="s">
        <v>312</v>
      </c>
      <c r="G29" s="82" t="s">
        <v>313</v>
      </c>
      <c r="H29" s="84" t="s">
        <v>67</v>
      </c>
      <c r="I29" s="85" t="s">
        <v>5</v>
      </c>
      <c r="J29" s="84" t="s">
        <v>76</v>
      </c>
      <c r="K29" s="84" t="s">
        <v>77</v>
      </c>
      <c r="L29" s="86"/>
      <c r="M29" s="82"/>
    </row>
    <row r="30" ht="22.5" customHeight="1">
      <c r="B30" s="81" t="s">
        <v>321</v>
      </c>
      <c r="C30" s="82" t="s">
        <v>322</v>
      </c>
      <c r="D30" s="83" t="s">
        <v>323</v>
      </c>
      <c r="E30" s="82" t="s">
        <v>324</v>
      </c>
      <c r="F30" s="82" t="s">
        <v>325</v>
      </c>
      <c r="G30" s="82" t="s">
        <v>326</v>
      </c>
      <c r="H30" s="84" t="s">
        <v>10</v>
      </c>
      <c r="I30" s="85" t="s">
        <v>5</v>
      </c>
      <c r="J30" s="84" t="s">
        <v>76</v>
      </c>
      <c r="K30" s="84" t="s">
        <v>77</v>
      </c>
      <c r="L30" s="86"/>
      <c r="M30" s="82"/>
    </row>
    <row r="31" ht="22.5" customHeight="1">
      <c r="B31" s="81" t="s">
        <v>330</v>
      </c>
      <c r="C31" s="82" t="s">
        <v>331</v>
      </c>
      <c r="D31" s="83" t="s">
        <v>332</v>
      </c>
      <c r="E31" s="82" t="s">
        <v>333</v>
      </c>
      <c r="F31" s="82" t="s">
        <v>334</v>
      </c>
      <c r="G31" s="82" t="s">
        <v>335</v>
      </c>
      <c r="H31" s="84" t="s">
        <v>10</v>
      </c>
      <c r="I31" s="85" t="s">
        <v>5</v>
      </c>
      <c r="J31" s="84" t="s">
        <v>76</v>
      </c>
      <c r="K31" s="84" t="s">
        <v>77</v>
      </c>
      <c r="L31" s="86"/>
      <c r="M31" s="82"/>
    </row>
    <row r="32" ht="22.5" customHeight="1">
      <c r="B32" s="81" t="s">
        <v>341</v>
      </c>
      <c r="C32" s="82" t="s">
        <v>342</v>
      </c>
      <c r="D32" s="83" t="s">
        <v>343</v>
      </c>
      <c r="E32" s="82" t="s">
        <v>344</v>
      </c>
      <c r="F32" s="82" t="s">
        <v>345</v>
      </c>
      <c r="G32" s="82" t="s">
        <v>347</v>
      </c>
      <c r="H32" s="84" t="s">
        <v>10</v>
      </c>
      <c r="I32" s="85" t="s">
        <v>5</v>
      </c>
      <c r="J32" s="84" t="s">
        <v>78</v>
      </c>
      <c r="K32" s="84" t="s">
        <v>77</v>
      </c>
      <c r="L32" s="86"/>
      <c r="M32" s="82"/>
    </row>
    <row r="33" ht="22.5" customHeight="1">
      <c r="B33" s="81" t="s">
        <v>350</v>
      </c>
      <c r="C33" s="82" t="s">
        <v>351</v>
      </c>
      <c r="D33" s="83" t="s">
        <v>352</v>
      </c>
      <c r="E33" s="82" t="s">
        <v>353</v>
      </c>
      <c r="F33" s="82" t="s">
        <v>355</v>
      </c>
      <c r="G33" s="82" t="s">
        <v>356</v>
      </c>
      <c r="H33" s="84" t="s">
        <v>67</v>
      </c>
      <c r="I33" s="85" t="s">
        <v>5</v>
      </c>
      <c r="J33" s="84" t="s">
        <v>76</v>
      </c>
      <c r="K33" s="84" t="s">
        <v>77</v>
      </c>
      <c r="L33" s="86"/>
      <c r="M33" s="82"/>
    </row>
    <row r="34" ht="22.5" customHeight="1">
      <c r="B34" s="81" t="s">
        <v>357</v>
      </c>
      <c r="C34" s="82" t="s">
        <v>358</v>
      </c>
      <c r="D34" s="83" t="s">
        <v>359</v>
      </c>
      <c r="E34" s="82" t="s">
        <v>360</v>
      </c>
      <c r="F34" s="82" t="s">
        <v>361</v>
      </c>
      <c r="G34" s="82" t="s">
        <v>362</v>
      </c>
      <c r="H34" s="84" t="s">
        <v>10</v>
      </c>
      <c r="I34" s="85" t="s">
        <v>5</v>
      </c>
      <c r="J34" s="84" t="s">
        <v>76</v>
      </c>
      <c r="K34" s="84" t="s">
        <v>77</v>
      </c>
      <c r="L34" s="86"/>
      <c r="M34" s="82"/>
    </row>
    <row r="35" ht="22.5" customHeight="1">
      <c r="B35" s="81" t="s">
        <v>365</v>
      </c>
      <c r="C35" s="82" t="s">
        <v>366</v>
      </c>
      <c r="D35" s="83" t="s">
        <v>367</v>
      </c>
      <c r="E35" s="82" t="s">
        <v>368</v>
      </c>
      <c r="F35" s="82" t="s">
        <v>369</v>
      </c>
      <c r="G35" s="82" t="s">
        <v>370</v>
      </c>
      <c r="H35" s="84" t="s">
        <v>10</v>
      </c>
      <c r="I35" s="85" t="s">
        <v>5</v>
      </c>
      <c r="J35" s="84" t="s">
        <v>76</v>
      </c>
      <c r="K35" s="84" t="s">
        <v>77</v>
      </c>
      <c r="L35" s="86"/>
      <c r="M35" s="82"/>
    </row>
    <row r="36" ht="15.75" customHeight="1">
      <c r="B36" s="81" t="s">
        <v>373</v>
      </c>
      <c r="C36" s="82" t="s">
        <v>374</v>
      </c>
      <c r="D36" s="83" t="s">
        <v>376</v>
      </c>
      <c r="E36" s="82" t="s">
        <v>377</v>
      </c>
      <c r="F36" s="82" t="s">
        <v>378</v>
      </c>
      <c r="G36" s="82" t="s">
        <v>379</v>
      </c>
      <c r="H36" s="84" t="s">
        <v>10</v>
      </c>
      <c r="I36" s="85" t="s">
        <v>5</v>
      </c>
      <c r="J36" s="84" t="s">
        <v>76</v>
      </c>
      <c r="K36" s="84" t="s">
        <v>77</v>
      </c>
      <c r="L36" s="86"/>
      <c r="M36" s="82"/>
    </row>
    <row r="37" ht="15.75" customHeight="1">
      <c r="B37" s="81" t="s">
        <v>373</v>
      </c>
      <c r="C37" s="82" t="s">
        <v>386</v>
      </c>
      <c r="D37" s="83" t="s">
        <v>387</v>
      </c>
      <c r="E37" s="82" t="s">
        <v>377</v>
      </c>
      <c r="F37" s="82" t="s">
        <v>388</v>
      </c>
      <c r="G37" s="82" t="s">
        <v>389</v>
      </c>
      <c r="H37" s="84" t="s">
        <v>67</v>
      </c>
      <c r="I37" s="85" t="s">
        <v>5</v>
      </c>
      <c r="J37" s="84" t="s">
        <v>76</v>
      </c>
      <c r="K37" s="84" t="s">
        <v>77</v>
      </c>
      <c r="L37" s="86"/>
      <c r="M37" s="82"/>
    </row>
    <row r="38" ht="15.75" customHeight="1">
      <c r="B38" s="81" t="s">
        <v>395</v>
      </c>
      <c r="C38" s="82" t="s">
        <v>396</v>
      </c>
      <c r="D38" s="83" t="s">
        <v>397</v>
      </c>
      <c r="E38" s="82" t="s">
        <v>398</v>
      </c>
      <c r="F38" s="82" t="s">
        <v>399</v>
      </c>
      <c r="G38" s="82" t="s">
        <v>400</v>
      </c>
      <c r="H38" s="84" t="s">
        <v>10</v>
      </c>
      <c r="I38" s="85" t="s">
        <v>5</v>
      </c>
      <c r="J38" s="84" t="s">
        <v>76</v>
      </c>
      <c r="K38" s="84" t="s">
        <v>77</v>
      </c>
      <c r="L38" s="86"/>
      <c r="M38" s="82"/>
    </row>
    <row r="39" ht="15.75" customHeight="1">
      <c r="B39" s="81" t="s">
        <v>403</v>
      </c>
      <c r="C39" s="82" t="s">
        <v>404</v>
      </c>
      <c r="D39" s="83" t="s">
        <v>406</v>
      </c>
      <c r="E39" s="82" t="s">
        <v>407</v>
      </c>
      <c r="F39" s="82" t="s">
        <v>408</v>
      </c>
      <c r="G39" s="82" t="s">
        <v>409</v>
      </c>
      <c r="H39" s="84" t="s">
        <v>42</v>
      </c>
      <c r="I39" s="85" t="s">
        <v>5</v>
      </c>
      <c r="J39" s="84" t="s">
        <v>76</v>
      </c>
      <c r="K39" s="84" t="s">
        <v>77</v>
      </c>
      <c r="L39" s="86"/>
      <c r="M39" s="82"/>
    </row>
    <row r="40" ht="15.75" customHeight="1">
      <c r="B40" s="81" t="s">
        <v>403</v>
      </c>
      <c r="C40" s="82" t="s">
        <v>414</v>
      </c>
      <c r="D40" s="83" t="s">
        <v>416</v>
      </c>
      <c r="E40" s="82" t="s">
        <v>407</v>
      </c>
      <c r="F40" s="82" t="s">
        <v>417</v>
      </c>
      <c r="G40" s="82" t="s">
        <v>418</v>
      </c>
      <c r="H40" s="84" t="s">
        <v>10</v>
      </c>
      <c r="I40" s="85" t="s">
        <v>5</v>
      </c>
      <c r="J40" s="84" t="s">
        <v>76</v>
      </c>
      <c r="K40" s="84" t="s">
        <v>77</v>
      </c>
      <c r="L40" s="86"/>
      <c r="M40" s="82"/>
    </row>
    <row r="41" ht="15.75" customHeight="1">
      <c r="B41" s="81" t="s">
        <v>403</v>
      </c>
      <c r="C41" s="82" t="s">
        <v>425</v>
      </c>
      <c r="D41" s="83" t="s">
        <v>427</v>
      </c>
      <c r="E41" s="82" t="s">
        <v>407</v>
      </c>
      <c r="F41" s="82" t="s">
        <v>428</v>
      </c>
      <c r="G41" s="82" t="s">
        <v>429</v>
      </c>
      <c r="H41" s="84" t="s">
        <v>42</v>
      </c>
      <c r="I41" s="85" t="s">
        <v>5</v>
      </c>
      <c r="J41" s="84" t="s">
        <v>89</v>
      </c>
      <c r="K41" s="84" t="s">
        <v>77</v>
      </c>
      <c r="L41" s="86"/>
      <c r="M41" s="82"/>
    </row>
    <row r="42" ht="15.75" customHeight="1">
      <c r="B42" s="81" t="s">
        <v>403</v>
      </c>
      <c r="C42" s="82" t="s">
        <v>434</v>
      </c>
      <c r="D42" s="83" t="s">
        <v>435</v>
      </c>
      <c r="E42" s="82" t="s">
        <v>407</v>
      </c>
      <c r="F42" s="82" t="s">
        <v>436</v>
      </c>
      <c r="G42" s="82" t="s">
        <v>437</v>
      </c>
      <c r="H42" s="84" t="s">
        <v>10</v>
      </c>
      <c r="I42" s="85" t="s">
        <v>5</v>
      </c>
      <c r="J42" s="84" t="s">
        <v>76</v>
      </c>
      <c r="K42" s="84" t="s">
        <v>77</v>
      </c>
      <c r="L42" s="86"/>
      <c r="M42" s="82"/>
    </row>
    <row r="43" ht="15.75" customHeight="1">
      <c r="B43" s="81" t="s">
        <v>403</v>
      </c>
      <c r="C43" s="82" t="s">
        <v>441</v>
      </c>
      <c r="D43" s="83" t="s">
        <v>442</v>
      </c>
      <c r="E43" s="82" t="s">
        <v>407</v>
      </c>
      <c r="F43" s="82" t="s">
        <v>443</v>
      </c>
      <c r="G43" s="82" t="s">
        <v>444</v>
      </c>
      <c r="H43" s="84" t="s">
        <v>10</v>
      </c>
      <c r="I43" s="85" t="s">
        <v>5</v>
      </c>
      <c r="J43" s="84" t="s">
        <v>78</v>
      </c>
      <c r="K43" s="84" t="s">
        <v>77</v>
      </c>
      <c r="L43" s="86"/>
      <c r="M43" s="82"/>
    </row>
    <row r="44" ht="15.75" customHeight="1">
      <c r="B44" s="81" t="s">
        <v>446</v>
      </c>
      <c r="C44" s="82" t="s">
        <v>447</v>
      </c>
      <c r="D44" s="83" t="s">
        <v>449</v>
      </c>
      <c r="E44" s="82" t="s">
        <v>451</v>
      </c>
      <c r="F44" s="82" t="s">
        <v>452</v>
      </c>
      <c r="G44" s="82" t="s">
        <v>454</v>
      </c>
      <c r="H44" s="84" t="s">
        <v>10</v>
      </c>
      <c r="I44" s="85" t="s">
        <v>5</v>
      </c>
      <c r="J44" s="84" t="s">
        <v>78</v>
      </c>
      <c r="K44" s="84" t="s">
        <v>77</v>
      </c>
      <c r="L44" s="86"/>
      <c r="M44" s="82"/>
    </row>
    <row r="45" ht="15.75" customHeight="1">
      <c r="B45" s="81" t="s">
        <v>446</v>
      </c>
      <c r="C45" s="82" t="s">
        <v>458</v>
      </c>
      <c r="D45" s="83" t="s">
        <v>459</v>
      </c>
      <c r="E45" s="82" t="s">
        <v>451</v>
      </c>
      <c r="F45" s="82" t="s">
        <v>461</v>
      </c>
      <c r="G45" s="82" t="s">
        <v>462</v>
      </c>
      <c r="H45" s="84" t="s">
        <v>10</v>
      </c>
      <c r="I45" s="85" t="s">
        <v>5</v>
      </c>
      <c r="J45" s="84" t="s">
        <v>78</v>
      </c>
      <c r="K45" s="84" t="s">
        <v>77</v>
      </c>
      <c r="L45" s="86"/>
      <c r="M45" s="82"/>
    </row>
    <row r="46" ht="15.75" customHeight="1">
      <c r="B46" s="81" t="s">
        <v>446</v>
      </c>
      <c r="C46" s="82" t="s">
        <v>464</v>
      </c>
      <c r="D46" s="83" t="s">
        <v>465</v>
      </c>
      <c r="E46" s="82" t="s">
        <v>451</v>
      </c>
      <c r="F46" s="82" t="s">
        <v>466</v>
      </c>
      <c r="G46" s="82" t="s">
        <v>467</v>
      </c>
      <c r="H46" s="84" t="s">
        <v>67</v>
      </c>
      <c r="I46" s="85" t="s">
        <v>5</v>
      </c>
      <c r="J46" s="84" t="s">
        <v>76</v>
      </c>
      <c r="K46" s="84" t="s">
        <v>77</v>
      </c>
      <c r="L46" s="86"/>
      <c r="M46" s="82"/>
    </row>
    <row r="47" ht="15.75" customHeight="1">
      <c r="B47" s="81" t="s">
        <v>446</v>
      </c>
      <c r="C47" s="82" t="s">
        <v>472</v>
      </c>
      <c r="D47" s="83" t="s">
        <v>473</v>
      </c>
      <c r="E47" s="82" t="s">
        <v>451</v>
      </c>
      <c r="F47" s="82" t="s">
        <v>474</v>
      </c>
      <c r="G47" s="82" t="s">
        <v>475</v>
      </c>
      <c r="H47" s="84" t="s">
        <v>10</v>
      </c>
      <c r="I47" s="85" t="s">
        <v>5</v>
      </c>
      <c r="J47" s="84" t="s">
        <v>78</v>
      </c>
      <c r="K47" s="84" t="s">
        <v>77</v>
      </c>
      <c r="L47" s="86"/>
      <c r="M47" s="82"/>
    </row>
    <row r="48" ht="15.75" customHeight="1">
      <c r="B48" s="81" t="s">
        <v>477</v>
      </c>
      <c r="C48" s="82" t="s">
        <v>478</v>
      </c>
      <c r="D48" s="83" t="s">
        <v>479</v>
      </c>
      <c r="E48" s="82" t="s">
        <v>480</v>
      </c>
      <c r="F48" s="82" t="s">
        <v>481</v>
      </c>
      <c r="G48" s="82" t="s">
        <v>482</v>
      </c>
      <c r="H48" s="84" t="s">
        <v>67</v>
      </c>
      <c r="I48" s="85" t="s">
        <v>5</v>
      </c>
      <c r="J48" s="84" t="s">
        <v>76</v>
      </c>
      <c r="K48" s="84" t="s">
        <v>77</v>
      </c>
      <c r="L48" s="86"/>
      <c r="M48" s="82"/>
    </row>
    <row r="49" ht="15.75" customHeight="1">
      <c r="B49" s="81" t="s">
        <v>483</v>
      </c>
      <c r="C49" s="82" t="s">
        <v>484</v>
      </c>
      <c r="D49" s="83" t="s">
        <v>485</v>
      </c>
      <c r="E49" s="82" t="s">
        <v>486</v>
      </c>
      <c r="F49" s="82" t="s">
        <v>487</v>
      </c>
      <c r="G49" s="82" t="s">
        <v>488</v>
      </c>
      <c r="H49" s="84" t="s">
        <v>10</v>
      </c>
      <c r="I49" s="85" t="s">
        <v>5</v>
      </c>
      <c r="J49" s="84" t="s">
        <v>78</v>
      </c>
      <c r="K49" s="84" t="s">
        <v>77</v>
      </c>
      <c r="L49" s="86"/>
      <c r="M49" s="82"/>
    </row>
    <row r="50" ht="15.75" customHeight="1">
      <c r="B50" s="81" t="s">
        <v>483</v>
      </c>
      <c r="C50" s="82" t="s">
        <v>495</v>
      </c>
      <c r="D50" s="83" t="s">
        <v>496</v>
      </c>
      <c r="E50" s="82" t="s">
        <v>486</v>
      </c>
      <c r="F50" s="82" t="s">
        <v>498</v>
      </c>
      <c r="G50" s="82" t="s">
        <v>499</v>
      </c>
      <c r="H50" s="84" t="s">
        <v>10</v>
      </c>
      <c r="I50" s="85" t="s">
        <v>5</v>
      </c>
      <c r="J50" s="84" t="s">
        <v>78</v>
      </c>
      <c r="K50" s="84" t="s">
        <v>77</v>
      </c>
      <c r="L50" s="86"/>
      <c r="M50" s="82"/>
    </row>
    <row r="51" ht="15.75" customHeight="1">
      <c r="B51" s="81" t="s">
        <v>483</v>
      </c>
      <c r="C51" s="82" t="s">
        <v>504</v>
      </c>
      <c r="D51" s="83" t="s">
        <v>505</v>
      </c>
      <c r="E51" s="82" t="s">
        <v>486</v>
      </c>
      <c r="F51" s="82" t="s">
        <v>506</v>
      </c>
      <c r="G51" s="82" t="s">
        <v>507</v>
      </c>
      <c r="H51" s="84" t="s">
        <v>10</v>
      </c>
      <c r="I51" s="85" t="s">
        <v>5</v>
      </c>
      <c r="J51" s="84" t="s">
        <v>78</v>
      </c>
      <c r="K51" s="84" t="s">
        <v>77</v>
      </c>
      <c r="L51" s="86"/>
      <c r="M51" s="82"/>
    </row>
    <row r="52" ht="15.75" customHeight="1">
      <c r="B52" s="81" t="s">
        <v>64</v>
      </c>
      <c r="C52" s="82" t="s">
        <v>513</v>
      </c>
      <c r="D52" s="83" t="s">
        <v>515</v>
      </c>
      <c r="E52" s="82" t="s">
        <v>69</v>
      </c>
      <c r="F52" s="82" t="s">
        <v>517</v>
      </c>
      <c r="G52" s="82" t="s">
        <v>518</v>
      </c>
      <c r="H52" s="84" t="s">
        <v>42</v>
      </c>
      <c r="I52" s="85" t="s">
        <v>5</v>
      </c>
      <c r="J52" s="84" t="s">
        <v>76</v>
      </c>
      <c r="K52" s="84" t="s">
        <v>77</v>
      </c>
      <c r="L52" s="86"/>
      <c r="M52" s="82"/>
    </row>
    <row r="53" ht="15.75" customHeight="1">
      <c r="B53" s="81" t="s">
        <v>64</v>
      </c>
      <c r="C53" s="82" t="s">
        <v>513</v>
      </c>
      <c r="D53" s="83" t="s">
        <v>522</v>
      </c>
      <c r="E53" s="82" t="s">
        <v>69</v>
      </c>
      <c r="F53" s="82" t="s">
        <v>517</v>
      </c>
      <c r="G53" s="82" t="s">
        <v>525</v>
      </c>
      <c r="H53" s="84" t="s">
        <v>10</v>
      </c>
      <c r="I53" s="85" t="s">
        <v>5</v>
      </c>
      <c r="J53" s="84" t="s">
        <v>76</v>
      </c>
      <c r="K53" s="84" t="s">
        <v>77</v>
      </c>
      <c r="L53" s="86"/>
      <c r="M53" s="82"/>
    </row>
    <row r="54" ht="15.75" customHeight="1">
      <c r="B54" s="81" t="s">
        <v>131</v>
      </c>
      <c r="C54" s="82" t="s">
        <v>513</v>
      </c>
      <c r="D54" s="83" t="s">
        <v>527</v>
      </c>
      <c r="E54" s="82" t="s">
        <v>134</v>
      </c>
      <c r="F54" s="82" t="s">
        <v>517</v>
      </c>
      <c r="G54" s="82" t="s">
        <v>530</v>
      </c>
      <c r="H54" s="84" t="s">
        <v>10</v>
      </c>
      <c r="I54" s="85" t="s">
        <v>5</v>
      </c>
      <c r="J54" s="84" t="s">
        <v>78</v>
      </c>
      <c r="K54" s="84" t="s">
        <v>77</v>
      </c>
      <c r="L54" s="86"/>
      <c r="M54" s="82"/>
    </row>
    <row r="55" ht="15.75" customHeight="1">
      <c r="B55" s="81" t="s">
        <v>131</v>
      </c>
      <c r="C55" s="82" t="s">
        <v>513</v>
      </c>
      <c r="D55" s="83" t="s">
        <v>534</v>
      </c>
      <c r="E55" s="82" t="s">
        <v>134</v>
      </c>
      <c r="F55" s="82" t="s">
        <v>517</v>
      </c>
      <c r="G55" s="82" t="s">
        <v>535</v>
      </c>
      <c r="H55" s="84" t="s">
        <v>10</v>
      </c>
      <c r="I55" s="85" t="s">
        <v>5</v>
      </c>
      <c r="J55" s="84" t="s">
        <v>89</v>
      </c>
      <c r="K55" s="84" t="s">
        <v>77</v>
      </c>
      <c r="L55" s="86"/>
      <c r="M55" s="82"/>
    </row>
    <row r="56" ht="15.75" customHeight="1">
      <c r="B56" s="81" t="s">
        <v>131</v>
      </c>
      <c r="C56" s="82" t="s">
        <v>513</v>
      </c>
      <c r="D56" s="83" t="s">
        <v>541</v>
      </c>
      <c r="E56" s="82" t="s">
        <v>134</v>
      </c>
      <c r="F56" s="82" t="s">
        <v>517</v>
      </c>
      <c r="G56" s="82" t="s">
        <v>542</v>
      </c>
      <c r="H56" s="84" t="s">
        <v>10</v>
      </c>
      <c r="I56" s="85" t="s">
        <v>5</v>
      </c>
      <c r="J56" s="84" t="s">
        <v>78</v>
      </c>
      <c r="K56" s="84" t="s">
        <v>77</v>
      </c>
      <c r="L56" s="86"/>
      <c r="M56" s="82"/>
    </row>
    <row r="57" ht="15.75" customHeight="1">
      <c r="B57" s="81" t="s">
        <v>131</v>
      </c>
      <c r="C57" s="82" t="s">
        <v>513</v>
      </c>
      <c r="D57" s="83" t="s">
        <v>547</v>
      </c>
      <c r="E57" s="82" t="s">
        <v>134</v>
      </c>
      <c r="F57" s="82" t="s">
        <v>517</v>
      </c>
      <c r="G57" s="82" t="s">
        <v>548</v>
      </c>
      <c r="H57" s="84" t="s">
        <v>42</v>
      </c>
      <c r="I57" s="85" t="s">
        <v>5</v>
      </c>
      <c r="J57" s="84" t="s">
        <v>78</v>
      </c>
      <c r="K57" s="84" t="s">
        <v>77</v>
      </c>
      <c r="L57" s="86"/>
      <c r="M57" s="82"/>
    </row>
    <row r="58" ht="15.75" customHeight="1">
      <c r="B58" s="81" t="s">
        <v>215</v>
      </c>
      <c r="C58" s="82" t="s">
        <v>513</v>
      </c>
      <c r="D58" s="83" t="s">
        <v>556</v>
      </c>
      <c r="E58" s="82" t="s">
        <v>219</v>
      </c>
      <c r="F58" s="82" t="s">
        <v>517</v>
      </c>
      <c r="G58" s="82" t="s">
        <v>557</v>
      </c>
      <c r="H58" s="84" t="s">
        <v>10</v>
      </c>
      <c r="I58" s="85" t="s">
        <v>5</v>
      </c>
      <c r="J58" s="84" t="s">
        <v>89</v>
      </c>
      <c r="K58" s="84" t="s">
        <v>77</v>
      </c>
      <c r="L58" s="86"/>
      <c r="M58" s="82"/>
    </row>
    <row r="59" ht="15.75" customHeight="1">
      <c r="B59" s="81" t="s">
        <v>215</v>
      </c>
      <c r="C59" s="82" t="s">
        <v>513</v>
      </c>
      <c r="D59" s="83" t="s">
        <v>561</v>
      </c>
      <c r="E59" s="82" t="s">
        <v>219</v>
      </c>
      <c r="F59" s="82" t="s">
        <v>517</v>
      </c>
      <c r="G59" s="82" t="s">
        <v>563</v>
      </c>
      <c r="H59" s="84" t="s">
        <v>10</v>
      </c>
      <c r="I59" s="85" t="s">
        <v>5</v>
      </c>
      <c r="J59" s="84" t="s">
        <v>76</v>
      </c>
      <c r="K59" s="84" t="s">
        <v>77</v>
      </c>
      <c r="L59" s="86"/>
      <c r="M59" s="82"/>
    </row>
    <row r="60" ht="15.75" customHeight="1">
      <c r="B60" s="81" t="s">
        <v>215</v>
      </c>
      <c r="C60" s="82" t="s">
        <v>513</v>
      </c>
      <c r="D60" s="83" t="s">
        <v>567</v>
      </c>
      <c r="E60" s="82" t="s">
        <v>219</v>
      </c>
      <c r="F60" s="82" t="s">
        <v>517</v>
      </c>
      <c r="G60" s="82" t="s">
        <v>569</v>
      </c>
      <c r="H60" s="84" t="s">
        <v>10</v>
      </c>
      <c r="I60" s="85" t="s">
        <v>5</v>
      </c>
      <c r="J60" s="84" t="s">
        <v>76</v>
      </c>
      <c r="K60" s="84" t="s">
        <v>77</v>
      </c>
      <c r="L60" s="86"/>
      <c r="M60" s="82"/>
    </row>
    <row r="61" ht="15.75" customHeight="1">
      <c r="B61" s="81" t="s">
        <v>215</v>
      </c>
      <c r="C61" s="82" t="s">
        <v>513</v>
      </c>
      <c r="D61" s="83" t="s">
        <v>573</v>
      </c>
      <c r="E61" s="82" t="s">
        <v>219</v>
      </c>
      <c r="F61" s="82" t="s">
        <v>517</v>
      </c>
      <c r="G61" s="82" t="s">
        <v>575</v>
      </c>
      <c r="H61" s="84" t="s">
        <v>10</v>
      </c>
      <c r="I61" s="85" t="s">
        <v>5</v>
      </c>
      <c r="J61" s="84" t="s">
        <v>76</v>
      </c>
      <c r="K61" s="84" t="s">
        <v>77</v>
      </c>
      <c r="L61" s="86"/>
      <c r="M61" s="82"/>
    </row>
    <row r="62" ht="15.75" customHeight="1">
      <c r="B62" s="81" t="s">
        <v>581</v>
      </c>
      <c r="C62" s="82" t="s">
        <v>513</v>
      </c>
      <c r="D62" s="83" t="s">
        <v>582</v>
      </c>
      <c r="E62" s="82" t="s">
        <v>581</v>
      </c>
      <c r="F62" s="82" t="s">
        <v>517</v>
      </c>
      <c r="G62" s="82" t="s">
        <v>584</v>
      </c>
      <c r="H62" s="84" t="s">
        <v>10</v>
      </c>
      <c r="I62" s="85" t="s">
        <v>5</v>
      </c>
      <c r="J62" s="84" t="s">
        <v>76</v>
      </c>
      <c r="K62" s="84" t="s">
        <v>77</v>
      </c>
      <c r="L62" s="86"/>
      <c r="M62" s="82"/>
    </row>
    <row r="63" ht="15.75" customHeight="1">
      <c r="B63" s="81" t="s">
        <v>581</v>
      </c>
      <c r="C63" s="82" t="s">
        <v>513</v>
      </c>
      <c r="D63" s="83" t="s">
        <v>588</v>
      </c>
      <c r="E63" s="82" t="s">
        <v>581</v>
      </c>
      <c r="F63" s="82" t="s">
        <v>517</v>
      </c>
      <c r="G63" s="82" t="s">
        <v>590</v>
      </c>
      <c r="H63" s="84" t="s">
        <v>10</v>
      </c>
      <c r="I63" s="85" t="s">
        <v>5</v>
      </c>
      <c r="J63" s="84" t="s">
        <v>76</v>
      </c>
      <c r="K63" s="84" t="s">
        <v>77</v>
      </c>
      <c r="L63" s="86"/>
      <c r="M63" s="82"/>
    </row>
    <row r="64" ht="15.75" customHeight="1">
      <c r="B64" s="81" t="s">
        <v>581</v>
      </c>
      <c r="C64" s="82" t="s">
        <v>513</v>
      </c>
      <c r="D64" s="83" t="s">
        <v>596</v>
      </c>
      <c r="E64" s="82" t="s">
        <v>581</v>
      </c>
      <c r="F64" s="82" t="s">
        <v>517</v>
      </c>
      <c r="G64" s="82" t="s">
        <v>597</v>
      </c>
      <c r="H64" s="84" t="s">
        <v>10</v>
      </c>
      <c r="I64" s="85" t="s">
        <v>5</v>
      </c>
      <c r="J64" s="84" t="s">
        <v>78</v>
      </c>
      <c r="K64" s="84" t="s">
        <v>77</v>
      </c>
      <c r="L64" s="86"/>
      <c r="M64" s="82"/>
    </row>
    <row r="65" ht="15.75" customHeight="1">
      <c r="B65" s="81" t="s">
        <v>215</v>
      </c>
      <c r="C65" s="82" t="s">
        <v>513</v>
      </c>
      <c r="D65" s="83" t="s">
        <v>605</v>
      </c>
      <c r="E65" s="82" t="s">
        <v>219</v>
      </c>
      <c r="F65" s="82" t="s">
        <v>517</v>
      </c>
      <c r="G65" s="82" t="s">
        <v>606</v>
      </c>
      <c r="H65" s="84" t="s">
        <v>10</v>
      </c>
      <c r="I65" s="85" t="s">
        <v>5</v>
      </c>
      <c r="J65" s="84" t="s">
        <v>89</v>
      </c>
      <c r="K65" s="84" t="s">
        <v>77</v>
      </c>
      <c r="L65" s="86"/>
      <c r="M65" s="82"/>
    </row>
    <row r="66" ht="15.75" customHeight="1">
      <c r="B66" s="81" t="s">
        <v>215</v>
      </c>
      <c r="C66" s="82" t="s">
        <v>513</v>
      </c>
      <c r="D66" s="83" t="s">
        <v>614</v>
      </c>
      <c r="E66" s="82" t="s">
        <v>219</v>
      </c>
      <c r="F66" s="82" t="s">
        <v>517</v>
      </c>
      <c r="G66" s="82" t="s">
        <v>615</v>
      </c>
      <c r="H66" s="84" t="s">
        <v>10</v>
      </c>
      <c r="I66" s="85" t="s">
        <v>5</v>
      </c>
      <c r="J66" s="84" t="s">
        <v>89</v>
      </c>
      <c r="K66" s="84" t="s">
        <v>77</v>
      </c>
      <c r="L66" s="86"/>
      <c r="M66" s="82"/>
    </row>
    <row r="67" ht="15.75" customHeight="1">
      <c r="C67" s="68"/>
      <c r="E67" s="68"/>
      <c r="F67" s="68"/>
      <c r="G67" s="68"/>
      <c r="M67" s="68"/>
    </row>
    <row r="68" ht="15.75" customHeight="1">
      <c r="C68" s="68"/>
      <c r="E68" s="68"/>
      <c r="F68" s="68"/>
      <c r="G68" s="68"/>
      <c r="M68" s="68"/>
    </row>
    <row r="69" ht="15.75" customHeight="1">
      <c r="C69" s="68"/>
      <c r="E69" s="68"/>
      <c r="F69" s="68"/>
      <c r="G69" s="68"/>
      <c r="M69" s="68"/>
    </row>
    <row r="70" ht="15.75" customHeight="1">
      <c r="C70" s="68"/>
      <c r="E70" s="68"/>
      <c r="F70" s="68"/>
      <c r="G70" s="68"/>
      <c r="M70" s="68"/>
    </row>
    <row r="71" ht="15.75" customHeight="1">
      <c r="C71" s="68"/>
      <c r="E71" s="68"/>
      <c r="F71" s="68"/>
      <c r="G71" s="68"/>
      <c r="M71" s="68"/>
    </row>
    <row r="72" ht="15.75" customHeight="1">
      <c r="C72" s="68"/>
      <c r="E72" s="68"/>
      <c r="F72" s="68"/>
      <c r="G72" s="68"/>
      <c r="M72" s="68"/>
    </row>
    <row r="73" ht="15.75" customHeight="1">
      <c r="C73" s="68"/>
      <c r="E73" s="68"/>
      <c r="F73" s="68"/>
      <c r="G73" s="68"/>
      <c r="M73" s="68"/>
    </row>
    <row r="74" ht="15.75" customHeight="1">
      <c r="C74" s="68"/>
      <c r="E74" s="68"/>
      <c r="F74" s="68"/>
      <c r="G74" s="68"/>
      <c r="M74" s="68"/>
    </row>
    <row r="75" ht="15.75" customHeight="1">
      <c r="C75" s="68"/>
      <c r="E75" s="68"/>
      <c r="F75" s="68"/>
      <c r="G75" s="68"/>
      <c r="M75" s="68"/>
    </row>
    <row r="76" ht="15.75" customHeight="1">
      <c r="C76" s="68"/>
      <c r="E76" s="68"/>
      <c r="F76" s="68"/>
      <c r="G76" s="68"/>
      <c r="M76" s="68"/>
    </row>
    <row r="77" ht="15.75" customHeight="1">
      <c r="C77" s="68"/>
      <c r="E77" s="68"/>
      <c r="F77" s="68"/>
      <c r="G77" s="68"/>
      <c r="M77" s="68"/>
    </row>
    <row r="78" ht="15.75" customHeight="1">
      <c r="C78" s="68"/>
      <c r="E78" s="68"/>
      <c r="F78" s="68"/>
      <c r="G78" s="68"/>
      <c r="M78" s="68"/>
    </row>
    <row r="79" ht="15.75" customHeight="1">
      <c r="C79" s="68"/>
      <c r="E79" s="68"/>
      <c r="F79" s="68"/>
      <c r="G79" s="68"/>
      <c r="M79" s="68"/>
    </row>
    <row r="80" ht="15.75" customHeight="1">
      <c r="C80" s="68"/>
      <c r="E80" s="68"/>
      <c r="F80" s="68"/>
      <c r="G80" s="68"/>
      <c r="M80" s="68"/>
    </row>
    <row r="81" ht="15.75" customHeight="1">
      <c r="C81" s="68"/>
      <c r="E81" s="68"/>
      <c r="F81" s="68"/>
      <c r="G81" s="68"/>
      <c r="M81" s="68"/>
    </row>
    <row r="82" ht="15.75" customHeight="1">
      <c r="C82" s="68"/>
      <c r="E82" s="68"/>
      <c r="F82" s="68"/>
      <c r="G82" s="68"/>
      <c r="M82" s="68"/>
    </row>
    <row r="83" ht="15.75" customHeight="1">
      <c r="C83" s="68"/>
      <c r="E83" s="68"/>
      <c r="F83" s="68"/>
      <c r="G83" s="68"/>
      <c r="M83" s="68"/>
    </row>
    <row r="84" ht="15.75" customHeight="1">
      <c r="C84" s="68"/>
      <c r="E84" s="68"/>
      <c r="F84" s="68"/>
      <c r="G84" s="68"/>
      <c r="M84" s="68"/>
    </row>
    <row r="85" ht="15.75" customHeight="1">
      <c r="C85" s="68"/>
      <c r="E85" s="68"/>
      <c r="F85" s="68"/>
      <c r="G85" s="68"/>
      <c r="M85" s="68"/>
    </row>
    <row r="86" ht="15.75" customHeight="1">
      <c r="C86" s="68"/>
      <c r="E86" s="68"/>
      <c r="F86" s="68"/>
      <c r="G86" s="68"/>
      <c r="M86" s="68"/>
    </row>
    <row r="87" ht="15.75" customHeight="1">
      <c r="C87" s="68"/>
      <c r="E87" s="68"/>
      <c r="F87" s="68"/>
      <c r="G87" s="68"/>
      <c r="M87" s="68"/>
    </row>
    <row r="88" ht="15.75" customHeight="1">
      <c r="C88" s="68"/>
      <c r="E88" s="68"/>
      <c r="F88" s="68"/>
      <c r="G88" s="68"/>
      <c r="M88" s="68"/>
    </row>
    <row r="89" ht="15.75" customHeight="1">
      <c r="C89" s="68"/>
      <c r="E89" s="68"/>
      <c r="F89" s="68"/>
      <c r="G89" s="68"/>
      <c r="M89" s="68"/>
    </row>
    <row r="90" ht="15.75" customHeight="1">
      <c r="C90" s="68"/>
      <c r="E90" s="68"/>
      <c r="F90" s="68"/>
      <c r="G90" s="68"/>
      <c r="M90" s="68"/>
    </row>
    <row r="91" ht="15.75" customHeight="1">
      <c r="C91" s="68"/>
      <c r="E91" s="68"/>
      <c r="F91" s="68"/>
      <c r="G91" s="68"/>
      <c r="M91" s="68"/>
    </row>
    <row r="92" ht="15.75" customHeight="1">
      <c r="C92" s="68"/>
      <c r="E92" s="68"/>
      <c r="F92" s="68"/>
      <c r="G92" s="68"/>
      <c r="M92" s="68"/>
    </row>
    <row r="93" ht="15.75" customHeight="1">
      <c r="C93" s="68"/>
      <c r="E93" s="68"/>
      <c r="F93" s="68"/>
      <c r="G93" s="68"/>
      <c r="M93" s="68"/>
    </row>
    <row r="94" ht="15.75" customHeight="1">
      <c r="C94" s="68"/>
      <c r="E94" s="68"/>
      <c r="F94" s="68"/>
      <c r="G94" s="68"/>
      <c r="M94" s="68"/>
    </row>
    <row r="95" ht="15.75" customHeight="1">
      <c r="C95" s="68"/>
      <c r="E95" s="68"/>
      <c r="F95" s="68"/>
      <c r="G95" s="68"/>
      <c r="M95" s="68"/>
    </row>
    <row r="96" ht="15.75" customHeight="1">
      <c r="C96" s="68"/>
      <c r="E96" s="68"/>
      <c r="F96" s="68"/>
      <c r="G96" s="68"/>
      <c r="M96" s="68"/>
    </row>
    <row r="97" ht="15.75" customHeight="1">
      <c r="C97" s="68"/>
      <c r="E97" s="68"/>
      <c r="F97" s="68"/>
      <c r="G97" s="68"/>
      <c r="M97" s="68"/>
    </row>
    <row r="98" ht="15.75" customHeight="1">
      <c r="C98" s="68"/>
      <c r="E98" s="68"/>
      <c r="F98" s="68"/>
      <c r="G98" s="68"/>
      <c r="M98" s="68"/>
    </row>
    <row r="99" ht="15.75" customHeight="1">
      <c r="C99" s="68"/>
      <c r="E99" s="68"/>
      <c r="F99" s="68"/>
      <c r="G99" s="68"/>
      <c r="M99" s="68"/>
    </row>
    <row r="100" ht="15.75" customHeight="1">
      <c r="C100" s="68"/>
      <c r="E100" s="68"/>
      <c r="F100" s="68"/>
      <c r="G100" s="68"/>
      <c r="M100" s="68"/>
    </row>
    <row r="101" ht="15.75" customHeight="1">
      <c r="C101" s="68"/>
      <c r="E101" s="68"/>
      <c r="F101" s="68"/>
      <c r="G101" s="68"/>
      <c r="M101" s="68"/>
    </row>
    <row r="102" ht="15.75" customHeight="1">
      <c r="C102" s="68"/>
      <c r="E102" s="68"/>
      <c r="F102" s="68"/>
      <c r="G102" s="68"/>
      <c r="M102" s="68"/>
    </row>
    <row r="103" ht="15.75" customHeight="1">
      <c r="C103" s="68"/>
      <c r="E103" s="68"/>
      <c r="F103" s="68"/>
      <c r="G103" s="68"/>
      <c r="M103" s="68"/>
    </row>
    <row r="104" ht="15.75" customHeight="1">
      <c r="C104" s="68"/>
      <c r="E104" s="68"/>
      <c r="F104" s="68"/>
      <c r="G104" s="68"/>
      <c r="M104" s="68"/>
    </row>
    <row r="105" ht="15.75" customHeight="1">
      <c r="C105" s="68"/>
      <c r="E105" s="68"/>
      <c r="F105" s="68"/>
      <c r="G105" s="68"/>
      <c r="M105" s="68"/>
    </row>
    <row r="106" ht="15.75" customHeight="1">
      <c r="C106" s="68"/>
      <c r="E106" s="68"/>
      <c r="F106" s="68"/>
      <c r="G106" s="68"/>
      <c r="M106" s="68"/>
    </row>
    <row r="107" ht="15.75" customHeight="1">
      <c r="C107" s="68"/>
      <c r="E107" s="68"/>
      <c r="F107" s="68"/>
      <c r="G107" s="68"/>
      <c r="M107" s="68"/>
    </row>
    <row r="108" ht="15.75" customHeight="1">
      <c r="C108" s="68"/>
      <c r="E108" s="68"/>
      <c r="F108" s="68"/>
      <c r="G108" s="68"/>
      <c r="M108" s="68"/>
    </row>
    <row r="109" ht="15.75" customHeight="1">
      <c r="C109" s="68"/>
      <c r="E109" s="68"/>
      <c r="F109" s="68"/>
      <c r="G109" s="68"/>
      <c r="M109" s="68"/>
    </row>
    <row r="110" ht="15.75" customHeight="1">
      <c r="C110" s="68"/>
      <c r="E110" s="68"/>
      <c r="F110" s="68"/>
      <c r="G110" s="68"/>
      <c r="M110" s="68"/>
    </row>
    <row r="111" ht="15.75" customHeight="1">
      <c r="C111" s="68"/>
      <c r="E111" s="68"/>
      <c r="F111" s="68"/>
      <c r="G111" s="68"/>
      <c r="M111" s="68"/>
    </row>
    <row r="112" ht="15.75" customHeight="1">
      <c r="C112" s="68"/>
      <c r="E112" s="68"/>
      <c r="F112" s="68"/>
      <c r="G112" s="68"/>
      <c r="M112" s="68"/>
    </row>
    <row r="113" ht="15.75" customHeight="1">
      <c r="C113" s="68"/>
      <c r="E113" s="68"/>
      <c r="F113" s="68"/>
      <c r="G113" s="68"/>
      <c r="M113" s="68"/>
    </row>
    <row r="114" ht="15.75" customHeight="1">
      <c r="C114" s="68"/>
      <c r="E114" s="68"/>
      <c r="F114" s="68"/>
      <c r="G114" s="68"/>
      <c r="M114" s="68"/>
    </row>
    <row r="115" ht="15.75" customHeight="1">
      <c r="C115" s="68"/>
      <c r="E115" s="68"/>
      <c r="F115" s="68"/>
      <c r="G115" s="68"/>
      <c r="M115" s="68"/>
    </row>
    <row r="116" ht="15.75" customHeight="1">
      <c r="C116" s="68"/>
      <c r="E116" s="68"/>
      <c r="F116" s="68"/>
      <c r="G116" s="68"/>
      <c r="M116" s="68"/>
    </row>
    <row r="117" ht="15.75" customHeight="1">
      <c r="C117" s="68"/>
      <c r="E117" s="68"/>
      <c r="F117" s="68"/>
      <c r="G117" s="68"/>
      <c r="M117" s="68"/>
    </row>
    <row r="118" ht="15.75" customHeight="1">
      <c r="C118" s="68"/>
      <c r="E118" s="68"/>
      <c r="F118" s="68"/>
      <c r="G118" s="68"/>
      <c r="M118" s="68"/>
    </row>
    <row r="119" ht="15.75" customHeight="1">
      <c r="C119" s="68"/>
      <c r="E119" s="68"/>
      <c r="F119" s="68"/>
      <c r="G119" s="68"/>
      <c r="M119" s="68"/>
    </row>
    <row r="120" ht="15.75" customHeight="1">
      <c r="C120" s="68"/>
      <c r="E120" s="68"/>
      <c r="F120" s="68"/>
      <c r="G120" s="68"/>
      <c r="M120" s="68"/>
    </row>
    <row r="121" ht="15.75" customHeight="1">
      <c r="C121" s="68"/>
      <c r="E121" s="68"/>
      <c r="F121" s="68"/>
      <c r="G121" s="68"/>
      <c r="M121" s="68"/>
    </row>
    <row r="122" ht="15.75" customHeight="1">
      <c r="C122" s="68"/>
      <c r="E122" s="68"/>
      <c r="F122" s="68"/>
      <c r="G122" s="68"/>
      <c r="M122" s="68"/>
    </row>
    <row r="123" ht="15.75" customHeight="1">
      <c r="C123" s="68"/>
      <c r="E123" s="68"/>
      <c r="F123" s="68"/>
      <c r="G123" s="68"/>
      <c r="M123" s="68"/>
    </row>
    <row r="124" ht="15.75" customHeight="1">
      <c r="C124" s="68"/>
      <c r="E124" s="68"/>
      <c r="F124" s="68"/>
      <c r="G124" s="68"/>
      <c r="M124" s="68"/>
    </row>
    <row r="125" ht="15.75" customHeight="1">
      <c r="C125" s="68"/>
      <c r="E125" s="68"/>
      <c r="F125" s="68"/>
      <c r="G125" s="68"/>
      <c r="M125" s="68"/>
    </row>
    <row r="126" ht="15.75" customHeight="1">
      <c r="C126" s="68"/>
      <c r="E126" s="68"/>
      <c r="F126" s="68"/>
      <c r="G126" s="68"/>
      <c r="M126" s="68"/>
    </row>
    <row r="127" ht="15.75" customHeight="1">
      <c r="C127" s="68"/>
      <c r="E127" s="68"/>
      <c r="F127" s="68"/>
      <c r="G127" s="68"/>
      <c r="M127" s="68"/>
    </row>
    <row r="128" ht="15.75" customHeight="1">
      <c r="C128" s="68"/>
      <c r="E128" s="68"/>
      <c r="F128" s="68"/>
      <c r="G128" s="68"/>
      <c r="M128" s="68"/>
    </row>
    <row r="129" ht="15.75" customHeight="1">
      <c r="C129" s="68"/>
      <c r="E129" s="68"/>
      <c r="F129" s="68"/>
      <c r="G129" s="68"/>
      <c r="M129" s="68"/>
    </row>
    <row r="130" ht="15.75" customHeight="1">
      <c r="C130" s="68"/>
      <c r="E130" s="68"/>
      <c r="F130" s="68"/>
      <c r="G130" s="68"/>
      <c r="M130" s="68"/>
    </row>
    <row r="131" ht="15.75" customHeight="1">
      <c r="C131" s="68"/>
      <c r="E131" s="68"/>
      <c r="F131" s="68"/>
      <c r="G131" s="68"/>
      <c r="M131" s="68"/>
    </row>
    <row r="132" ht="15.75" customHeight="1">
      <c r="C132" s="68"/>
      <c r="E132" s="68"/>
      <c r="F132" s="68"/>
      <c r="G132" s="68"/>
      <c r="M132" s="68"/>
    </row>
    <row r="133" ht="15.75" customHeight="1">
      <c r="C133" s="68"/>
      <c r="E133" s="68"/>
      <c r="F133" s="68"/>
      <c r="G133" s="68"/>
      <c r="M133" s="68"/>
    </row>
    <row r="134" ht="15.75" customHeight="1">
      <c r="C134" s="68"/>
      <c r="E134" s="68"/>
      <c r="F134" s="68"/>
      <c r="G134" s="68"/>
      <c r="M134" s="68"/>
    </row>
    <row r="135" ht="15.75" customHeight="1">
      <c r="C135" s="68"/>
      <c r="E135" s="68"/>
      <c r="F135" s="68"/>
      <c r="G135" s="68"/>
      <c r="M135" s="68"/>
    </row>
    <row r="136" ht="15.75" customHeight="1">
      <c r="C136" s="68"/>
      <c r="E136" s="68"/>
      <c r="F136" s="68"/>
      <c r="G136" s="68"/>
      <c r="M136" s="68"/>
    </row>
    <row r="137" ht="15.75" customHeight="1">
      <c r="C137" s="68"/>
      <c r="E137" s="68"/>
      <c r="F137" s="68"/>
      <c r="G137" s="68"/>
      <c r="M137" s="68"/>
    </row>
    <row r="138" ht="15.75" customHeight="1">
      <c r="C138" s="68"/>
      <c r="E138" s="68"/>
      <c r="F138" s="68"/>
      <c r="G138" s="68"/>
      <c r="M138" s="68"/>
    </row>
    <row r="139" ht="15.75" customHeight="1">
      <c r="C139" s="68"/>
      <c r="E139" s="68"/>
      <c r="F139" s="68"/>
      <c r="G139" s="68"/>
      <c r="M139" s="68"/>
    </row>
    <row r="140" ht="15.75" customHeight="1">
      <c r="C140" s="68"/>
      <c r="E140" s="68"/>
      <c r="F140" s="68"/>
      <c r="G140" s="68"/>
      <c r="M140" s="68"/>
    </row>
    <row r="141" ht="15.75" customHeight="1">
      <c r="C141" s="68"/>
      <c r="E141" s="68"/>
      <c r="F141" s="68"/>
      <c r="G141" s="68"/>
      <c r="M141" s="68"/>
    </row>
    <row r="142" ht="15.75" customHeight="1">
      <c r="C142" s="68"/>
      <c r="E142" s="68"/>
      <c r="F142" s="68"/>
      <c r="G142" s="68"/>
      <c r="M142" s="68"/>
    </row>
    <row r="143" ht="15.75" customHeight="1">
      <c r="C143" s="68"/>
      <c r="E143" s="68"/>
      <c r="F143" s="68"/>
      <c r="G143" s="68"/>
      <c r="M143" s="68"/>
    </row>
    <row r="144" ht="15.75" customHeight="1">
      <c r="C144" s="68"/>
      <c r="E144" s="68"/>
      <c r="F144" s="68"/>
      <c r="G144" s="68"/>
      <c r="M144" s="68"/>
    </row>
    <row r="145" ht="15.75" customHeight="1">
      <c r="C145" s="68"/>
      <c r="E145" s="68"/>
      <c r="F145" s="68"/>
      <c r="G145" s="68"/>
      <c r="M145" s="68"/>
    </row>
    <row r="146" ht="15.75" customHeight="1">
      <c r="C146" s="68"/>
      <c r="E146" s="68"/>
      <c r="F146" s="68"/>
      <c r="G146" s="68"/>
      <c r="M146" s="68"/>
    </row>
    <row r="147" ht="15.75" customHeight="1">
      <c r="C147" s="68"/>
      <c r="E147" s="68"/>
      <c r="F147" s="68"/>
      <c r="G147" s="68"/>
      <c r="M147" s="68"/>
    </row>
    <row r="148" ht="15.75" customHeight="1">
      <c r="C148" s="68"/>
      <c r="E148" s="68"/>
      <c r="F148" s="68"/>
      <c r="G148" s="68"/>
      <c r="M148" s="68"/>
    </row>
    <row r="149" ht="15.75" customHeight="1">
      <c r="C149" s="68"/>
      <c r="E149" s="68"/>
      <c r="F149" s="68"/>
      <c r="G149" s="68"/>
      <c r="M149" s="68"/>
    </row>
    <row r="150" ht="15.75" customHeight="1">
      <c r="C150" s="68"/>
      <c r="E150" s="68"/>
      <c r="F150" s="68"/>
      <c r="G150" s="68"/>
      <c r="M150" s="68"/>
    </row>
    <row r="151" ht="15.75" customHeight="1">
      <c r="C151" s="68"/>
      <c r="E151" s="68"/>
      <c r="F151" s="68"/>
      <c r="G151" s="68"/>
      <c r="M151" s="68"/>
    </row>
    <row r="152" ht="15.75" customHeight="1">
      <c r="C152" s="68"/>
      <c r="E152" s="68"/>
      <c r="F152" s="68"/>
      <c r="G152" s="68"/>
      <c r="M152" s="68"/>
    </row>
    <row r="153" ht="15.75" customHeight="1">
      <c r="C153" s="68"/>
      <c r="E153" s="68"/>
      <c r="F153" s="68"/>
      <c r="G153" s="68"/>
      <c r="M153" s="68"/>
    </row>
    <row r="154" ht="15.75" customHeight="1">
      <c r="C154" s="68"/>
      <c r="E154" s="68"/>
      <c r="F154" s="68"/>
      <c r="G154" s="68"/>
      <c r="M154" s="68"/>
    </row>
    <row r="155" ht="15.75" customHeight="1">
      <c r="C155" s="68"/>
      <c r="E155" s="68"/>
      <c r="F155" s="68"/>
      <c r="G155" s="68"/>
      <c r="M155" s="68"/>
    </row>
    <row r="156" ht="15.75" customHeight="1">
      <c r="C156" s="68"/>
      <c r="E156" s="68"/>
      <c r="F156" s="68"/>
      <c r="G156" s="68"/>
      <c r="M156" s="68"/>
    </row>
    <row r="157" ht="15.75" customHeight="1">
      <c r="C157" s="68"/>
      <c r="E157" s="68"/>
      <c r="F157" s="68"/>
      <c r="G157" s="68"/>
      <c r="M157" s="68"/>
    </row>
    <row r="158" ht="15.75" customHeight="1">
      <c r="C158" s="68"/>
      <c r="E158" s="68"/>
      <c r="F158" s="68"/>
      <c r="G158" s="68"/>
      <c r="M158" s="68"/>
    </row>
    <row r="159" ht="15.75" customHeight="1">
      <c r="C159" s="68"/>
      <c r="E159" s="68"/>
      <c r="F159" s="68"/>
      <c r="G159" s="68"/>
      <c r="M159" s="68"/>
    </row>
    <row r="160" ht="15.75" customHeight="1">
      <c r="C160" s="68"/>
      <c r="E160" s="68"/>
      <c r="F160" s="68"/>
      <c r="G160" s="68"/>
      <c r="M160" s="68"/>
    </row>
    <row r="161" ht="15.75" customHeight="1">
      <c r="C161" s="68"/>
      <c r="E161" s="68"/>
      <c r="F161" s="68"/>
      <c r="G161" s="68"/>
      <c r="M161" s="68"/>
    </row>
    <row r="162" ht="15.75" customHeight="1">
      <c r="C162" s="68"/>
      <c r="E162" s="68"/>
      <c r="F162" s="68"/>
      <c r="G162" s="68"/>
      <c r="M162" s="68"/>
    </row>
    <row r="163" ht="15.75" customHeight="1">
      <c r="C163" s="68"/>
      <c r="E163" s="68"/>
      <c r="F163" s="68"/>
      <c r="G163" s="68"/>
      <c r="M163" s="68"/>
    </row>
    <row r="164" ht="15.75" customHeight="1">
      <c r="C164" s="68"/>
      <c r="E164" s="68"/>
      <c r="F164" s="68"/>
      <c r="G164" s="68"/>
      <c r="M164" s="68"/>
    </row>
    <row r="165" ht="15.75" customHeight="1">
      <c r="C165" s="68"/>
      <c r="E165" s="68"/>
      <c r="F165" s="68"/>
      <c r="G165" s="68"/>
      <c r="M165" s="68"/>
    </row>
    <row r="166" ht="15.75" customHeight="1">
      <c r="C166" s="68"/>
      <c r="E166" s="68"/>
      <c r="F166" s="68"/>
      <c r="G166" s="68"/>
      <c r="M166" s="68"/>
    </row>
    <row r="167" ht="15.75" customHeight="1">
      <c r="C167" s="68"/>
      <c r="E167" s="68"/>
      <c r="F167" s="68"/>
      <c r="G167" s="68"/>
      <c r="M167" s="68"/>
    </row>
    <row r="168" ht="15.75" customHeight="1">
      <c r="C168" s="68"/>
      <c r="E168" s="68"/>
      <c r="F168" s="68"/>
      <c r="G168" s="68"/>
      <c r="M168" s="68"/>
    </row>
    <row r="169" ht="15.75" customHeight="1">
      <c r="C169" s="68"/>
      <c r="E169" s="68"/>
      <c r="F169" s="68"/>
      <c r="G169" s="68"/>
      <c r="M169" s="68"/>
    </row>
    <row r="170" ht="15.75" customHeight="1">
      <c r="C170" s="68"/>
      <c r="E170" s="68"/>
      <c r="F170" s="68"/>
      <c r="G170" s="68"/>
      <c r="M170" s="68"/>
    </row>
    <row r="171" ht="15.75" customHeight="1">
      <c r="C171" s="68"/>
      <c r="E171" s="68"/>
      <c r="F171" s="68"/>
      <c r="G171" s="68"/>
      <c r="M171" s="68"/>
    </row>
    <row r="172" ht="15.75" customHeight="1">
      <c r="C172" s="68"/>
      <c r="E172" s="68"/>
      <c r="F172" s="68"/>
      <c r="G172" s="68"/>
      <c r="M172" s="68"/>
    </row>
    <row r="173" ht="15.75" customHeight="1">
      <c r="C173" s="68"/>
      <c r="E173" s="68"/>
      <c r="F173" s="68"/>
      <c r="G173" s="68"/>
      <c r="M173" s="68"/>
    </row>
    <row r="174" ht="15.75" customHeight="1">
      <c r="C174" s="68"/>
      <c r="E174" s="68"/>
      <c r="F174" s="68"/>
      <c r="G174" s="68"/>
      <c r="M174" s="68"/>
    </row>
    <row r="175" ht="15.75" customHeight="1">
      <c r="C175" s="68"/>
      <c r="E175" s="68"/>
      <c r="F175" s="68"/>
      <c r="G175" s="68"/>
      <c r="M175" s="68"/>
    </row>
    <row r="176" ht="15.75" customHeight="1">
      <c r="C176" s="68"/>
      <c r="E176" s="68"/>
      <c r="F176" s="68"/>
      <c r="G176" s="68"/>
      <c r="M176" s="68"/>
    </row>
    <row r="177" ht="15.75" customHeight="1">
      <c r="C177" s="68"/>
      <c r="E177" s="68"/>
      <c r="F177" s="68"/>
      <c r="G177" s="68"/>
      <c r="M177" s="68"/>
    </row>
    <row r="178" ht="15.75" customHeight="1">
      <c r="C178" s="68"/>
      <c r="E178" s="68"/>
      <c r="F178" s="68"/>
      <c r="G178" s="68"/>
      <c r="M178" s="68"/>
    </row>
    <row r="179" ht="15.75" customHeight="1">
      <c r="C179" s="68"/>
      <c r="E179" s="68"/>
      <c r="F179" s="68"/>
      <c r="G179" s="68"/>
      <c r="M179" s="68"/>
    </row>
    <row r="180" ht="15.75" customHeight="1">
      <c r="C180" s="68"/>
      <c r="E180" s="68"/>
      <c r="F180" s="68"/>
      <c r="G180" s="68"/>
      <c r="M180" s="68"/>
    </row>
    <row r="181" ht="15.75" customHeight="1">
      <c r="C181" s="68"/>
      <c r="E181" s="68"/>
      <c r="F181" s="68"/>
      <c r="G181" s="68"/>
      <c r="M181" s="68"/>
    </row>
    <row r="182" ht="15.75" customHeight="1">
      <c r="C182" s="68"/>
      <c r="E182" s="68"/>
      <c r="F182" s="68"/>
      <c r="G182" s="68"/>
      <c r="M182" s="68"/>
    </row>
    <row r="183" ht="15.75" customHeight="1">
      <c r="C183" s="68"/>
      <c r="E183" s="68"/>
      <c r="F183" s="68"/>
      <c r="G183" s="68"/>
      <c r="M183" s="68"/>
    </row>
    <row r="184" ht="15.75" customHeight="1">
      <c r="C184" s="68"/>
      <c r="E184" s="68"/>
      <c r="F184" s="68"/>
      <c r="G184" s="68"/>
      <c r="M184" s="68"/>
    </row>
    <row r="185" ht="15.75" customHeight="1">
      <c r="C185" s="68"/>
      <c r="E185" s="68"/>
      <c r="F185" s="68"/>
      <c r="G185" s="68"/>
      <c r="M185" s="68"/>
    </row>
    <row r="186" ht="15.75" customHeight="1">
      <c r="C186" s="68"/>
      <c r="E186" s="68"/>
      <c r="F186" s="68"/>
      <c r="G186" s="68"/>
      <c r="M186" s="68"/>
    </row>
    <row r="187" ht="15.75" customHeight="1">
      <c r="C187" s="68"/>
      <c r="E187" s="68"/>
      <c r="F187" s="68"/>
      <c r="G187" s="68"/>
      <c r="M187" s="68"/>
    </row>
    <row r="188" ht="15.75" customHeight="1">
      <c r="C188" s="68"/>
      <c r="E188" s="68"/>
      <c r="F188" s="68"/>
      <c r="G188" s="68"/>
      <c r="M188" s="68"/>
    </row>
    <row r="189" ht="15.75" customHeight="1">
      <c r="C189" s="68"/>
      <c r="E189" s="68"/>
      <c r="F189" s="68"/>
      <c r="G189" s="68"/>
      <c r="M189" s="68"/>
    </row>
    <row r="190" ht="15.75" customHeight="1">
      <c r="C190" s="68"/>
      <c r="E190" s="68"/>
      <c r="F190" s="68"/>
      <c r="G190" s="68"/>
      <c r="M190" s="68"/>
    </row>
    <row r="191" ht="15.75" customHeight="1">
      <c r="C191" s="68"/>
      <c r="E191" s="68"/>
      <c r="F191" s="68"/>
      <c r="G191" s="68"/>
      <c r="M191" s="68"/>
    </row>
    <row r="192" ht="15.75" customHeight="1">
      <c r="C192" s="68"/>
      <c r="E192" s="68"/>
      <c r="F192" s="68"/>
      <c r="G192" s="68"/>
      <c r="M192" s="68"/>
    </row>
    <row r="193" ht="15.75" customHeight="1">
      <c r="C193" s="68"/>
      <c r="E193" s="68"/>
      <c r="F193" s="68"/>
      <c r="G193" s="68"/>
      <c r="M193" s="68"/>
    </row>
    <row r="194" ht="15.75" customHeight="1">
      <c r="C194" s="68"/>
      <c r="E194" s="68"/>
      <c r="F194" s="68"/>
      <c r="G194" s="68"/>
      <c r="M194" s="68"/>
    </row>
    <row r="195" ht="15.75" customHeight="1">
      <c r="C195" s="68"/>
      <c r="E195" s="68"/>
      <c r="F195" s="68"/>
      <c r="G195" s="68"/>
      <c r="M195" s="68"/>
    </row>
    <row r="196" ht="15.75" customHeight="1">
      <c r="C196" s="68"/>
      <c r="E196" s="68"/>
      <c r="F196" s="68"/>
      <c r="G196" s="68"/>
      <c r="M196" s="68"/>
    </row>
    <row r="197" ht="15.75" customHeight="1">
      <c r="C197" s="68"/>
      <c r="E197" s="68"/>
      <c r="F197" s="68"/>
      <c r="G197" s="68"/>
      <c r="M197" s="68"/>
    </row>
    <row r="198" ht="15.75" customHeight="1">
      <c r="C198" s="68"/>
      <c r="E198" s="68"/>
      <c r="F198" s="68"/>
      <c r="G198" s="68"/>
      <c r="M198" s="68"/>
    </row>
    <row r="199" ht="15.75" customHeight="1">
      <c r="C199" s="68"/>
      <c r="E199" s="68"/>
      <c r="F199" s="68"/>
      <c r="G199" s="68"/>
      <c r="M199" s="68"/>
    </row>
    <row r="200" ht="15.75" customHeight="1">
      <c r="C200" s="68"/>
      <c r="E200" s="68"/>
      <c r="F200" s="68"/>
      <c r="G200" s="68"/>
      <c r="M200" s="68"/>
    </row>
    <row r="201" ht="15.75" customHeight="1">
      <c r="C201" s="68"/>
      <c r="E201" s="68"/>
      <c r="F201" s="68"/>
      <c r="G201" s="68"/>
      <c r="M201" s="68"/>
    </row>
    <row r="202" ht="15.75" customHeight="1">
      <c r="C202" s="68"/>
      <c r="E202" s="68"/>
      <c r="F202" s="68"/>
      <c r="G202" s="68"/>
      <c r="M202" s="68"/>
    </row>
    <row r="203" ht="15.75" customHeight="1">
      <c r="C203" s="68"/>
      <c r="E203" s="68"/>
      <c r="F203" s="68"/>
      <c r="G203" s="68"/>
      <c r="M203" s="68"/>
    </row>
    <row r="204" ht="15.75" customHeight="1">
      <c r="C204" s="68"/>
      <c r="E204" s="68"/>
      <c r="F204" s="68"/>
      <c r="G204" s="68"/>
      <c r="M204" s="68"/>
    </row>
    <row r="205" ht="15.75" customHeight="1">
      <c r="C205" s="68"/>
      <c r="E205" s="68"/>
      <c r="F205" s="68"/>
      <c r="G205" s="68"/>
      <c r="M205" s="68"/>
    </row>
    <row r="206" ht="15.75" customHeight="1">
      <c r="C206" s="68"/>
      <c r="E206" s="68"/>
      <c r="F206" s="68"/>
      <c r="G206" s="68"/>
      <c r="M206" s="68"/>
    </row>
    <row r="207" ht="15.75" customHeight="1">
      <c r="C207" s="68"/>
      <c r="E207" s="68"/>
      <c r="F207" s="68"/>
      <c r="G207" s="68"/>
      <c r="M207" s="68"/>
    </row>
    <row r="208" ht="15.75" customHeight="1">
      <c r="C208" s="68"/>
      <c r="E208" s="68"/>
      <c r="F208" s="68"/>
      <c r="G208" s="68"/>
      <c r="M208" s="68"/>
    </row>
    <row r="209" ht="15.75" customHeight="1">
      <c r="C209" s="68"/>
      <c r="E209" s="68"/>
      <c r="F209" s="68"/>
      <c r="G209" s="68"/>
      <c r="M209" s="68"/>
    </row>
    <row r="210" ht="15.75" customHeight="1">
      <c r="C210" s="68"/>
      <c r="E210" s="68"/>
      <c r="F210" s="68"/>
      <c r="G210" s="68"/>
      <c r="M210" s="68"/>
    </row>
    <row r="211" ht="15.75" customHeight="1">
      <c r="C211" s="68"/>
      <c r="E211" s="68"/>
      <c r="F211" s="68"/>
      <c r="G211" s="68"/>
      <c r="M211" s="68"/>
    </row>
    <row r="212" ht="15.75" customHeight="1">
      <c r="C212" s="68"/>
      <c r="E212" s="68"/>
      <c r="F212" s="68"/>
      <c r="G212" s="68"/>
      <c r="M212" s="68"/>
    </row>
    <row r="213" ht="15.75" customHeight="1">
      <c r="C213" s="68"/>
      <c r="E213" s="68"/>
      <c r="F213" s="68"/>
      <c r="G213" s="68"/>
      <c r="M213" s="68"/>
    </row>
    <row r="214" ht="15.75" customHeight="1">
      <c r="C214" s="68"/>
      <c r="E214" s="68"/>
      <c r="F214" s="68"/>
      <c r="G214" s="68"/>
      <c r="M214" s="68"/>
    </row>
    <row r="215" ht="15.75" customHeight="1">
      <c r="C215" s="68"/>
      <c r="E215" s="68"/>
      <c r="F215" s="68"/>
      <c r="G215" s="68"/>
      <c r="M215" s="68"/>
    </row>
    <row r="216" ht="15.75" customHeight="1">
      <c r="C216" s="68"/>
      <c r="E216" s="68"/>
      <c r="F216" s="68"/>
      <c r="G216" s="68"/>
      <c r="M216" s="68"/>
    </row>
    <row r="217" ht="15.75" customHeight="1">
      <c r="C217" s="68"/>
      <c r="E217" s="68"/>
      <c r="F217" s="68"/>
      <c r="G217" s="68"/>
      <c r="M217" s="68"/>
    </row>
    <row r="218" ht="15.75" customHeight="1">
      <c r="C218" s="68"/>
      <c r="E218" s="68"/>
      <c r="F218" s="68"/>
      <c r="G218" s="68"/>
      <c r="M218" s="68"/>
    </row>
    <row r="219" ht="15.75" customHeight="1">
      <c r="C219" s="68"/>
      <c r="E219" s="68"/>
      <c r="F219" s="68"/>
      <c r="G219" s="68"/>
      <c r="M219" s="68"/>
    </row>
    <row r="220" ht="15.75" customHeight="1">
      <c r="C220" s="68"/>
      <c r="E220" s="68"/>
      <c r="F220" s="68"/>
      <c r="G220" s="68"/>
      <c r="M220" s="68"/>
    </row>
    <row r="221" ht="15.75" customHeight="1">
      <c r="C221" s="68"/>
      <c r="E221" s="68"/>
      <c r="F221" s="68"/>
      <c r="G221" s="68"/>
      <c r="M221" s="68"/>
    </row>
    <row r="222" ht="15.75" customHeight="1">
      <c r="C222" s="68"/>
      <c r="E222" s="68"/>
      <c r="F222" s="68"/>
      <c r="G222" s="68"/>
      <c r="M222" s="68"/>
    </row>
    <row r="223" ht="15.75" customHeight="1">
      <c r="C223" s="68"/>
      <c r="E223" s="68"/>
      <c r="F223" s="68"/>
      <c r="G223" s="68"/>
      <c r="M223" s="68"/>
    </row>
    <row r="224" ht="15.75" customHeight="1">
      <c r="C224" s="68"/>
      <c r="E224" s="68"/>
      <c r="F224" s="68"/>
      <c r="G224" s="68"/>
      <c r="M224" s="68"/>
    </row>
    <row r="225" ht="15.75" customHeight="1">
      <c r="C225" s="68"/>
      <c r="E225" s="68"/>
      <c r="F225" s="68"/>
      <c r="G225" s="68"/>
      <c r="M225" s="68"/>
    </row>
    <row r="226" ht="15.75" customHeight="1">
      <c r="C226" s="68"/>
      <c r="E226" s="68"/>
      <c r="F226" s="68"/>
      <c r="G226" s="68"/>
      <c r="M226" s="68"/>
    </row>
    <row r="227" ht="15.75" customHeight="1">
      <c r="C227" s="68"/>
      <c r="E227" s="68"/>
      <c r="F227" s="68"/>
      <c r="G227" s="68"/>
      <c r="M227" s="68"/>
    </row>
    <row r="228" ht="15.75" customHeight="1">
      <c r="C228" s="68"/>
      <c r="E228" s="68"/>
      <c r="F228" s="68"/>
      <c r="G228" s="68"/>
      <c r="M228" s="68"/>
    </row>
    <row r="229" ht="15.75" customHeight="1">
      <c r="C229" s="68"/>
      <c r="E229" s="68"/>
      <c r="F229" s="68"/>
      <c r="G229" s="68"/>
      <c r="M229" s="68"/>
    </row>
    <row r="230" ht="15.75" customHeight="1">
      <c r="C230" s="68"/>
      <c r="E230" s="68"/>
      <c r="F230" s="68"/>
      <c r="G230" s="68"/>
      <c r="M230" s="68"/>
    </row>
    <row r="231" ht="15.75" customHeight="1">
      <c r="C231" s="68"/>
      <c r="E231" s="68"/>
      <c r="F231" s="68"/>
      <c r="G231" s="68"/>
      <c r="M231" s="68"/>
    </row>
    <row r="232" ht="15.75" customHeight="1">
      <c r="C232" s="68"/>
      <c r="E232" s="68"/>
      <c r="F232" s="68"/>
      <c r="G232" s="68"/>
      <c r="M232" s="68"/>
    </row>
    <row r="233" ht="15.75" customHeight="1">
      <c r="C233" s="68"/>
      <c r="E233" s="68"/>
      <c r="F233" s="68"/>
      <c r="G233" s="68"/>
      <c r="M233" s="68"/>
    </row>
    <row r="234" ht="15.75" customHeight="1">
      <c r="C234" s="68"/>
      <c r="E234" s="68"/>
      <c r="F234" s="68"/>
      <c r="G234" s="68"/>
      <c r="M234" s="68"/>
    </row>
    <row r="235" ht="15.75" customHeight="1">
      <c r="C235" s="68"/>
      <c r="E235" s="68"/>
      <c r="F235" s="68"/>
      <c r="G235" s="68"/>
      <c r="M235" s="68"/>
    </row>
    <row r="236" ht="15.75" customHeight="1">
      <c r="C236" s="68"/>
      <c r="E236" s="68"/>
      <c r="F236" s="68"/>
      <c r="G236" s="68"/>
      <c r="M236" s="68"/>
    </row>
    <row r="237" ht="15.75" customHeight="1">
      <c r="C237" s="68"/>
      <c r="E237" s="68"/>
      <c r="F237" s="68"/>
      <c r="G237" s="68"/>
      <c r="M237" s="68"/>
    </row>
    <row r="238" ht="15.75" customHeight="1">
      <c r="C238" s="68"/>
      <c r="E238" s="68"/>
      <c r="F238" s="68"/>
      <c r="G238" s="68"/>
      <c r="M238" s="68"/>
    </row>
    <row r="239" ht="15.75" customHeight="1">
      <c r="C239" s="68"/>
      <c r="E239" s="68"/>
      <c r="F239" s="68"/>
      <c r="G239" s="68"/>
      <c r="M239" s="68"/>
    </row>
    <row r="240" ht="15.75" customHeight="1">
      <c r="C240" s="68"/>
      <c r="E240" s="68"/>
      <c r="F240" s="68"/>
      <c r="G240" s="68"/>
      <c r="M240" s="68"/>
    </row>
    <row r="241" ht="15.75" customHeight="1">
      <c r="C241" s="68"/>
      <c r="E241" s="68"/>
      <c r="F241" s="68"/>
      <c r="G241" s="68"/>
      <c r="M241" s="68"/>
    </row>
    <row r="242" ht="15.75" customHeight="1">
      <c r="C242" s="68"/>
      <c r="E242" s="68"/>
      <c r="F242" s="68"/>
      <c r="G242" s="68"/>
      <c r="M242" s="68"/>
    </row>
    <row r="243" ht="15.75" customHeight="1">
      <c r="C243" s="68"/>
      <c r="E243" s="68"/>
      <c r="F243" s="68"/>
      <c r="G243" s="68"/>
      <c r="M243" s="68"/>
    </row>
    <row r="244" ht="15.75" customHeight="1">
      <c r="C244" s="68"/>
      <c r="E244" s="68"/>
      <c r="F244" s="68"/>
      <c r="G244" s="68"/>
      <c r="M244" s="68"/>
    </row>
    <row r="245" ht="15.75" customHeight="1">
      <c r="C245" s="68"/>
      <c r="E245" s="68"/>
      <c r="F245" s="68"/>
      <c r="G245" s="68"/>
      <c r="M245" s="68"/>
    </row>
    <row r="246" ht="15.75" customHeight="1">
      <c r="C246" s="68"/>
      <c r="E246" s="68"/>
      <c r="F246" s="68"/>
      <c r="G246" s="68"/>
      <c r="M246" s="68"/>
    </row>
    <row r="247" ht="15.75" customHeight="1">
      <c r="C247" s="68"/>
      <c r="E247" s="68"/>
      <c r="F247" s="68"/>
      <c r="G247" s="68"/>
      <c r="M247" s="68"/>
    </row>
    <row r="248" ht="15.75" customHeight="1">
      <c r="C248" s="68"/>
      <c r="E248" s="68"/>
      <c r="F248" s="68"/>
      <c r="G248" s="68"/>
      <c r="M248" s="68"/>
    </row>
    <row r="249" ht="15.75" customHeight="1">
      <c r="C249" s="68"/>
      <c r="E249" s="68"/>
      <c r="F249" s="68"/>
      <c r="G249" s="68"/>
      <c r="M249" s="68"/>
    </row>
    <row r="250" ht="15.75" customHeight="1">
      <c r="C250" s="68"/>
      <c r="E250" s="68"/>
      <c r="F250" s="68"/>
      <c r="G250" s="68"/>
      <c r="M250" s="68"/>
    </row>
    <row r="251" ht="15.75" customHeight="1">
      <c r="C251" s="68"/>
      <c r="E251" s="68"/>
      <c r="F251" s="68"/>
      <c r="G251" s="68"/>
      <c r="M251" s="68"/>
    </row>
    <row r="252" ht="15.75" customHeight="1">
      <c r="C252" s="68"/>
      <c r="E252" s="68"/>
      <c r="F252" s="68"/>
      <c r="G252" s="68"/>
      <c r="M252" s="68"/>
    </row>
    <row r="253" ht="15.75" customHeight="1">
      <c r="C253" s="68"/>
      <c r="E253" s="68"/>
      <c r="F253" s="68"/>
      <c r="G253" s="68"/>
      <c r="M253" s="68"/>
    </row>
    <row r="254" ht="15.75" customHeight="1">
      <c r="C254" s="68"/>
      <c r="E254" s="68"/>
      <c r="F254" s="68"/>
      <c r="G254" s="68"/>
      <c r="M254" s="68"/>
    </row>
    <row r="255" ht="15.75" customHeight="1">
      <c r="C255" s="68"/>
      <c r="E255" s="68"/>
      <c r="F255" s="68"/>
      <c r="G255" s="68"/>
      <c r="M255" s="68"/>
    </row>
    <row r="256" ht="15.75" customHeight="1">
      <c r="C256" s="68"/>
      <c r="E256" s="68"/>
      <c r="F256" s="68"/>
      <c r="G256" s="68"/>
      <c r="M256" s="68"/>
    </row>
    <row r="257" ht="15.75" customHeight="1">
      <c r="C257" s="68"/>
      <c r="E257" s="68"/>
      <c r="F257" s="68"/>
      <c r="G257" s="68"/>
      <c r="M257" s="68"/>
    </row>
    <row r="258" ht="15.75" customHeight="1">
      <c r="C258" s="68"/>
      <c r="E258" s="68"/>
      <c r="F258" s="68"/>
      <c r="G258" s="68"/>
      <c r="M258" s="68"/>
    </row>
    <row r="259" ht="15.75" customHeight="1">
      <c r="C259" s="68"/>
      <c r="E259" s="68"/>
      <c r="F259" s="68"/>
      <c r="G259" s="68"/>
      <c r="M259" s="68"/>
    </row>
    <row r="260" ht="15.75" customHeight="1">
      <c r="C260" s="68"/>
      <c r="E260" s="68"/>
      <c r="F260" s="68"/>
      <c r="G260" s="68"/>
      <c r="M260" s="68"/>
    </row>
    <row r="261" ht="15.75" customHeight="1">
      <c r="C261" s="68"/>
      <c r="E261" s="68"/>
      <c r="F261" s="68"/>
      <c r="G261" s="68"/>
      <c r="M261" s="68"/>
    </row>
    <row r="262" ht="15.75" customHeight="1">
      <c r="C262" s="68"/>
      <c r="E262" s="68"/>
      <c r="F262" s="68"/>
      <c r="G262" s="68"/>
      <c r="M262" s="68"/>
    </row>
    <row r="263" ht="15.75" customHeight="1">
      <c r="C263" s="68"/>
      <c r="E263" s="68"/>
      <c r="F263" s="68"/>
      <c r="G263" s="68"/>
      <c r="M263" s="68"/>
    </row>
    <row r="264" ht="15.75" customHeight="1">
      <c r="C264" s="68"/>
      <c r="E264" s="68"/>
      <c r="F264" s="68"/>
      <c r="G264" s="68"/>
      <c r="M264" s="68"/>
    </row>
    <row r="265" ht="15.75" customHeight="1">
      <c r="C265" s="68"/>
      <c r="E265" s="68"/>
      <c r="F265" s="68"/>
      <c r="G265" s="68"/>
      <c r="M265" s="68"/>
    </row>
    <row r="266" ht="15.75" customHeight="1">
      <c r="C266" s="68"/>
      <c r="E266" s="68"/>
      <c r="F266" s="68"/>
      <c r="G266" s="68"/>
      <c r="M266" s="68"/>
    </row>
    <row r="267" ht="15.75" customHeight="1">
      <c r="C267" s="68"/>
      <c r="E267" s="68"/>
      <c r="F267" s="68"/>
      <c r="G267" s="68"/>
      <c r="M267" s="68"/>
    </row>
    <row r="268" ht="15.75" customHeight="1">
      <c r="C268" s="68"/>
      <c r="E268" s="68"/>
      <c r="F268" s="68"/>
      <c r="G268" s="68"/>
      <c r="M268" s="68"/>
    </row>
    <row r="269" ht="15.75" customHeight="1">
      <c r="C269" s="68"/>
      <c r="E269" s="68"/>
      <c r="F269" s="68"/>
      <c r="G269" s="68"/>
      <c r="M269" s="68"/>
    </row>
    <row r="270" ht="15.75" customHeight="1">
      <c r="C270" s="68"/>
      <c r="E270" s="68"/>
      <c r="F270" s="68"/>
      <c r="G270" s="68"/>
      <c r="M270" s="68"/>
    </row>
    <row r="271" ht="15.75" customHeight="1">
      <c r="C271" s="68"/>
      <c r="E271" s="68"/>
      <c r="F271" s="68"/>
      <c r="G271" s="68"/>
      <c r="M271" s="68"/>
    </row>
    <row r="272" ht="15.75" customHeight="1">
      <c r="C272" s="68"/>
      <c r="E272" s="68"/>
      <c r="F272" s="68"/>
      <c r="G272" s="68"/>
      <c r="M272" s="68"/>
    </row>
    <row r="273" ht="15.75" customHeight="1">
      <c r="C273" s="68"/>
      <c r="E273" s="68"/>
      <c r="F273" s="68"/>
      <c r="G273" s="68"/>
      <c r="M273" s="68"/>
    </row>
    <row r="274" ht="15.75" customHeight="1">
      <c r="C274" s="68"/>
      <c r="E274" s="68"/>
      <c r="F274" s="68"/>
      <c r="G274" s="68"/>
      <c r="M274" s="68"/>
    </row>
    <row r="275" ht="15.75" customHeight="1">
      <c r="C275" s="68"/>
      <c r="E275" s="68"/>
      <c r="F275" s="68"/>
      <c r="G275" s="68"/>
      <c r="M275" s="68"/>
    </row>
    <row r="276" ht="15.75" customHeight="1">
      <c r="C276" s="68"/>
      <c r="E276" s="68"/>
      <c r="F276" s="68"/>
      <c r="G276" s="68"/>
      <c r="M276" s="68"/>
    </row>
    <row r="277" ht="15.75" customHeight="1">
      <c r="C277" s="68"/>
      <c r="E277" s="68"/>
      <c r="F277" s="68"/>
      <c r="G277" s="68"/>
      <c r="M277" s="68"/>
    </row>
    <row r="278" ht="15.75" customHeight="1">
      <c r="C278" s="68"/>
      <c r="E278" s="68"/>
      <c r="F278" s="68"/>
      <c r="G278" s="68"/>
      <c r="M278" s="68"/>
    </row>
    <row r="279" ht="15.75" customHeight="1">
      <c r="C279" s="68"/>
      <c r="E279" s="68"/>
      <c r="F279" s="68"/>
      <c r="G279" s="68"/>
      <c r="M279" s="68"/>
    </row>
    <row r="280" ht="15.75" customHeight="1">
      <c r="C280" s="68"/>
      <c r="E280" s="68"/>
      <c r="F280" s="68"/>
      <c r="G280" s="68"/>
      <c r="M280" s="68"/>
    </row>
    <row r="281" ht="15.75" customHeight="1">
      <c r="C281" s="68"/>
      <c r="E281" s="68"/>
      <c r="F281" s="68"/>
      <c r="G281" s="68"/>
      <c r="M281" s="68"/>
    </row>
    <row r="282" ht="15.75" customHeight="1">
      <c r="C282" s="68"/>
      <c r="E282" s="68"/>
      <c r="F282" s="68"/>
      <c r="G282" s="68"/>
      <c r="M282" s="68"/>
    </row>
    <row r="283" ht="15.75" customHeight="1">
      <c r="C283" s="68"/>
      <c r="E283" s="68"/>
      <c r="F283" s="68"/>
      <c r="G283" s="68"/>
      <c r="M283" s="68"/>
    </row>
    <row r="284" ht="15.75" customHeight="1">
      <c r="C284" s="68"/>
      <c r="E284" s="68"/>
      <c r="F284" s="68"/>
      <c r="G284" s="68"/>
      <c r="M284" s="68"/>
    </row>
    <row r="285" ht="15.75" customHeight="1">
      <c r="C285" s="68"/>
      <c r="E285" s="68"/>
      <c r="F285" s="68"/>
      <c r="G285" s="68"/>
      <c r="M285" s="68"/>
    </row>
    <row r="286" ht="15.75" customHeight="1">
      <c r="C286" s="68"/>
      <c r="E286" s="68"/>
      <c r="F286" s="68"/>
      <c r="G286" s="68"/>
      <c r="M286" s="68"/>
    </row>
    <row r="287" ht="15.75" customHeight="1">
      <c r="C287" s="68"/>
      <c r="E287" s="68"/>
      <c r="F287" s="68"/>
      <c r="G287" s="68"/>
      <c r="M287" s="68"/>
    </row>
    <row r="288" ht="15.75" customHeight="1">
      <c r="C288" s="68"/>
      <c r="E288" s="68"/>
      <c r="F288" s="68"/>
      <c r="G288" s="68"/>
      <c r="M288" s="68"/>
    </row>
    <row r="289" ht="15.75" customHeight="1">
      <c r="C289" s="68"/>
      <c r="E289" s="68"/>
      <c r="F289" s="68"/>
      <c r="G289" s="68"/>
      <c r="M289" s="68"/>
    </row>
    <row r="290" ht="15.75" customHeight="1">
      <c r="C290" s="68"/>
      <c r="E290" s="68"/>
      <c r="F290" s="68"/>
      <c r="G290" s="68"/>
      <c r="M290" s="68"/>
    </row>
    <row r="291" ht="15.75" customHeight="1">
      <c r="C291" s="68"/>
      <c r="E291" s="68"/>
      <c r="F291" s="68"/>
      <c r="G291" s="68"/>
      <c r="M291" s="68"/>
    </row>
    <row r="292" ht="15.75" customHeight="1">
      <c r="C292" s="68"/>
      <c r="E292" s="68"/>
      <c r="F292" s="68"/>
      <c r="G292" s="68"/>
      <c r="M292" s="68"/>
    </row>
    <row r="293" ht="15.75" customHeight="1">
      <c r="C293" s="68"/>
      <c r="E293" s="68"/>
      <c r="F293" s="68"/>
      <c r="G293" s="68"/>
      <c r="M293" s="68"/>
    </row>
    <row r="294" ht="15.75" customHeight="1">
      <c r="C294" s="68"/>
      <c r="E294" s="68"/>
      <c r="F294" s="68"/>
      <c r="G294" s="68"/>
      <c r="M294" s="68"/>
    </row>
    <row r="295" ht="15.75" customHeight="1">
      <c r="C295" s="68"/>
      <c r="E295" s="68"/>
      <c r="F295" s="68"/>
      <c r="G295" s="68"/>
      <c r="M295" s="68"/>
    </row>
    <row r="296" ht="15.75" customHeight="1">
      <c r="C296" s="68"/>
      <c r="E296" s="68"/>
      <c r="F296" s="68"/>
      <c r="G296" s="68"/>
      <c r="M296" s="68"/>
    </row>
    <row r="297" ht="15.75" customHeight="1">
      <c r="C297" s="68"/>
      <c r="E297" s="68"/>
      <c r="F297" s="68"/>
      <c r="G297" s="68"/>
      <c r="M297" s="68"/>
    </row>
    <row r="298" ht="15.75" customHeight="1">
      <c r="C298" s="68"/>
      <c r="E298" s="68"/>
      <c r="F298" s="68"/>
      <c r="G298" s="68"/>
      <c r="M298" s="68"/>
    </row>
    <row r="299" ht="15.75" customHeight="1">
      <c r="C299" s="68"/>
      <c r="E299" s="68"/>
      <c r="F299" s="68"/>
      <c r="G299" s="68"/>
      <c r="M299" s="68"/>
    </row>
    <row r="300" ht="15.75" customHeight="1">
      <c r="C300" s="68"/>
      <c r="E300" s="68"/>
      <c r="F300" s="68"/>
      <c r="G300" s="68"/>
      <c r="M300" s="68"/>
    </row>
    <row r="301" ht="15.75" customHeight="1">
      <c r="C301" s="68"/>
      <c r="E301" s="68"/>
      <c r="F301" s="68"/>
      <c r="G301" s="68"/>
      <c r="M301" s="68"/>
    </row>
    <row r="302" ht="15.75" customHeight="1">
      <c r="C302" s="68"/>
      <c r="E302" s="68"/>
      <c r="F302" s="68"/>
      <c r="G302" s="68"/>
      <c r="M302" s="68"/>
    </row>
    <row r="303" ht="15.75" customHeight="1">
      <c r="C303" s="68"/>
      <c r="E303" s="68"/>
      <c r="F303" s="68"/>
      <c r="G303" s="68"/>
      <c r="M303" s="68"/>
    </row>
    <row r="304" ht="15.75" customHeight="1">
      <c r="C304" s="68"/>
      <c r="E304" s="68"/>
      <c r="F304" s="68"/>
      <c r="G304" s="68"/>
      <c r="M304" s="68"/>
    </row>
    <row r="305" ht="15.75" customHeight="1">
      <c r="C305" s="68"/>
      <c r="E305" s="68"/>
      <c r="F305" s="68"/>
      <c r="G305" s="68"/>
      <c r="M305" s="68"/>
    </row>
    <row r="306" ht="15.75" customHeight="1">
      <c r="C306" s="68"/>
      <c r="E306" s="68"/>
      <c r="F306" s="68"/>
      <c r="G306" s="68"/>
      <c r="M306" s="68"/>
    </row>
    <row r="307" ht="15.75" customHeight="1">
      <c r="C307" s="68"/>
      <c r="E307" s="68"/>
      <c r="F307" s="68"/>
      <c r="G307" s="68"/>
      <c r="M307" s="68"/>
    </row>
    <row r="308" ht="15.75" customHeight="1">
      <c r="C308" s="68"/>
      <c r="E308" s="68"/>
      <c r="F308" s="68"/>
      <c r="G308" s="68"/>
      <c r="M308" s="68"/>
    </row>
    <row r="309" ht="15.75" customHeight="1">
      <c r="C309" s="68"/>
      <c r="E309" s="68"/>
      <c r="F309" s="68"/>
      <c r="G309" s="68"/>
      <c r="M309" s="68"/>
    </row>
    <row r="310" ht="15.75" customHeight="1">
      <c r="C310" s="68"/>
      <c r="E310" s="68"/>
      <c r="F310" s="68"/>
      <c r="G310" s="68"/>
      <c r="M310" s="68"/>
    </row>
    <row r="311" ht="15.75" customHeight="1">
      <c r="C311" s="68"/>
      <c r="E311" s="68"/>
      <c r="F311" s="68"/>
      <c r="G311" s="68"/>
      <c r="M311" s="68"/>
    </row>
    <row r="312" ht="15.75" customHeight="1">
      <c r="C312" s="68"/>
      <c r="E312" s="68"/>
      <c r="F312" s="68"/>
      <c r="G312" s="68"/>
      <c r="M312" s="68"/>
    </row>
    <row r="313" ht="15.75" customHeight="1">
      <c r="C313" s="68"/>
      <c r="E313" s="68"/>
      <c r="F313" s="68"/>
      <c r="G313" s="68"/>
      <c r="M313" s="68"/>
    </row>
    <row r="314" ht="15.75" customHeight="1">
      <c r="C314" s="68"/>
      <c r="E314" s="68"/>
      <c r="F314" s="68"/>
      <c r="G314" s="68"/>
      <c r="M314" s="68"/>
    </row>
    <row r="315" ht="15.75" customHeight="1">
      <c r="C315" s="68"/>
      <c r="E315" s="68"/>
      <c r="F315" s="68"/>
      <c r="G315" s="68"/>
      <c r="M315" s="68"/>
    </row>
    <row r="316" ht="15.75" customHeight="1">
      <c r="C316" s="68"/>
      <c r="E316" s="68"/>
      <c r="F316" s="68"/>
      <c r="G316" s="68"/>
      <c r="M316" s="68"/>
    </row>
    <row r="317" ht="15.75" customHeight="1">
      <c r="C317" s="68"/>
      <c r="E317" s="68"/>
      <c r="F317" s="68"/>
      <c r="G317" s="68"/>
      <c r="M317" s="68"/>
    </row>
    <row r="318" ht="15.75" customHeight="1">
      <c r="C318" s="68"/>
      <c r="E318" s="68"/>
      <c r="F318" s="68"/>
      <c r="G318" s="68"/>
      <c r="M318" s="68"/>
    </row>
    <row r="319" ht="15.75" customHeight="1">
      <c r="C319" s="68"/>
      <c r="E319" s="68"/>
      <c r="F319" s="68"/>
      <c r="G319" s="68"/>
      <c r="M319" s="68"/>
    </row>
    <row r="320" ht="15.75" customHeight="1">
      <c r="C320" s="68"/>
      <c r="E320" s="68"/>
      <c r="F320" s="68"/>
      <c r="G320" s="68"/>
      <c r="M320" s="68"/>
    </row>
    <row r="321" ht="15.75" customHeight="1">
      <c r="C321" s="68"/>
      <c r="E321" s="68"/>
      <c r="F321" s="68"/>
      <c r="G321" s="68"/>
      <c r="M321" s="68"/>
    </row>
    <row r="322" ht="15.75" customHeight="1">
      <c r="C322" s="68"/>
      <c r="E322" s="68"/>
      <c r="F322" s="68"/>
      <c r="G322" s="68"/>
      <c r="M322" s="68"/>
    </row>
    <row r="323" ht="15.75" customHeight="1">
      <c r="C323" s="68"/>
      <c r="E323" s="68"/>
      <c r="F323" s="68"/>
      <c r="G323" s="68"/>
      <c r="M323" s="68"/>
    </row>
    <row r="324" ht="15.75" customHeight="1">
      <c r="C324" s="68"/>
      <c r="E324" s="68"/>
      <c r="F324" s="68"/>
      <c r="G324" s="68"/>
      <c r="M324" s="68"/>
    </row>
    <row r="325" ht="15.75" customHeight="1">
      <c r="C325" s="68"/>
      <c r="E325" s="68"/>
      <c r="F325" s="68"/>
      <c r="G325" s="68"/>
      <c r="M325" s="68"/>
    </row>
    <row r="326" ht="15.75" customHeight="1">
      <c r="C326" s="68"/>
      <c r="E326" s="68"/>
      <c r="F326" s="68"/>
      <c r="G326" s="68"/>
      <c r="M326" s="68"/>
    </row>
    <row r="327" ht="15.75" customHeight="1">
      <c r="C327" s="68"/>
      <c r="E327" s="68"/>
      <c r="F327" s="68"/>
      <c r="G327" s="68"/>
      <c r="M327" s="68"/>
    </row>
    <row r="328" ht="15.75" customHeight="1">
      <c r="C328" s="68"/>
      <c r="E328" s="68"/>
      <c r="F328" s="68"/>
      <c r="G328" s="68"/>
      <c r="M328" s="68"/>
    </row>
    <row r="329" ht="15.75" customHeight="1">
      <c r="C329" s="68"/>
      <c r="E329" s="68"/>
      <c r="F329" s="68"/>
      <c r="G329" s="68"/>
      <c r="M329" s="68"/>
    </row>
    <row r="330" ht="15.75" customHeight="1">
      <c r="C330" s="68"/>
      <c r="E330" s="68"/>
      <c r="F330" s="68"/>
      <c r="G330" s="68"/>
      <c r="M330" s="68"/>
    </row>
    <row r="331" ht="15.75" customHeight="1">
      <c r="C331" s="68"/>
      <c r="E331" s="68"/>
      <c r="F331" s="68"/>
      <c r="G331" s="68"/>
      <c r="M331" s="68"/>
    </row>
    <row r="332" ht="15.75" customHeight="1">
      <c r="C332" s="68"/>
      <c r="E332" s="68"/>
      <c r="F332" s="68"/>
      <c r="G332" s="68"/>
      <c r="M332" s="68"/>
    </row>
    <row r="333" ht="15.75" customHeight="1">
      <c r="C333" s="68"/>
      <c r="E333" s="68"/>
      <c r="F333" s="68"/>
      <c r="G333" s="68"/>
      <c r="M333" s="68"/>
    </row>
    <row r="334" ht="15.75" customHeight="1">
      <c r="C334" s="68"/>
      <c r="E334" s="68"/>
      <c r="F334" s="68"/>
      <c r="G334" s="68"/>
      <c r="M334" s="68"/>
    </row>
    <row r="335" ht="15.75" customHeight="1">
      <c r="C335" s="68"/>
      <c r="E335" s="68"/>
      <c r="F335" s="68"/>
      <c r="G335" s="68"/>
      <c r="M335" s="68"/>
    </row>
    <row r="336" ht="15.75" customHeight="1">
      <c r="C336" s="68"/>
      <c r="E336" s="68"/>
      <c r="F336" s="68"/>
      <c r="G336" s="68"/>
      <c r="M336" s="68"/>
    </row>
    <row r="337" ht="15.75" customHeight="1">
      <c r="C337" s="68"/>
      <c r="E337" s="68"/>
      <c r="F337" s="68"/>
      <c r="G337" s="68"/>
      <c r="M337" s="68"/>
    </row>
    <row r="338" ht="15.75" customHeight="1">
      <c r="C338" s="68"/>
      <c r="E338" s="68"/>
      <c r="F338" s="68"/>
      <c r="G338" s="68"/>
      <c r="M338" s="68"/>
    </row>
    <row r="339" ht="15.75" customHeight="1">
      <c r="C339" s="68"/>
      <c r="E339" s="68"/>
      <c r="F339" s="68"/>
      <c r="G339" s="68"/>
      <c r="M339" s="68"/>
    </row>
    <row r="340" ht="15.75" customHeight="1">
      <c r="C340" s="68"/>
      <c r="E340" s="68"/>
      <c r="F340" s="68"/>
      <c r="G340" s="68"/>
      <c r="M340" s="68"/>
    </row>
    <row r="341" ht="15.75" customHeight="1">
      <c r="C341" s="68"/>
      <c r="E341" s="68"/>
      <c r="F341" s="68"/>
      <c r="G341" s="68"/>
      <c r="M341" s="68"/>
    </row>
    <row r="342" ht="15.75" customHeight="1">
      <c r="C342" s="68"/>
      <c r="E342" s="68"/>
      <c r="F342" s="68"/>
      <c r="G342" s="68"/>
      <c r="M342" s="68"/>
    </row>
    <row r="343" ht="15.75" customHeight="1">
      <c r="C343" s="68"/>
      <c r="E343" s="68"/>
      <c r="F343" s="68"/>
      <c r="G343" s="68"/>
      <c r="M343" s="68"/>
    </row>
    <row r="344" ht="15.75" customHeight="1">
      <c r="C344" s="68"/>
      <c r="E344" s="68"/>
      <c r="F344" s="68"/>
      <c r="G344" s="68"/>
      <c r="M344" s="68"/>
    </row>
    <row r="345" ht="15.75" customHeight="1">
      <c r="C345" s="68"/>
      <c r="E345" s="68"/>
      <c r="F345" s="68"/>
      <c r="G345" s="68"/>
      <c r="M345" s="68"/>
    </row>
    <row r="346" ht="15.75" customHeight="1">
      <c r="C346" s="68"/>
      <c r="E346" s="68"/>
      <c r="F346" s="68"/>
      <c r="G346" s="68"/>
      <c r="M346" s="68"/>
    </row>
    <row r="347" ht="15.75" customHeight="1">
      <c r="C347" s="68"/>
      <c r="E347" s="68"/>
      <c r="F347" s="68"/>
      <c r="G347" s="68"/>
      <c r="M347" s="68"/>
    </row>
    <row r="348" ht="15.75" customHeight="1">
      <c r="C348" s="68"/>
      <c r="E348" s="68"/>
      <c r="F348" s="68"/>
      <c r="G348" s="68"/>
      <c r="M348" s="68"/>
    </row>
    <row r="349" ht="15.75" customHeight="1">
      <c r="C349" s="68"/>
      <c r="E349" s="68"/>
      <c r="F349" s="68"/>
      <c r="G349" s="68"/>
      <c r="M349" s="68"/>
    </row>
    <row r="350" ht="15.75" customHeight="1">
      <c r="C350" s="68"/>
      <c r="E350" s="68"/>
      <c r="F350" s="68"/>
      <c r="G350" s="68"/>
      <c r="M350" s="68"/>
    </row>
    <row r="351" ht="15.75" customHeight="1">
      <c r="C351" s="68"/>
      <c r="E351" s="68"/>
      <c r="F351" s="68"/>
      <c r="G351" s="68"/>
      <c r="M351" s="68"/>
    </row>
    <row r="352" ht="15.75" customHeight="1">
      <c r="C352" s="68"/>
      <c r="E352" s="68"/>
      <c r="F352" s="68"/>
      <c r="G352" s="68"/>
      <c r="M352" s="68"/>
    </row>
    <row r="353" ht="15.75" customHeight="1">
      <c r="C353" s="68"/>
      <c r="E353" s="68"/>
      <c r="F353" s="68"/>
      <c r="G353" s="68"/>
      <c r="M353" s="68"/>
    </row>
    <row r="354" ht="15.75" customHeight="1">
      <c r="C354" s="68"/>
      <c r="E354" s="68"/>
      <c r="F354" s="68"/>
      <c r="G354" s="68"/>
      <c r="M354" s="68"/>
    </row>
    <row r="355" ht="15.75" customHeight="1">
      <c r="C355" s="68"/>
      <c r="E355" s="68"/>
      <c r="F355" s="68"/>
      <c r="G355" s="68"/>
      <c r="M355" s="68"/>
    </row>
    <row r="356" ht="15.75" customHeight="1">
      <c r="C356" s="68"/>
      <c r="E356" s="68"/>
      <c r="F356" s="68"/>
      <c r="G356" s="68"/>
      <c r="M356" s="68"/>
    </row>
    <row r="357" ht="15.75" customHeight="1">
      <c r="C357" s="68"/>
      <c r="E357" s="68"/>
      <c r="F357" s="68"/>
      <c r="G357" s="68"/>
      <c r="M357" s="68"/>
    </row>
    <row r="358" ht="15.75" customHeight="1">
      <c r="C358" s="68"/>
      <c r="E358" s="68"/>
      <c r="F358" s="68"/>
      <c r="G358" s="68"/>
      <c r="M358" s="68"/>
    </row>
    <row r="359" ht="15.75" customHeight="1">
      <c r="C359" s="68"/>
      <c r="E359" s="68"/>
      <c r="F359" s="68"/>
      <c r="G359" s="68"/>
      <c r="M359" s="68"/>
    </row>
    <row r="360" ht="15.75" customHeight="1">
      <c r="C360" s="68"/>
      <c r="E360" s="68"/>
      <c r="F360" s="68"/>
      <c r="G360" s="68"/>
      <c r="M360" s="68"/>
    </row>
    <row r="361" ht="15.75" customHeight="1">
      <c r="C361" s="68"/>
      <c r="E361" s="68"/>
      <c r="F361" s="68"/>
      <c r="G361" s="68"/>
      <c r="M361" s="68"/>
    </row>
    <row r="362" ht="15.75" customHeight="1">
      <c r="C362" s="68"/>
      <c r="E362" s="68"/>
      <c r="F362" s="68"/>
      <c r="G362" s="68"/>
      <c r="M362" s="68"/>
    </row>
    <row r="363" ht="15.75" customHeight="1">
      <c r="C363" s="68"/>
      <c r="E363" s="68"/>
      <c r="F363" s="68"/>
      <c r="G363" s="68"/>
      <c r="M363" s="68"/>
    </row>
    <row r="364" ht="15.75" customHeight="1">
      <c r="C364" s="68"/>
      <c r="E364" s="68"/>
      <c r="F364" s="68"/>
      <c r="G364" s="68"/>
      <c r="M364" s="68"/>
    </row>
    <row r="365" ht="15.75" customHeight="1">
      <c r="C365" s="68"/>
      <c r="E365" s="68"/>
      <c r="F365" s="68"/>
      <c r="G365" s="68"/>
      <c r="M365" s="68"/>
    </row>
    <row r="366" ht="15.75" customHeight="1">
      <c r="C366" s="68"/>
      <c r="E366" s="68"/>
      <c r="F366" s="68"/>
      <c r="G366" s="68"/>
      <c r="M366" s="68"/>
    </row>
    <row r="367" ht="15.75" customHeight="1">
      <c r="C367" s="68"/>
      <c r="E367" s="68"/>
      <c r="F367" s="68"/>
      <c r="G367" s="68"/>
      <c r="M367" s="68"/>
    </row>
    <row r="368" ht="15.75" customHeight="1">
      <c r="C368" s="68"/>
      <c r="E368" s="68"/>
      <c r="F368" s="68"/>
      <c r="G368" s="68"/>
      <c r="M368" s="68"/>
    </row>
    <row r="369" ht="15.75" customHeight="1">
      <c r="C369" s="68"/>
      <c r="E369" s="68"/>
      <c r="F369" s="68"/>
      <c r="G369" s="68"/>
      <c r="M369" s="68"/>
    </row>
    <row r="370" ht="15.75" customHeight="1">
      <c r="C370" s="68"/>
      <c r="E370" s="68"/>
      <c r="F370" s="68"/>
      <c r="G370" s="68"/>
      <c r="M370" s="68"/>
    </row>
    <row r="371" ht="15.75" customHeight="1">
      <c r="C371" s="68"/>
      <c r="E371" s="68"/>
      <c r="F371" s="68"/>
      <c r="G371" s="68"/>
      <c r="M371" s="68"/>
    </row>
    <row r="372" ht="15.75" customHeight="1">
      <c r="C372" s="68"/>
      <c r="E372" s="68"/>
      <c r="F372" s="68"/>
      <c r="G372" s="68"/>
      <c r="M372" s="68"/>
    </row>
    <row r="373" ht="15.75" customHeight="1">
      <c r="C373" s="68"/>
      <c r="E373" s="68"/>
      <c r="F373" s="68"/>
      <c r="G373" s="68"/>
      <c r="M373" s="68"/>
    </row>
    <row r="374" ht="15.75" customHeight="1">
      <c r="C374" s="68"/>
      <c r="E374" s="68"/>
      <c r="F374" s="68"/>
      <c r="G374" s="68"/>
      <c r="M374" s="68"/>
    </row>
    <row r="375" ht="15.75" customHeight="1">
      <c r="C375" s="68"/>
      <c r="E375" s="68"/>
      <c r="F375" s="68"/>
      <c r="G375" s="68"/>
      <c r="M375" s="68"/>
    </row>
    <row r="376" ht="15.75" customHeight="1">
      <c r="C376" s="68"/>
      <c r="E376" s="68"/>
      <c r="F376" s="68"/>
      <c r="G376" s="68"/>
      <c r="M376" s="68"/>
    </row>
    <row r="377" ht="15.75" customHeight="1">
      <c r="C377" s="68"/>
      <c r="E377" s="68"/>
      <c r="F377" s="68"/>
      <c r="G377" s="68"/>
      <c r="M377" s="68"/>
    </row>
    <row r="378" ht="15.75" customHeight="1">
      <c r="C378" s="68"/>
      <c r="E378" s="68"/>
      <c r="F378" s="68"/>
      <c r="G378" s="68"/>
      <c r="M378" s="68"/>
    </row>
    <row r="379" ht="15.75" customHeight="1">
      <c r="C379" s="68"/>
      <c r="E379" s="68"/>
      <c r="F379" s="68"/>
      <c r="G379" s="68"/>
      <c r="M379" s="68"/>
    </row>
    <row r="380" ht="15.75" customHeight="1">
      <c r="C380" s="68"/>
      <c r="E380" s="68"/>
      <c r="F380" s="68"/>
      <c r="G380" s="68"/>
      <c r="M380" s="68"/>
    </row>
    <row r="381" ht="15.75" customHeight="1">
      <c r="C381" s="68"/>
      <c r="E381" s="68"/>
      <c r="F381" s="68"/>
      <c r="G381" s="68"/>
      <c r="M381" s="68"/>
    </row>
    <row r="382" ht="15.75" customHeight="1">
      <c r="C382" s="68"/>
      <c r="E382" s="68"/>
      <c r="F382" s="68"/>
      <c r="G382" s="68"/>
      <c r="M382" s="68"/>
    </row>
    <row r="383" ht="15.75" customHeight="1">
      <c r="C383" s="68"/>
      <c r="E383" s="68"/>
      <c r="F383" s="68"/>
      <c r="G383" s="68"/>
      <c r="M383" s="68"/>
    </row>
    <row r="384" ht="15.75" customHeight="1">
      <c r="C384" s="68"/>
      <c r="E384" s="68"/>
      <c r="F384" s="68"/>
      <c r="G384" s="68"/>
      <c r="M384" s="68"/>
    </row>
    <row r="385" ht="15.75" customHeight="1">
      <c r="C385" s="68"/>
      <c r="E385" s="68"/>
      <c r="F385" s="68"/>
      <c r="G385" s="68"/>
      <c r="M385" s="68"/>
    </row>
    <row r="386" ht="15.75" customHeight="1">
      <c r="C386" s="68"/>
      <c r="E386" s="68"/>
      <c r="F386" s="68"/>
      <c r="G386" s="68"/>
      <c r="M386" s="68"/>
    </row>
    <row r="387" ht="15.75" customHeight="1">
      <c r="C387" s="68"/>
      <c r="E387" s="68"/>
      <c r="F387" s="68"/>
      <c r="G387" s="68"/>
      <c r="M387" s="68"/>
    </row>
    <row r="388" ht="15.75" customHeight="1">
      <c r="C388" s="68"/>
      <c r="E388" s="68"/>
      <c r="F388" s="68"/>
      <c r="G388" s="68"/>
      <c r="M388" s="68"/>
    </row>
    <row r="389" ht="15.75" customHeight="1">
      <c r="C389" s="68"/>
      <c r="E389" s="68"/>
      <c r="F389" s="68"/>
      <c r="G389" s="68"/>
      <c r="M389" s="68"/>
    </row>
    <row r="390" ht="15.75" customHeight="1">
      <c r="C390" s="68"/>
      <c r="E390" s="68"/>
      <c r="F390" s="68"/>
      <c r="G390" s="68"/>
      <c r="M390" s="68"/>
    </row>
    <row r="391" ht="15.75" customHeight="1">
      <c r="C391" s="68"/>
      <c r="E391" s="68"/>
      <c r="F391" s="68"/>
      <c r="G391" s="68"/>
      <c r="M391" s="68"/>
    </row>
    <row r="392" ht="15.75" customHeight="1">
      <c r="C392" s="68"/>
      <c r="E392" s="68"/>
      <c r="F392" s="68"/>
      <c r="G392" s="68"/>
      <c r="M392" s="68"/>
    </row>
    <row r="393" ht="15.75" customHeight="1">
      <c r="C393" s="68"/>
      <c r="E393" s="68"/>
      <c r="F393" s="68"/>
      <c r="G393" s="68"/>
      <c r="M393" s="68"/>
    </row>
    <row r="394" ht="15.75" customHeight="1">
      <c r="C394" s="68"/>
      <c r="E394" s="68"/>
      <c r="F394" s="68"/>
      <c r="G394" s="68"/>
      <c r="M394" s="68"/>
    </row>
    <row r="395" ht="15.75" customHeight="1">
      <c r="C395" s="68"/>
      <c r="E395" s="68"/>
      <c r="F395" s="68"/>
      <c r="G395" s="68"/>
      <c r="M395" s="68"/>
    </row>
    <row r="396" ht="15.75" customHeight="1">
      <c r="C396" s="68"/>
      <c r="E396" s="68"/>
      <c r="F396" s="68"/>
      <c r="G396" s="68"/>
      <c r="M396" s="68"/>
    </row>
    <row r="397" ht="15.75" customHeight="1">
      <c r="C397" s="68"/>
      <c r="E397" s="68"/>
      <c r="F397" s="68"/>
      <c r="G397" s="68"/>
      <c r="M397" s="68"/>
    </row>
    <row r="398" ht="15.75" customHeight="1">
      <c r="C398" s="68"/>
      <c r="E398" s="68"/>
      <c r="F398" s="68"/>
      <c r="G398" s="68"/>
      <c r="M398" s="68"/>
    </row>
    <row r="399" ht="15.75" customHeight="1">
      <c r="C399" s="68"/>
      <c r="E399" s="68"/>
      <c r="F399" s="68"/>
      <c r="G399" s="68"/>
      <c r="M399" s="68"/>
    </row>
    <row r="400" ht="15.75" customHeight="1">
      <c r="C400" s="68"/>
      <c r="E400" s="68"/>
      <c r="F400" s="68"/>
      <c r="G400" s="68"/>
      <c r="M400" s="68"/>
    </row>
    <row r="401" ht="15.75" customHeight="1">
      <c r="C401" s="68"/>
      <c r="E401" s="68"/>
      <c r="F401" s="68"/>
      <c r="G401" s="68"/>
      <c r="M401" s="68"/>
    </row>
    <row r="402" ht="15.75" customHeight="1">
      <c r="C402" s="68"/>
      <c r="E402" s="68"/>
      <c r="F402" s="68"/>
      <c r="G402" s="68"/>
      <c r="M402" s="68"/>
    </row>
    <row r="403" ht="15.75" customHeight="1">
      <c r="C403" s="68"/>
      <c r="E403" s="68"/>
      <c r="F403" s="68"/>
      <c r="G403" s="68"/>
      <c r="M403" s="68"/>
    </row>
    <row r="404" ht="15.75" customHeight="1">
      <c r="C404" s="68"/>
      <c r="E404" s="68"/>
      <c r="F404" s="68"/>
      <c r="G404" s="68"/>
      <c r="M404" s="68"/>
    </row>
    <row r="405" ht="15.75" customHeight="1">
      <c r="C405" s="68"/>
      <c r="E405" s="68"/>
      <c r="F405" s="68"/>
      <c r="G405" s="68"/>
      <c r="M405" s="68"/>
    </row>
    <row r="406" ht="15.75" customHeight="1">
      <c r="C406" s="68"/>
      <c r="E406" s="68"/>
      <c r="F406" s="68"/>
      <c r="G406" s="68"/>
      <c r="M406" s="68"/>
    </row>
    <row r="407" ht="15.75" customHeight="1">
      <c r="C407" s="68"/>
      <c r="E407" s="68"/>
      <c r="F407" s="68"/>
      <c r="G407" s="68"/>
      <c r="M407" s="68"/>
    </row>
    <row r="408" ht="15.75" customHeight="1">
      <c r="C408" s="68"/>
      <c r="E408" s="68"/>
      <c r="F408" s="68"/>
      <c r="G408" s="68"/>
      <c r="M408" s="68"/>
    </row>
    <row r="409" ht="15.75" customHeight="1">
      <c r="C409" s="68"/>
      <c r="E409" s="68"/>
      <c r="F409" s="68"/>
      <c r="G409" s="68"/>
      <c r="M409" s="68"/>
    </row>
    <row r="410" ht="15.75" customHeight="1">
      <c r="C410" s="68"/>
      <c r="E410" s="68"/>
      <c r="F410" s="68"/>
      <c r="G410" s="68"/>
      <c r="M410" s="68"/>
    </row>
    <row r="411" ht="15.75" customHeight="1">
      <c r="C411" s="68"/>
      <c r="E411" s="68"/>
      <c r="F411" s="68"/>
      <c r="G411" s="68"/>
      <c r="M411" s="68"/>
    </row>
    <row r="412" ht="15.75" customHeight="1">
      <c r="C412" s="68"/>
      <c r="E412" s="68"/>
      <c r="F412" s="68"/>
      <c r="G412" s="68"/>
      <c r="M412" s="68"/>
    </row>
    <row r="413" ht="15.75" customHeight="1">
      <c r="C413" s="68"/>
      <c r="E413" s="68"/>
      <c r="F413" s="68"/>
      <c r="G413" s="68"/>
      <c r="M413" s="68"/>
    </row>
    <row r="414" ht="15.75" customHeight="1">
      <c r="C414" s="68"/>
      <c r="E414" s="68"/>
      <c r="F414" s="68"/>
      <c r="G414" s="68"/>
      <c r="M414" s="68"/>
    </row>
    <row r="415" ht="15.75" customHeight="1">
      <c r="C415" s="68"/>
      <c r="E415" s="68"/>
      <c r="F415" s="68"/>
      <c r="G415" s="68"/>
      <c r="M415" s="68"/>
    </row>
    <row r="416" ht="15.75" customHeight="1">
      <c r="C416" s="68"/>
      <c r="E416" s="68"/>
      <c r="F416" s="68"/>
      <c r="G416" s="68"/>
      <c r="M416" s="68"/>
    </row>
    <row r="417" ht="15.75" customHeight="1">
      <c r="C417" s="68"/>
      <c r="E417" s="68"/>
      <c r="F417" s="68"/>
      <c r="G417" s="68"/>
      <c r="M417" s="68"/>
    </row>
    <row r="418" ht="15.75" customHeight="1">
      <c r="C418" s="68"/>
      <c r="E418" s="68"/>
      <c r="F418" s="68"/>
      <c r="G418" s="68"/>
      <c r="M418" s="68"/>
    </row>
    <row r="419" ht="15.75" customHeight="1">
      <c r="C419" s="68"/>
      <c r="E419" s="68"/>
      <c r="F419" s="68"/>
      <c r="G419" s="68"/>
      <c r="M419" s="68"/>
    </row>
    <row r="420" ht="15.75" customHeight="1">
      <c r="C420" s="68"/>
      <c r="E420" s="68"/>
      <c r="F420" s="68"/>
      <c r="G420" s="68"/>
      <c r="M420" s="68"/>
    </row>
    <row r="421" ht="15.75" customHeight="1">
      <c r="C421" s="68"/>
      <c r="E421" s="68"/>
      <c r="F421" s="68"/>
      <c r="G421" s="68"/>
      <c r="M421" s="68"/>
    </row>
    <row r="422" ht="15.75" customHeight="1">
      <c r="C422" s="68"/>
      <c r="E422" s="68"/>
      <c r="F422" s="68"/>
      <c r="G422" s="68"/>
      <c r="M422" s="68"/>
    </row>
    <row r="423" ht="15.75" customHeight="1">
      <c r="C423" s="68"/>
      <c r="E423" s="68"/>
      <c r="F423" s="68"/>
      <c r="G423" s="68"/>
      <c r="M423" s="68"/>
    </row>
    <row r="424" ht="15.75" customHeight="1">
      <c r="C424" s="68"/>
      <c r="E424" s="68"/>
      <c r="F424" s="68"/>
      <c r="G424" s="68"/>
      <c r="M424" s="68"/>
    </row>
    <row r="425" ht="15.75" customHeight="1">
      <c r="C425" s="68"/>
      <c r="E425" s="68"/>
      <c r="F425" s="68"/>
      <c r="G425" s="68"/>
      <c r="M425" s="68"/>
    </row>
    <row r="426" ht="15.75" customHeight="1">
      <c r="C426" s="68"/>
      <c r="E426" s="68"/>
      <c r="F426" s="68"/>
      <c r="G426" s="68"/>
      <c r="M426" s="68"/>
    </row>
    <row r="427" ht="15.75" customHeight="1">
      <c r="C427" s="68"/>
      <c r="E427" s="68"/>
      <c r="F427" s="68"/>
      <c r="G427" s="68"/>
      <c r="M427" s="68"/>
    </row>
    <row r="428" ht="15.75" customHeight="1">
      <c r="C428" s="68"/>
      <c r="E428" s="68"/>
      <c r="F428" s="68"/>
      <c r="G428" s="68"/>
      <c r="M428" s="68"/>
    </row>
    <row r="429" ht="15.75" customHeight="1">
      <c r="C429" s="68"/>
      <c r="E429" s="68"/>
      <c r="F429" s="68"/>
      <c r="G429" s="68"/>
      <c r="M429" s="68"/>
    </row>
    <row r="430" ht="15.75" customHeight="1">
      <c r="C430" s="68"/>
      <c r="E430" s="68"/>
      <c r="F430" s="68"/>
      <c r="G430" s="68"/>
      <c r="M430" s="68"/>
    </row>
    <row r="431" ht="15.75" customHeight="1">
      <c r="C431" s="68"/>
      <c r="E431" s="68"/>
      <c r="F431" s="68"/>
      <c r="G431" s="68"/>
      <c r="M431" s="68"/>
    </row>
    <row r="432" ht="15.75" customHeight="1">
      <c r="C432" s="68"/>
      <c r="E432" s="68"/>
      <c r="F432" s="68"/>
      <c r="G432" s="68"/>
      <c r="M432" s="68"/>
    </row>
    <row r="433" ht="15.75" customHeight="1">
      <c r="C433" s="68"/>
      <c r="E433" s="68"/>
      <c r="F433" s="68"/>
      <c r="G433" s="68"/>
      <c r="M433" s="68"/>
    </row>
    <row r="434" ht="15.75" customHeight="1">
      <c r="C434" s="68"/>
      <c r="E434" s="68"/>
      <c r="F434" s="68"/>
      <c r="G434" s="68"/>
      <c r="M434" s="68"/>
    </row>
    <row r="435" ht="15.75" customHeight="1">
      <c r="C435" s="68"/>
      <c r="E435" s="68"/>
      <c r="F435" s="68"/>
      <c r="G435" s="68"/>
      <c r="M435" s="68"/>
    </row>
    <row r="436" ht="15.75" customHeight="1">
      <c r="C436" s="68"/>
      <c r="E436" s="68"/>
      <c r="F436" s="68"/>
      <c r="G436" s="68"/>
      <c r="M436" s="68"/>
    </row>
    <row r="437" ht="15.75" customHeight="1">
      <c r="C437" s="68"/>
      <c r="E437" s="68"/>
      <c r="F437" s="68"/>
      <c r="G437" s="68"/>
      <c r="M437" s="68"/>
    </row>
    <row r="438" ht="15.75" customHeight="1">
      <c r="C438" s="68"/>
      <c r="E438" s="68"/>
      <c r="F438" s="68"/>
      <c r="G438" s="68"/>
      <c r="M438" s="68"/>
    </row>
    <row r="439" ht="15.75" customHeight="1">
      <c r="C439" s="68"/>
      <c r="E439" s="68"/>
      <c r="F439" s="68"/>
      <c r="G439" s="68"/>
      <c r="M439" s="68"/>
    </row>
    <row r="440" ht="15.75" customHeight="1">
      <c r="C440" s="68"/>
      <c r="E440" s="68"/>
      <c r="F440" s="68"/>
      <c r="G440" s="68"/>
      <c r="M440" s="68"/>
    </row>
    <row r="441" ht="15.75" customHeight="1">
      <c r="C441" s="68"/>
      <c r="E441" s="68"/>
      <c r="F441" s="68"/>
      <c r="G441" s="68"/>
      <c r="M441" s="68"/>
    </row>
    <row r="442" ht="15.75" customHeight="1">
      <c r="C442" s="68"/>
      <c r="E442" s="68"/>
      <c r="F442" s="68"/>
      <c r="G442" s="68"/>
      <c r="M442" s="68"/>
    </row>
    <row r="443" ht="15.75" customHeight="1">
      <c r="C443" s="68"/>
      <c r="E443" s="68"/>
      <c r="F443" s="68"/>
      <c r="G443" s="68"/>
      <c r="M443" s="68"/>
    </row>
    <row r="444" ht="15.75" customHeight="1">
      <c r="C444" s="68"/>
      <c r="E444" s="68"/>
      <c r="F444" s="68"/>
      <c r="G444" s="68"/>
      <c r="M444" s="68"/>
    </row>
    <row r="445" ht="15.75" customHeight="1">
      <c r="C445" s="68"/>
      <c r="E445" s="68"/>
      <c r="F445" s="68"/>
      <c r="G445" s="68"/>
      <c r="M445" s="68"/>
    </row>
    <row r="446" ht="15.75" customHeight="1">
      <c r="C446" s="68"/>
      <c r="E446" s="68"/>
      <c r="F446" s="68"/>
      <c r="G446" s="68"/>
      <c r="M446" s="68"/>
    </row>
    <row r="447" ht="15.75" customHeight="1">
      <c r="C447" s="68"/>
      <c r="E447" s="68"/>
      <c r="F447" s="68"/>
      <c r="G447" s="68"/>
      <c r="M447" s="68"/>
    </row>
    <row r="448" ht="15.75" customHeight="1">
      <c r="C448" s="68"/>
      <c r="E448" s="68"/>
      <c r="F448" s="68"/>
      <c r="G448" s="68"/>
      <c r="M448" s="68"/>
    </row>
    <row r="449" ht="15.75" customHeight="1">
      <c r="C449" s="68"/>
      <c r="E449" s="68"/>
      <c r="F449" s="68"/>
      <c r="G449" s="68"/>
      <c r="M449" s="68"/>
    </row>
    <row r="450" ht="15.75" customHeight="1">
      <c r="C450" s="68"/>
      <c r="E450" s="68"/>
      <c r="F450" s="68"/>
      <c r="G450" s="68"/>
      <c r="M450" s="68"/>
    </row>
    <row r="451" ht="15.75" customHeight="1">
      <c r="C451" s="68"/>
      <c r="E451" s="68"/>
      <c r="F451" s="68"/>
      <c r="G451" s="68"/>
      <c r="M451" s="68"/>
    </row>
    <row r="452" ht="15.75" customHeight="1">
      <c r="C452" s="68"/>
      <c r="E452" s="68"/>
      <c r="F452" s="68"/>
      <c r="G452" s="68"/>
      <c r="M452" s="68"/>
    </row>
    <row r="453" ht="15.75" customHeight="1">
      <c r="C453" s="68"/>
      <c r="E453" s="68"/>
      <c r="F453" s="68"/>
      <c r="G453" s="68"/>
      <c r="M453" s="68"/>
    </row>
    <row r="454" ht="15.75" customHeight="1">
      <c r="C454" s="68"/>
      <c r="E454" s="68"/>
      <c r="F454" s="68"/>
      <c r="G454" s="68"/>
      <c r="M454" s="68"/>
    </row>
    <row r="455" ht="15.75" customHeight="1">
      <c r="C455" s="68"/>
      <c r="E455" s="68"/>
      <c r="F455" s="68"/>
      <c r="G455" s="68"/>
      <c r="M455" s="68"/>
    </row>
    <row r="456" ht="15.75" customHeight="1">
      <c r="C456" s="68"/>
      <c r="E456" s="68"/>
      <c r="F456" s="68"/>
      <c r="G456" s="68"/>
      <c r="M456" s="68"/>
    </row>
    <row r="457" ht="15.75" customHeight="1">
      <c r="C457" s="68"/>
      <c r="E457" s="68"/>
      <c r="F457" s="68"/>
      <c r="G457" s="68"/>
      <c r="M457" s="68"/>
    </row>
    <row r="458" ht="15.75" customHeight="1">
      <c r="C458" s="68"/>
      <c r="E458" s="68"/>
      <c r="F458" s="68"/>
      <c r="G458" s="68"/>
      <c r="M458" s="68"/>
    </row>
    <row r="459" ht="15.75" customHeight="1">
      <c r="C459" s="68"/>
      <c r="E459" s="68"/>
      <c r="F459" s="68"/>
      <c r="G459" s="68"/>
      <c r="M459" s="68"/>
    </row>
    <row r="460" ht="15.75" customHeight="1">
      <c r="C460" s="68"/>
      <c r="E460" s="68"/>
      <c r="F460" s="68"/>
      <c r="G460" s="68"/>
      <c r="M460" s="68"/>
    </row>
    <row r="461" ht="15.75" customHeight="1">
      <c r="C461" s="68"/>
      <c r="E461" s="68"/>
      <c r="F461" s="68"/>
      <c r="G461" s="68"/>
      <c r="M461" s="68"/>
    </row>
    <row r="462" ht="15.75" customHeight="1">
      <c r="C462" s="68"/>
      <c r="E462" s="68"/>
      <c r="F462" s="68"/>
      <c r="G462" s="68"/>
      <c r="M462" s="68"/>
    </row>
    <row r="463" ht="15.75" customHeight="1">
      <c r="C463" s="68"/>
      <c r="E463" s="68"/>
      <c r="F463" s="68"/>
      <c r="G463" s="68"/>
      <c r="M463" s="68"/>
    </row>
    <row r="464" ht="15.75" customHeight="1">
      <c r="C464" s="68"/>
      <c r="E464" s="68"/>
      <c r="F464" s="68"/>
      <c r="G464" s="68"/>
      <c r="M464" s="68"/>
    </row>
    <row r="465" ht="15.75" customHeight="1">
      <c r="C465" s="68"/>
      <c r="E465" s="68"/>
      <c r="F465" s="68"/>
      <c r="G465" s="68"/>
      <c r="M465" s="68"/>
    </row>
    <row r="466" ht="15.75" customHeight="1">
      <c r="C466" s="68"/>
      <c r="E466" s="68"/>
      <c r="F466" s="68"/>
      <c r="G466" s="68"/>
      <c r="M466" s="68"/>
    </row>
    <row r="467" ht="15.75" customHeight="1">
      <c r="C467" s="68"/>
      <c r="E467" s="68"/>
      <c r="F467" s="68"/>
      <c r="G467" s="68"/>
      <c r="M467" s="68"/>
    </row>
    <row r="468" ht="15.75" customHeight="1">
      <c r="C468" s="68"/>
      <c r="E468" s="68"/>
      <c r="F468" s="68"/>
      <c r="G468" s="68"/>
      <c r="M468" s="68"/>
    </row>
    <row r="469" ht="15.75" customHeight="1">
      <c r="C469" s="68"/>
      <c r="E469" s="68"/>
      <c r="F469" s="68"/>
      <c r="G469" s="68"/>
      <c r="M469" s="68"/>
    </row>
    <row r="470" ht="15.75" customHeight="1">
      <c r="C470" s="68"/>
      <c r="E470" s="68"/>
      <c r="F470" s="68"/>
      <c r="G470" s="68"/>
      <c r="M470" s="68"/>
    </row>
    <row r="471" ht="15.75" customHeight="1">
      <c r="C471" s="68"/>
      <c r="E471" s="68"/>
      <c r="F471" s="68"/>
      <c r="G471" s="68"/>
      <c r="M471" s="68"/>
    </row>
    <row r="472" ht="15.75" customHeight="1">
      <c r="C472" s="68"/>
      <c r="E472" s="68"/>
      <c r="F472" s="68"/>
      <c r="G472" s="68"/>
      <c r="M472" s="68"/>
    </row>
    <row r="473" ht="15.75" customHeight="1">
      <c r="C473" s="68"/>
      <c r="E473" s="68"/>
      <c r="F473" s="68"/>
      <c r="G473" s="68"/>
      <c r="M473" s="68"/>
    </row>
    <row r="474" ht="15.75" customHeight="1">
      <c r="C474" s="68"/>
      <c r="E474" s="68"/>
      <c r="F474" s="68"/>
      <c r="G474" s="68"/>
      <c r="M474" s="68"/>
    </row>
    <row r="475" ht="15.75" customHeight="1">
      <c r="C475" s="68"/>
      <c r="E475" s="68"/>
      <c r="F475" s="68"/>
      <c r="G475" s="68"/>
      <c r="M475" s="68"/>
    </row>
    <row r="476" ht="15.75" customHeight="1">
      <c r="C476" s="68"/>
      <c r="E476" s="68"/>
      <c r="F476" s="68"/>
      <c r="G476" s="68"/>
      <c r="M476" s="68"/>
    </row>
    <row r="477" ht="15.75" customHeight="1">
      <c r="C477" s="68"/>
      <c r="E477" s="68"/>
      <c r="F477" s="68"/>
      <c r="G477" s="68"/>
      <c r="M477" s="68"/>
    </row>
    <row r="478" ht="15.75" customHeight="1">
      <c r="C478" s="68"/>
      <c r="E478" s="68"/>
      <c r="F478" s="68"/>
      <c r="G478" s="68"/>
      <c r="M478" s="68"/>
    </row>
    <row r="479" ht="15.75" customHeight="1">
      <c r="C479" s="68"/>
      <c r="E479" s="68"/>
      <c r="F479" s="68"/>
      <c r="G479" s="68"/>
      <c r="M479" s="68"/>
    </row>
    <row r="480" ht="15.75" customHeight="1">
      <c r="C480" s="68"/>
      <c r="E480" s="68"/>
      <c r="F480" s="68"/>
      <c r="G480" s="68"/>
      <c r="M480" s="68"/>
    </row>
    <row r="481" ht="15.75" customHeight="1">
      <c r="C481" s="68"/>
      <c r="E481" s="68"/>
      <c r="F481" s="68"/>
      <c r="G481" s="68"/>
      <c r="M481" s="68"/>
    </row>
    <row r="482" ht="15.75" customHeight="1">
      <c r="C482" s="68"/>
      <c r="E482" s="68"/>
      <c r="F482" s="68"/>
      <c r="G482" s="68"/>
      <c r="M482" s="68"/>
    </row>
    <row r="483" ht="15.75" customHeight="1">
      <c r="C483" s="68"/>
      <c r="E483" s="68"/>
      <c r="F483" s="68"/>
      <c r="G483" s="68"/>
      <c r="M483" s="68"/>
    </row>
    <row r="484" ht="15.75" customHeight="1">
      <c r="C484" s="68"/>
      <c r="E484" s="68"/>
      <c r="F484" s="68"/>
      <c r="G484" s="68"/>
      <c r="M484" s="68"/>
    </row>
    <row r="485" ht="15.75" customHeight="1">
      <c r="C485" s="68"/>
      <c r="E485" s="68"/>
      <c r="F485" s="68"/>
      <c r="G485" s="68"/>
      <c r="M485" s="68"/>
    </row>
    <row r="486" ht="15.75" customHeight="1">
      <c r="C486" s="68"/>
      <c r="E486" s="68"/>
      <c r="F486" s="68"/>
      <c r="G486" s="68"/>
      <c r="M486" s="68"/>
    </row>
    <row r="487" ht="15.75" customHeight="1">
      <c r="C487" s="68"/>
      <c r="E487" s="68"/>
      <c r="F487" s="68"/>
      <c r="G487" s="68"/>
      <c r="M487" s="68"/>
    </row>
    <row r="488" ht="15.75" customHeight="1">
      <c r="C488" s="68"/>
      <c r="E488" s="68"/>
      <c r="F488" s="68"/>
      <c r="G488" s="68"/>
      <c r="M488" s="68"/>
    </row>
    <row r="489" ht="15.75" customHeight="1">
      <c r="C489" s="68"/>
      <c r="E489" s="68"/>
      <c r="F489" s="68"/>
      <c r="G489" s="68"/>
      <c r="M489" s="68"/>
    </row>
    <row r="490" ht="15.75" customHeight="1">
      <c r="C490" s="68"/>
      <c r="E490" s="68"/>
      <c r="F490" s="68"/>
      <c r="G490" s="68"/>
      <c r="M490" s="68"/>
    </row>
    <row r="491" ht="15.75" customHeight="1">
      <c r="C491" s="68"/>
      <c r="E491" s="68"/>
      <c r="F491" s="68"/>
      <c r="G491" s="68"/>
      <c r="M491" s="68"/>
    </row>
    <row r="492" ht="15.75" customHeight="1">
      <c r="C492" s="68"/>
      <c r="E492" s="68"/>
      <c r="F492" s="68"/>
      <c r="G492" s="68"/>
      <c r="M492" s="68"/>
    </row>
    <row r="493" ht="15.75" customHeight="1">
      <c r="C493" s="68"/>
      <c r="E493" s="68"/>
      <c r="F493" s="68"/>
      <c r="G493" s="68"/>
      <c r="M493" s="68"/>
    </row>
    <row r="494" ht="15.75" customHeight="1">
      <c r="C494" s="68"/>
      <c r="E494" s="68"/>
      <c r="F494" s="68"/>
      <c r="G494" s="68"/>
      <c r="M494" s="68"/>
    </row>
    <row r="495" ht="15.75" customHeight="1">
      <c r="C495" s="68"/>
      <c r="E495" s="68"/>
      <c r="F495" s="68"/>
      <c r="G495" s="68"/>
      <c r="M495" s="68"/>
    </row>
    <row r="496" ht="15.75" customHeight="1">
      <c r="C496" s="68"/>
      <c r="E496" s="68"/>
      <c r="F496" s="68"/>
      <c r="G496" s="68"/>
      <c r="M496" s="68"/>
    </row>
    <row r="497" ht="15.75" customHeight="1">
      <c r="C497" s="68"/>
      <c r="E497" s="68"/>
      <c r="F497" s="68"/>
      <c r="G497" s="68"/>
      <c r="M497" s="68"/>
    </row>
    <row r="498" ht="15.75" customHeight="1">
      <c r="C498" s="68"/>
      <c r="E498" s="68"/>
      <c r="F498" s="68"/>
      <c r="G498" s="68"/>
      <c r="M498" s="68"/>
    </row>
    <row r="499" ht="15.75" customHeight="1">
      <c r="C499" s="68"/>
      <c r="E499" s="68"/>
      <c r="F499" s="68"/>
      <c r="G499" s="68"/>
      <c r="M499" s="68"/>
    </row>
    <row r="500" ht="15.75" customHeight="1">
      <c r="C500" s="68"/>
      <c r="E500" s="68"/>
      <c r="F500" s="68"/>
      <c r="G500" s="68"/>
      <c r="M500" s="68"/>
    </row>
    <row r="501" ht="15.75" customHeight="1">
      <c r="C501" s="68"/>
      <c r="E501" s="68"/>
      <c r="F501" s="68"/>
      <c r="G501" s="68"/>
      <c r="M501" s="68"/>
    </row>
    <row r="502" ht="15.75" customHeight="1">
      <c r="C502" s="68"/>
      <c r="E502" s="68"/>
      <c r="F502" s="68"/>
      <c r="G502" s="68"/>
      <c r="M502" s="68"/>
    </row>
    <row r="503" ht="15.75" customHeight="1">
      <c r="C503" s="68"/>
      <c r="E503" s="68"/>
      <c r="F503" s="68"/>
      <c r="G503" s="68"/>
      <c r="M503" s="68"/>
    </row>
    <row r="504" ht="15.75" customHeight="1">
      <c r="C504" s="68"/>
      <c r="E504" s="68"/>
      <c r="F504" s="68"/>
      <c r="G504" s="68"/>
      <c r="M504" s="68"/>
    </row>
    <row r="505" ht="15.75" customHeight="1">
      <c r="C505" s="68"/>
      <c r="E505" s="68"/>
      <c r="F505" s="68"/>
      <c r="G505" s="68"/>
      <c r="M505" s="68"/>
    </row>
    <row r="506" ht="15.75" customHeight="1">
      <c r="C506" s="68"/>
      <c r="E506" s="68"/>
      <c r="F506" s="68"/>
      <c r="G506" s="68"/>
      <c r="M506" s="68"/>
    </row>
    <row r="507" ht="15.75" customHeight="1">
      <c r="C507" s="68"/>
      <c r="E507" s="68"/>
      <c r="F507" s="68"/>
      <c r="G507" s="68"/>
      <c r="M507" s="68"/>
    </row>
    <row r="508" ht="15.75" customHeight="1">
      <c r="C508" s="68"/>
      <c r="E508" s="68"/>
      <c r="F508" s="68"/>
      <c r="G508" s="68"/>
      <c r="M508" s="68"/>
    </row>
    <row r="509" ht="15.75" customHeight="1">
      <c r="C509" s="68"/>
      <c r="E509" s="68"/>
      <c r="F509" s="68"/>
      <c r="G509" s="68"/>
      <c r="M509" s="68"/>
    </row>
    <row r="510" ht="15.75" customHeight="1">
      <c r="C510" s="68"/>
      <c r="E510" s="68"/>
      <c r="F510" s="68"/>
      <c r="G510" s="68"/>
      <c r="M510" s="68"/>
    </row>
    <row r="511" ht="15.75" customHeight="1">
      <c r="C511" s="68"/>
      <c r="E511" s="68"/>
      <c r="F511" s="68"/>
      <c r="G511" s="68"/>
      <c r="M511" s="68"/>
    </row>
    <row r="512" ht="15.75" customHeight="1">
      <c r="C512" s="68"/>
      <c r="E512" s="68"/>
      <c r="F512" s="68"/>
      <c r="G512" s="68"/>
      <c r="M512" s="68"/>
    </row>
    <row r="513" ht="15.75" customHeight="1">
      <c r="C513" s="68"/>
      <c r="E513" s="68"/>
      <c r="F513" s="68"/>
      <c r="G513" s="68"/>
      <c r="M513" s="68"/>
    </row>
    <row r="514" ht="15.75" customHeight="1">
      <c r="C514" s="68"/>
      <c r="E514" s="68"/>
      <c r="F514" s="68"/>
      <c r="G514" s="68"/>
      <c r="M514" s="68"/>
    </row>
    <row r="515" ht="15.75" customHeight="1">
      <c r="C515" s="68"/>
      <c r="E515" s="68"/>
      <c r="F515" s="68"/>
      <c r="G515" s="68"/>
      <c r="M515" s="68"/>
    </row>
    <row r="516" ht="15.75" customHeight="1">
      <c r="C516" s="68"/>
      <c r="E516" s="68"/>
      <c r="F516" s="68"/>
      <c r="G516" s="68"/>
      <c r="M516" s="68"/>
    </row>
    <row r="517" ht="15.75" customHeight="1">
      <c r="C517" s="68"/>
      <c r="E517" s="68"/>
      <c r="F517" s="68"/>
      <c r="G517" s="68"/>
      <c r="M517" s="68"/>
    </row>
    <row r="518" ht="15.75" customHeight="1">
      <c r="C518" s="68"/>
      <c r="E518" s="68"/>
      <c r="F518" s="68"/>
      <c r="G518" s="68"/>
      <c r="M518" s="68"/>
    </row>
    <row r="519" ht="15.75" customHeight="1">
      <c r="C519" s="68"/>
      <c r="E519" s="68"/>
      <c r="F519" s="68"/>
      <c r="G519" s="68"/>
      <c r="M519" s="68"/>
    </row>
    <row r="520" ht="15.75" customHeight="1">
      <c r="C520" s="68"/>
      <c r="E520" s="68"/>
      <c r="F520" s="68"/>
      <c r="G520" s="68"/>
      <c r="M520" s="68"/>
    </row>
    <row r="521" ht="15.75" customHeight="1">
      <c r="C521" s="68"/>
      <c r="E521" s="68"/>
      <c r="F521" s="68"/>
      <c r="G521" s="68"/>
      <c r="M521" s="68"/>
    </row>
    <row r="522" ht="15.75" customHeight="1">
      <c r="C522" s="68"/>
      <c r="E522" s="68"/>
      <c r="F522" s="68"/>
      <c r="G522" s="68"/>
      <c r="M522" s="68"/>
    </row>
    <row r="523" ht="15.75" customHeight="1">
      <c r="C523" s="68"/>
      <c r="E523" s="68"/>
      <c r="F523" s="68"/>
      <c r="G523" s="68"/>
      <c r="M523" s="68"/>
    </row>
    <row r="524" ht="15.75" customHeight="1">
      <c r="C524" s="68"/>
      <c r="E524" s="68"/>
      <c r="F524" s="68"/>
      <c r="G524" s="68"/>
      <c r="M524" s="68"/>
    </row>
    <row r="525" ht="15.75" customHeight="1">
      <c r="C525" s="68"/>
      <c r="E525" s="68"/>
      <c r="F525" s="68"/>
      <c r="G525" s="68"/>
      <c r="M525" s="68"/>
    </row>
    <row r="526" ht="15.75" customHeight="1">
      <c r="C526" s="68"/>
      <c r="E526" s="68"/>
      <c r="F526" s="68"/>
      <c r="G526" s="68"/>
      <c r="M526" s="68"/>
    </row>
    <row r="527" ht="15.75" customHeight="1">
      <c r="C527" s="68"/>
      <c r="E527" s="68"/>
      <c r="F527" s="68"/>
      <c r="G527" s="68"/>
      <c r="M527" s="68"/>
    </row>
    <row r="528" ht="15.75" customHeight="1">
      <c r="C528" s="68"/>
      <c r="E528" s="68"/>
      <c r="F528" s="68"/>
      <c r="G528" s="68"/>
      <c r="M528" s="68"/>
    </row>
    <row r="529" ht="15.75" customHeight="1">
      <c r="C529" s="68"/>
      <c r="E529" s="68"/>
      <c r="F529" s="68"/>
      <c r="G529" s="68"/>
      <c r="M529" s="68"/>
    </row>
    <row r="530" ht="15.75" customHeight="1">
      <c r="C530" s="68"/>
      <c r="E530" s="68"/>
      <c r="F530" s="68"/>
      <c r="G530" s="68"/>
      <c r="M530" s="68"/>
    </row>
    <row r="531" ht="15.75" customHeight="1">
      <c r="C531" s="68"/>
      <c r="E531" s="68"/>
      <c r="F531" s="68"/>
      <c r="G531" s="68"/>
      <c r="M531" s="68"/>
    </row>
    <row r="532" ht="15.75" customHeight="1">
      <c r="C532" s="68"/>
      <c r="E532" s="68"/>
      <c r="F532" s="68"/>
      <c r="G532" s="68"/>
      <c r="M532" s="68"/>
    </row>
    <row r="533" ht="15.75" customHeight="1">
      <c r="C533" s="68"/>
      <c r="E533" s="68"/>
      <c r="F533" s="68"/>
      <c r="G533" s="68"/>
      <c r="M533" s="68"/>
    </row>
    <row r="534" ht="15.75" customHeight="1">
      <c r="C534" s="68"/>
      <c r="E534" s="68"/>
      <c r="F534" s="68"/>
      <c r="G534" s="68"/>
      <c r="M534" s="68"/>
    </row>
    <row r="535" ht="15.75" customHeight="1">
      <c r="C535" s="68"/>
      <c r="E535" s="68"/>
      <c r="F535" s="68"/>
      <c r="G535" s="68"/>
      <c r="M535" s="68"/>
    </row>
    <row r="536" ht="15.75" customHeight="1">
      <c r="C536" s="68"/>
      <c r="E536" s="68"/>
      <c r="F536" s="68"/>
      <c r="G536" s="68"/>
      <c r="M536" s="68"/>
    </row>
    <row r="537" ht="15.75" customHeight="1">
      <c r="C537" s="68"/>
      <c r="E537" s="68"/>
      <c r="F537" s="68"/>
      <c r="G537" s="68"/>
      <c r="M537" s="68"/>
    </row>
    <row r="538" ht="15.75" customHeight="1">
      <c r="C538" s="68"/>
      <c r="E538" s="68"/>
      <c r="F538" s="68"/>
      <c r="G538" s="68"/>
      <c r="M538" s="68"/>
    </row>
    <row r="539" ht="15.75" customHeight="1">
      <c r="C539" s="68"/>
      <c r="E539" s="68"/>
      <c r="F539" s="68"/>
      <c r="G539" s="68"/>
      <c r="M539" s="68"/>
    </row>
    <row r="540" ht="15.75" customHeight="1">
      <c r="C540" s="68"/>
      <c r="E540" s="68"/>
      <c r="F540" s="68"/>
      <c r="G540" s="68"/>
      <c r="M540" s="68"/>
    </row>
    <row r="541" ht="15.75" customHeight="1">
      <c r="C541" s="68"/>
      <c r="E541" s="68"/>
      <c r="F541" s="68"/>
      <c r="G541" s="68"/>
      <c r="M541" s="68"/>
    </row>
    <row r="542" ht="15.75" customHeight="1">
      <c r="C542" s="68"/>
      <c r="E542" s="68"/>
      <c r="F542" s="68"/>
      <c r="G542" s="68"/>
      <c r="M542" s="68"/>
    </row>
    <row r="543" ht="15.75" customHeight="1">
      <c r="C543" s="68"/>
      <c r="E543" s="68"/>
      <c r="F543" s="68"/>
      <c r="G543" s="68"/>
      <c r="M543" s="68"/>
    </row>
    <row r="544" ht="15.75" customHeight="1">
      <c r="C544" s="68"/>
      <c r="E544" s="68"/>
      <c r="F544" s="68"/>
      <c r="G544" s="68"/>
      <c r="M544" s="68"/>
    </row>
    <row r="545" ht="15.75" customHeight="1">
      <c r="C545" s="68"/>
      <c r="E545" s="68"/>
      <c r="F545" s="68"/>
      <c r="G545" s="68"/>
      <c r="M545" s="68"/>
    </row>
    <row r="546" ht="15.75" customHeight="1">
      <c r="C546" s="68"/>
      <c r="E546" s="68"/>
      <c r="F546" s="68"/>
      <c r="G546" s="68"/>
      <c r="M546" s="68"/>
    </row>
    <row r="547" ht="15.75" customHeight="1">
      <c r="C547" s="68"/>
      <c r="E547" s="68"/>
      <c r="F547" s="68"/>
      <c r="G547" s="68"/>
      <c r="M547" s="68"/>
    </row>
    <row r="548" ht="15.75" customHeight="1">
      <c r="C548" s="68"/>
      <c r="E548" s="68"/>
      <c r="F548" s="68"/>
      <c r="G548" s="68"/>
      <c r="M548" s="68"/>
    </row>
    <row r="549" ht="15.75" customHeight="1">
      <c r="C549" s="68"/>
      <c r="E549" s="68"/>
      <c r="F549" s="68"/>
      <c r="G549" s="68"/>
      <c r="M549" s="68"/>
    </row>
    <row r="550" ht="15.75" customHeight="1">
      <c r="C550" s="68"/>
      <c r="E550" s="68"/>
      <c r="F550" s="68"/>
      <c r="G550" s="68"/>
      <c r="M550" s="68"/>
    </row>
    <row r="551" ht="15.75" customHeight="1">
      <c r="C551" s="68"/>
      <c r="E551" s="68"/>
      <c r="F551" s="68"/>
      <c r="G551" s="68"/>
      <c r="M551" s="68"/>
    </row>
    <row r="552" ht="15.75" customHeight="1">
      <c r="C552" s="68"/>
      <c r="E552" s="68"/>
      <c r="F552" s="68"/>
      <c r="G552" s="68"/>
      <c r="M552" s="68"/>
    </row>
    <row r="553" ht="15.75" customHeight="1">
      <c r="C553" s="68"/>
      <c r="E553" s="68"/>
      <c r="F553" s="68"/>
      <c r="G553" s="68"/>
      <c r="M553" s="68"/>
    </row>
    <row r="554" ht="15.75" customHeight="1">
      <c r="C554" s="68"/>
      <c r="E554" s="68"/>
      <c r="F554" s="68"/>
      <c r="G554" s="68"/>
      <c r="M554" s="68"/>
    </row>
    <row r="555" ht="15.75" customHeight="1">
      <c r="C555" s="68"/>
      <c r="E555" s="68"/>
      <c r="F555" s="68"/>
      <c r="G555" s="68"/>
      <c r="M555" s="68"/>
    </row>
    <row r="556" ht="15.75" customHeight="1">
      <c r="C556" s="68"/>
      <c r="E556" s="68"/>
      <c r="F556" s="68"/>
      <c r="G556" s="68"/>
      <c r="M556" s="68"/>
    </row>
    <row r="557" ht="15.75" customHeight="1">
      <c r="C557" s="68"/>
      <c r="E557" s="68"/>
      <c r="F557" s="68"/>
      <c r="G557" s="68"/>
      <c r="M557" s="68"/>
    </row>
    <row r="558" ht="15.75" customHeight="1">
      <c r="C558" s="68"/>
      <c r="E558" s="68"/>
      <c r="F558" s="68"/>
      <c r="G558" s="68"/>
      <c r="M558" s="68"/>
    </row>
    <row r="559" ht="15.75" customHeight="1">
      <c r="C559" s="68"/>
      <c r="E559" s="68"/>
      <c r="F559" s="68"/>
      <c r="G559" s="68"/>
      <c r="M559" s="68"/>
    </row>
    <row r="560" ht="15.75" customHeight="1">
      <c r="C560" s="68"/>
      <c r="E560" s="68"/>
      <c r="F560" s="68"/>
      <c r="G560" s="68"/>
      <c r="M560" s="68"/>
    </row>
    <row r="561" ht="15.75" customHeight="1">
      <c r="C561" s="68"/>
      <c r="E561" s="68"/>
      <c r="F561" s="68"/>
      <c r="G561" s="68"/>
      <c r="M561" s="68"/>
    </row>
    <row r="562" ht="15.75" customHeight="1">
      <c r="C562" s="68"/>
      <c r="E562" s="68"/>
      <c r="F562" s="68"/>
      <c r="G562" s="68"/>
      <c r="M562" s="68"/>
    </row>
    <row r="563" ht="15.75" customHeight="1">
      <c r="C563" s="68"/>
      <c r="E563" s="68"/>
      <c r="F563" s="68"/>
      <c r="G563" s="68"/>
      <c r="M563" s="68"/>
    </row>
    <row r="564" ht="15.75" customHeight="1">
      <c r="C564" s="68"/>
      <c r="E564" s="68"/>
      <c r="F564" s="68"/>
      <c r="G564" s="68"/>
      <c r="M564" s="68"/>
    </row>
    <row r="565" ht="15.75" customHeight="1">
      <c r="C565" s="68"/>
      <c r="E565" s="68"/>
      <c r="F565" s="68"/>
      <c r="G565" s="68"/>
      <c r="M565" s="68"/>
    </row>
    <row r="566" ht="15.75" customHeight="1">
      <c r="C566" s="68"/>
      <c r="E566" s="68"/>
      <c r="F566" s="68"/>
      <c r="G566" s="68"/>
      <c r="M566" s="68"/>
    </row>
    <row r="567" ht="15.75" customHeight="1">
      <c r="C567" s="68"/>
      <c r="E567" s="68"/>
      <c r="F567" s="68"/>
      <c r="G567" s="68"/>
      <c r="M567" s="68"/>
    </row>
    <row r="568" ht="15.75" customHeight="1">
      <c r="C568" s="68"/>
      <c r="E568" s="68"/>
      <c r="F568" s="68"/>
      <c r="G568" s="68"/>
      <c r="M568" s="68"/>
    </row>
    <row r="569" ht="15.75" customHeight="1">
      <c r="C569" s="68"/>
      <c r="E569" s="68"/>
      <c r="F569" s="68"/>
      <c r="G569" s="68"/>
      <c r="M569" s="68"/>
    </row>
    <row r="570" ht="15.75" customHeight="1">
      <c r="C570" s="68"/>
      <c r="E570" s="68"/>
      <c r="F570" s="68"/>
      <c r="G570" s="68"/>
      <c r="M570" s="68"/>
    </row>
    <row r="571" ht="15.75" customHeight="1">
      <c r="C571" s="68"/>
      <c r="E571" s="68"/>
      <c r="F571" s="68"/>
      <c r="G571" s="68"/>
      <c r="M571" s="68"/>
    </row>
    <row r="572" ht="15.75" customHeight="1">
      <c r="C572" s="68"/>
      <c r="E572" s="68"/>
      <c r="F572" s="68"/>
      <c r="G572" s="68"/>
      <c r="M572" s="68"/>
    </row>
    <row r="573" ht="15.75" customHeight="1">
      <c r="C573" s="68"/>
      <c r="E573" s="68"/>
      <c r="F573" s="68"/>
      <c r="G573" s="68"/>
      <c r="M573" s="68"/>
    </row>
    <row r="574" ht="15.75" customHeight="1">
      <c r="C574" s="68"/>
      <c r="E574" s="68"/>
      <c r="F574" s="68"/>
      <c r="G574" s="68"/>
      <c r="M574" s="68"/>
    </row>
    <row r="575" ht="15.75" customHeight="1">
      <c r="C575" s="68"/>
      <c r="E575" s="68"/>
      <c r="F575" s="68"/>
      <c r="G575" s="68"/>
      <c r="M575" s="68"/>
    </row>
    <row r="576" ht="15.75" customHeight="1">
      <c r="C576" s="68"/>
      <c r="E576" s="68"/>
      <c r="F576" s="68"/>
      <c r="G576" s="68"/>
      <c r="M576" s="68"/>
    </row>
    <row r="577" ht="15.75" customHeight="1">
      <c r="C577" s="68"/>
      <c r="E577" s="68"/>
      <c r="F577" s="68"/>
      <c r="G577" s="68"/>
      <c r="M577" s="68"/>
    </row>
    <row r="578" ht="15.75" customHeight="1">
      <c r="C578" s="68"/>
      <c r="E578" s="68"/>
      <c r="F578" s="68"/>
      <c r="G578" s="68"/>
      <c r="M578" s="68"/>
    </row>
    <row r="579" ht="15.75" customHeight="1">
      <c r="C579" s="68"/>
      <c r="E579" s="68"/>
      <c r="F579" s="68"/>
      <c r="G579" s="68"/>
      <c r="M579" s="68"/>
    </row>
    <row r="580" ht="15.75" customHeight="1">
      <c r="C580" s="68"/>
      <c r="E580" s="68"/>
      <c r="F580" s="68"/>
      <c r="G580" s="68"/>
      <c r="M580" s="68"/>
    </row>
    <row r="581" ht="15.75" customHeight="1">
      <c r="C581" s="68"/>
      <c r="E581" s="68"/>
      <c r="F581" s="68"/>
      <c r="G581" s="68"/>
      <c r="M581" s="68"/>
    </row>
    <row r="582" ht="15.75" customHeight="1">
      <c r="C582" s="68"/>
      <c r="E582" s="68"/>
      <c r="F582" s="68"/>
      <c r="G582" s="68"/>
      <c r="M582" s="68"/>
    </row>
    <row r="583" ht="15.75" customHeight="1">
      <c r="C583" s="68"/>
      <c r="E583" s="68"/>
      <c r="F583" s="68"/>
      <c r="G583" s="68"/>
      <c r="M583" s="68"/>
    </row>
    <row r="584" ht="15.75" customHeight="1">
      <c r="C584" s="68"/>
      <c r="E584" s="68"/>
      <c r="F584" s="68"/>
      <c r="G584" s="68"/>
      <c r="M584" s="68"/>
    </row>
    <row r="585" ht="15.75" customHeight="1">
      <c r="C585" s="68"/>
      <c r="E585" s="68"/>
      <c r="F585" s="68"/>
      <c r="G585" s="68"/>
      <c r="M585" s="68"/>
    </row>
    <row r="586" ht="15.75" customHeight="1">
      <c r="C586" s="68"/>
      <c r="E586" s="68"/>
      <c r="F586" s="68"/>
      <c r="G586" s="68"/>
      <c r="M586" s="68"/>
    </row>
    <row r="587" ht="15.75" customHeight="1">
      <c r="C587" s="68"/>
      <c r="E587" s="68"/>
      <c r="F587" s="68"/>
      <c r="G587" s="68"/>
      <c r="M587" s="68"/>
    </row>
    <row r="588" ht="15.75" customHeight="1">
      <c r="C588" s="68"/>
      <c r="E588" s="68"/>
      <c r="F588" s="68"/>
      <c r="G588" s="68"/>
      <c r="M588" s="68"/>
    </row>
    <row r="589" ht="15.75" customHeight="1">
      <c r="C589" s="68"/>
      <c r="E589" s="68"/>
      <c r="F589" s="68"/>
      <c r="G589" s="68"/>
      <c r="M589" s="68"/>
    </row>
    <row r="590" ht="15.75" customHeight="1">
      <c r="C590" s="68"/>
      <c r="E590" s="68"/>
      <c r="F590" s="68"/>
      <c r="G590" s="68"/>
      <c r="M590" s="68"/>
    </row>
    <row r="591" ht="15.75" customHeight="1">
      <c r="C591" s="68"/>
      <c r="E591" s="68"/>
      <c r="F591" s="68"/>
      <c r="G591" s="68"/>
      <c r="M591" s="68"/>
    </row>
    <row r="592" ht="15.75" customHeight="1">
      <c r="C592" s="68"/>
      <c r="E592" s="68"/>
      <c r="F592" s="68"/>
      <c r="G592" s="68"/>
      <c r="M592" s="68"/>
    </row>
    <row r="593" ht="15.75" customHeight="1">
      <c r="C593" s="68"/>
      <c r="E593" s="68"/>
      <c r="F593" s="68"/>
      <c r="G593" s="68"/>
      <c r="M593" s="68"/>
    </row>
    <row r="594" ht="15.75" customHeight="1">
      <c r="C594" s="68"/>
      <c r="E594" s="68"/>
      <c r="F594" s="68"/>
      <c r="G594" s="68"/>
      <c r="M594" s="68"/>
    </row>
    <row r="595" ht="15.75" customHeight="1">
      <c r="C595" s="68"/>
      <c r="E595" s="68"/>
      <c r="F595" s="68"/>
      <c r="G595" s="68"/>
      <c r="M595" s="68"/>
    </row>
    <row r="596" ht="15.75" customHeight="1">
      <c r="C596" s="68"/>
      <c r="E596" s="68"/>
      <c r="F596" s="68"/>
      <c r="G596" s="68"/>
      <c r="M596" s="68"/>
    </row>
    <row r="597" ht="15.75" customHeight="1">
      <c r="C597" s="68"/>
      <c r="E597" s="68"/>
      <c r="F597" s="68"/>
      <c r="G597" s="68"/>
      <c r="M597" s="68"/>
    </row>
    <row r="598" ht="15.75" customHeight="1">
      <c r="C598" s="68"/>
      <c r="E598" s="68"/>
      <c r="F598" s="68"/>
      <c r="G598" s="68"/>
      <c r="M598" s="68"/>
    </row>
    <row r="599" ht="15.75" customHeight="1">
      <c r="C599" s="68"/>
      <c r="E599" s="68"/>
      <c r="F599" s="68"/>
      <c r="G599" s="68"/>
      <c r="M599" s="68"/>
    </row>
    <row r="600" ht="15.75" customHeight="1">
      <c r="C600" s="68"/>
      <c r="E600" s="68"/>
      <c r="F600" s="68"/>
      <c r="G600" s="68"/>
      <c r="M600" s="68"/>
    </row>
    <row r="601" ht="15.75" customHeight="1">
      <c r="C601" s="68"/>
      <c r="E601" s="68"/>
      <c r="F601" s="68"/>
      <c r="G601" s="68"/>
      <c r="M601" s="68"/>
    </row>
    <row r="602" ht="15.75" customHeight="1">
      <c r="C602" s="68"/>
      <c r="E602" s="68"/>
      <c r="F602" s="68"/>
      <c r="G602" s="68"/>
      <c r="M602" s="68"/>
    </row>
    <row r="603" ht="15.75" customHeight="1">
      <c r="C603" s="68"/>
      <c r="E603" s="68"/>
      <c r="F603" s="68"/>
      <c r="G603" s="68"/>
      <c r="M603" s="68"/>
    </row>
    <row r="604" ht="15.75" customHeight="1">
      <c r="C604" s="68"/>
      <c r="E604" s="68"/>
      <c r="F604" s="68"/>
      <c r="G604" s="68"/>
      <c r="M604" s="68"/>
    </row>
    <row r="605" ht="15.75" customHeight="1">
      <c r="C605" s="68"/>
      <c r="E605" s="68"/>
      <c r="F605" s="68"/>
      <c r="G605" s="68"/>
      <c r="M605" s="68"/>
    </row>
    <row r="606" ht="15.75" customHeight="1">
      <c r="C606" s="68"/>
      <c r="E606" s="68"/>
      <c r="F606" s="68"/>
      <c r="G606" s="68"/>
      <c r="M606" s="68"/>
    </row>
    <row r="607" ht="15.75" customHeight="1">
      <c r="C607" s="68"/>
      <c r="E607" s="68"/>
      <c r="F607" s="68"/>
      <c r="G607" s="68"/>
      <c r="M607" s="68"/>
    </row>
    <row r="608" ht="15.75" customHeight="1">
      <c r="C608" s="68"/>
      <c r="E608" s="68"/>
      <c r="F608" s="68"/>
      <c r="G608" s="68"/>
      <c r="M608" s="68"/>
    </row>
    <row r="609" ht="15.75" customHeight="1">
      <c r="C609" s="68"/>
      <c r="E609" s="68"/>
      <c r="F609" s="68"/>
      <c r="G609" s="68"/>
      <c r="M609" s="68"/>
    </row>
    <row r="610" ht="15.75" customHeight="1">
      <c r="C610" s="68"/>
      <c r="E610" s="68"/>
      <c r="F610" s="68"/>
      <c r="G610" s="68"/>
      <c r="M610" s="68"/>
    </row>
    <row r="611" ht="15.75" customHeight="1">
      <c r="C611" s="68"/>
      <c r="E611" s="68"/>
      <c r="F611" s="68"/>
      <c r="G611" s="68"/>
      <c r="M611" s="68"/>
    </row>
    <row r="612" ht="15.75" customHeight="1">
      <c r="C612" s="68"/>
      <c r="E612" s="68"/>
      <c r="F612" s="68"/>
      <c r="G612" s="68"/>
      <c r="M612" s="68"/>
    </row>
    <row r="613" ht="15.75" customHeight="1">
      <c r="C613" s="68"/>
      <c r="E613" s="68"/>
      <c r="F613" s="68"/>
      <c r="G613" s="68"/>
      <c r="M613" s="68"/>
    </row>
    <row r="614" ht="15.75" customHeight="1">
      <c r="C614" s="68"/>
      <c r="E614" s="68"/>
      <c r="F614" s="68"/>
      <c r="G614" s="68"/>
      <c r="M614" s="68"/>
    </row>
    <row r="615" ht="15.75" customHeight="1">
      <c r="C615" s="68"/>
      <c r="E615" s="68"/>
      <c r="F615" s="68"/>
      <c r="G615" s="68"/>
      <c r="M615" s="68"/>
    </row>
    <row r="616" ht="15.75" customHeight="1">
      <c r="C616" s="68"/>
      <c r="E616" s="68"/>
      <c r="F616" s="68"/>
      <c r="G616" s="68"/>
      <c r="M616" s="68"/>
    </row>
    <row r="617" ht="15.75" customHeight="1">
      <c r="C617" s="68"/>
      <c r="E617" s="68"/>
      <c r="F617" s="68"/>
      <c r="G617" s="68"/>
      <c r="M617" s="68"/>
    </row>
    <row r="618" ht="15.75" customHeight="1">
      <c r="C618" s="68"/>
      <c r="E618" s="68"/>
      <c r="F618" s="68"/>
      <c r="G618" s="68"/>
      <c r="M618" s="68"/>
    </row>
    <row r="619" ht="15.75" customHeight="1">
      <c r="C619" s="68"/>
      <c r="E619" s="68"/>
      <c r="F619" s="68"/>
      <c r="G619" s="68"/>
      <c r="M619" s="68"/>
    </row>
    <row r="620" ht="15.75" customHeight="1">
      <c r="C620" s="68"/>
      <c r="E620" s="68"/>
      <c r="F620" s="68"/>
      <c r="G620" s="68"/>
      <c r="M620" s="68"/>
    </row>
    <row r="621" ht="15.75" customHeight="1">
      <c r="C621" s="68"/>
      <c r="E621" s="68"/>
      <c r="F621" s="68"/>
      <c r="G621" s="68"/>
      <c r="M621" s="68"/>
    </row>
    <row r="622" ht="15.75" customHeight="1">
      <c r="C622" s="68"/>
      <c r="E622" s="68"/>
      <c r="F622" s="68"/>
      <c r="G622" s="68"/>
      <c r="M622" s="68"/>
    </row>
    <row r="623" ht="15.75" customHeight="1">
      <c r="C623" s="68"/>
      <c r="E623" s="68"/>
      <c r="F623" s="68"/>
      <c r="G623" s="68"/>
      <c r="M623" s="68"/>
    </row>
    <row r="624" ht="15.75" customHeight="1">
      <c r="C624" s="68"/>
      <c r="E624" s="68"/>
      <c r="F624" s="68"/>
      <c r="G624" s="68"/>
      <c r="M624" s="68"/>
    </row>
    <row r="625" ht="15.75" customHeight="1">
      <c r="C625" s="68"/>
      <c r="E625" s="68"/>
      <c r="F625" s="68"/>
      <c r="G625" s="68"/>
      <c r="M625" s="68"/>
    </row>
    <row r="626" ht="15.75" customHeight="1">
      <c r="C626" s="68"/>
      <c r="E626" s="68"/>
      <c r="F626" s="68"/>
      <c r="G626" s="68"/>
      <c r="M626" s="68"/>
    </row>
    <row r="627" ht="15.75" customHeight="1">
      <c r="C627" s="68"/>
      <c r="E627" s="68"/>
      <c r="F627" s="68"/>
      <c r="G627" s="68"/>
      <c r="M627" s="68"/>
    </row>
    <row r="628" ht="15.75" customHeight="1">
      <c r="C628" s="68"/>
      <c r="E628" s="68"/>
      <c r="F628" s="68"/>
      <c r="G628" s="68"/>
      <c r="M628" s="68"/>
    </row>
    <row r="629" ht="15.75" customHeight="1">
      <c r="C629" s="68"/>
      <c r="E629" s="68"/>
      <c r="F629" s="68"/>
      <c r="G629" s="68"/>
      <c r="M629" s="68"/>
    </row>
    <row r="630" ht="15.75" customHeight="1">
      <c r="C630" s="68"/>
      <c r="E630" s="68"/>
      <c r="F630" s="68"/>
      <c r="G630" s="68"/>
      <c r="M630" s="68"/>
    </row>
    <row r="631" ht="15.75" customHeight="1">
      <c r="C631" s="68"/>
      <c r="E631" s="68"/>
      <c r="F631" s="68"/>
      <c r="G631" s="68"/>
      <c r="M631" s="68"/>
    </row>
    <row r="632" ht="15.75" customHeight="1">
      <c r="C632" s="68"/>
      <c r="E632" s="68"/>
      <c r="F632" s="68"/>
      <c r="G632" s="68"/>
      <c r="M632" s="68"/>
    </row>
    <row r="633" ht="15.75" customHeight="1">
      <c r="C633" s="68"/>
      <c r="E633" s="68"/>
      <c r="F633" s="68"/>
      <c r="G633" s="68"/>
      <c r="M633" s="68"/>
    </row>
    <row r="634" ht="15.75" customHeight="1">
      <c r="C634" s="68"/>
      <c r="E634" s="68"/>
      <c r="F634" s="68"/>
      <c r="G634" s="68"/>
      <c r="M634" s="68"/>
    </row>
    <row r="635" ht="15.75" customHeight="1">
      <c r="C635" s="68"/>
      <c r="E635" s="68"/>
      <c r="F635" s="68"/>
      <c r="G635" s="68"/>
      <c r="M635" s="68"/>
    </row>
    <row r="636" ht="15.75" customHeight="1">
      <c r="C636" s="68"/>
      <c r="E636" s="68"/>
      <c r="F636" s="68"/>
      <c r="G636" s="68"/>
      <c r="M636" s="68"/>
    </row>
    <row r="637" ht="15.75" customHeight="1">
      <c r="C637" s="68"/>
      <c r="E637" s="68"/>
      <c r="F637" s="68"/>
      <c r="G637" s="68"/>
      <c r="M637" s="68"/>
    </row>
    <row r="638" ht="15.75" customHeight="1">
      <c r="C638" s="68"/>
      <c r="E638" s="68"/>
      <c r="F638" s="68"/>
      <c r="G638" s="68"/>
      <c r="M638" s="68"/>
    </row>
    <row r="639" ht="15.75" customHeight="1">
      <c r="C639" s="68"/>
      <c r="E639" s="68"/>
      <c r="F639" s="68"/>
      <c r="G639" s="68"/>
      <c r="M639" s="68"/>
    </row>
    <row r="640" ht="15.75" customHeight="1">
      <c r="C640" s="68"/>
      <c r="E640" s="68"/>
      <c r="F640" s="68"/>
      <c r="G640" s="68"/>
      <c r="M640" s="68"/>
    </row>
    <row r="641" ht="15.75" customHeight="1">
      <c r="C641" s="68"/>
      <c r="E641" s="68"/>
      <c r="F641" s="68"/>
      <c r="G641" s="68"/>
      <c r="M641" s="68"/>
    </row>
    <row r="642" ht="15.75" customHeight="1">
      <c r="C642" s="68"/>
      <c r="E642" s="68"/>
      <c r="F642" s="68"/>
      <c r="G642" s="68"/>
      <c r="M642" s="68"/>
    </row>
    <row r="643" ht="15.75" customHeight="1">
      <c r="C643" s="68"/>
      <c r="E643" s="68"/>
      <c r="F643" s="68"/>
      <c r="G643" s="68"/>
      <c r="M643" s="68"/>
    </row>
    <row r="644" ht="15.75" customHeight="1">
      <c r="C644" s="68"/>
      <c r="E644" s="68"/>
      <c r="F644" s="68"/>
      <c r="G644" s="68"/>
      <c r="M644" s="68"/>
    </row>
    <row r="645" ht="15.75" customHeight="1">
      <c r="C645" s="68"/>
      <c r="E645" s="68"/>
      <c r="F645" s="68"/>
      <c r="G645" s="68"/>
      <c r="M645" s="68"/>
    </row>
    <row r="646" ht="15.75" customHeight="1">
      <c r="C646" s="68"/>
      <c r="E646" s="68"/>
      <c r="F646" s="68"/>
      <c r="G646" s="68"/>
      <c r="M646" s="68"/>
    </row>
    <row r="647" ht="15.75" customHeight="1">
      <c r="C647" s="68"/>
      <c r="E647" s="68"/>
      <c r="F647" s="68"/>
      <c r="G647" s="68"/>
      <c r="M647" s="68"/>
    </row>
    <row r="648" ht="15.75" customHeight="1">
      <c r="C648" s="68"/>
      <c r="E648" s="68"/>
      <c r="F648" s="68"/>
      <c r="G648" s="68"/>
      <c r="M648" s="68"/>
    </row>
    <row r="649" ht="15.75" customHeight="1">
      <c r="C649" s="68"/>
      <c r="E649" s="68"/>
      <c r="F649" s="68"/>
      <c r="G649" s="68"/>
      <c r="M649" s="68"/>
    </row>
    <row r="650" ht="15.75" customHeight="1">
      <c r="C650" s="68"/>
      <c r="E650" s="68"/>
      <c r="F650" s="68"/>
      <c r="G650" s="68"/>
      <c r="M650" s="68"/>
    </row>
    <row r="651" ht="15.75" customHeight="1">
      <c r="C651" s="68"/>
      <c r="E651" s="68"/>
      <c r="F651" s="68"/>
      <c r="G651" s="68"/>
      <c r="M651" s="68"/>
    </row>
    <row r="652" ht="15.75" customHeight="1">
      <c r="C652" s="68"/>
      <c r="E652" s="68"/>
      <c r="F652" s="68"/>
      <c r="G652" s="68"/>
      <c r="M652" s="68"/>
    </row>
    <row r="653" ht="15.75" customHeight="1">
      <c r="C653" s="68"/>
      <c r="E653" s="68"/>
      <c r="F653" s="68"/>
      <c r="G653" s="68"/>
      <c r="M653" s="68"/>
    </row>
    <row r="654" ht="15.75" customHeight="1">
      <c r="C654" s="68"/>
      <c r="E654" s="68"/>
      <c r="F654" s="68"/>
      <c r="G654" s="68"/>
      <c r="M654" s="68"/>
    </row>
    <row r="655" ht="15.75" customHeight="1">
      <c r="C655" s="68"/>
      <c r="E655" s="68"/>
      <c r="F655" s="68"/>
      <c r="G655" s="68"/>
      <c r="M655" s="68"/>
    </row>
    <row r="656" ht="15.75" customHeight="1">
      <c r="C656" s="68"/>
      <c r="E656" s="68"/>
      <c r="F656" s="68"/>
      <c r="G656" s="68"/>
      <c r="M656" s="68"/>
    </row>
    <row r="657" ht="15.75" customHeight="1">
      <c r="C657" s="68"/>
      <c r="E657" s="68"/>
      <c r="F657" s="68"/>
      <c r="G657" s="68"/>
      <c r="M657" s="68"/>
    </row>
    <row r="658" ht="15.75" customHeight="1">
      <c r="C658" s="68"/>
      <c r="E658" s="68"/>
      <c r="F658" s="68"/>
      <c r="G658" s="68"/>
      <c r="M658" s="68"/>
    </row>
    <row r="659" ht="15.75" customHeight="1">
      <c r="C659" s="68"/>
      <c r="E659" s="68"/>
      <c r="F659" s="68"/>
      <c r="G659" s="68"/>
      <c r="M659" s="68"/>
    </row>
    <row r="660" ht="15.75" customHeight="1">
      <c r="C660" s="68"/>
      <c r="E660" s="68"/>
      <c r="F660" s="68"/>
      <c r="G660" s="68"/>
      <c r="M660" s="68"/>
    </row>
    <row r="661" ht="15.75" customHeight="1">
      <c r="C661" s="68"/>
      <c r="E661" s="68"/>
      <c r="F661" s="68"/>
      <c r="G661" s="68"/>
      <c r="M661" s="68"/>
    </row>
    <row r="662" ht="15.75" customHeight="1">
      <c r="C662" s="68"/>
      <c r="E662" s="68"/>
      <c r="F662" s="68"/>
      <c r="G662" s="68"/>
      <c r="M662" s="68"/>
    </row>
    <row r="663" ht="15.75" customHeight="1">
      <c r="C663" s="68"/>
      <c r="E663" s="68"/>
      <c r="F663" s="68"/>
      <c r="G663" s="68"/>
      <c r="M663" s="68"/>
    </row>
    <row r="664" ht="15.75" customHeight="1">
      <c r="C664" s="68"/>
      <c r="E664" s="68"/>
      <c r="F664" s="68"/>
      <c r="G664" s="68"/>
      <c r="M664" s="68"/>
    </row>
    <row r="665" ht="15.75" customHeight="1">
      <c r="C665" s="68"/>
      <c r="E665" s="68"/>
      <c r="F665" s="68"/>
      <c r="G665" s="68"/>
      <c r="M665" s="68"/>
    </row>
    <row r="666" ht="15.75" customHeight="1">
      <c r="C666" s="68"/>
      <c r="E666" s="68"/>
      <c r="F666" s="68"/>
      <c r="G666" s="68"/>
      <c r="M666" s="68"/>
    </row>
    <row r="667" ht="15.75" customHeight="1">
      <c r="C667" s="68"/>
      <c r="E667" s="68"/>
      <c r="F667" s="68"/>
      <c r="G667" s="68"/>
      <c r="M667" s="68"/>
    </row>
    <row r="668" ht="15.75" customHeight="1">
      <c r="C668" s="68"/>
      <c r="E668" s="68"/>
      <c r="F668" s="68"/>
      <c r="G668" s="68"/>
      <c r="M668" s="68"/>
    </row>
    <row r="669" ht="15.75" customHeight="1">
      <c r="C669" s="68"/>
      <c r="E669" s="68"/>
      <c r="F669" s="68"/>
      <c r="G669" s="68"/>
      <c r="M669" s="68"/>
    </row>
    <row r="670" ht="15.75" customHeight="1">
      <c r="C670" s="68"/>
      <c r="E670" s="68"/>
      <c r="F670" s="68"/>
      <c r="G670" s="68"/>
      <c r="M670" s="68"/>
    </row>
    <row r="671" ht="15.75" customHeight="1">
      <c r="C671" s="68"/>
      <c r="E671" s="68"/>
      <c r="F671" s="68"/>
      <c r="G671" s="68"/>
      <c r="M671" s="68"/>
    </row>
    <row r="672" ht="15.75" customHeight="1">
      <c r="C672" s="68"/>
      <c r="E672" s="68"/>
      <c r="F672" s="68"/>
      <c r="G672" s="68"/>
      <c r="M672" s="68"/>
    </row>
    <row r="673" ht="15.75" customHeight="1">
      <c r="C673" s="68"/>
      <c r="E673" s="68"/>
      <c r="F673" s="68"/>
      <c r="G673" s="68"/>
      <c r="M673" s="68"/>
    </row>
    <row r="674" ht="15.75" customHeight="1">
      <c r="C674" s="68"/>
      <c r="E674" s="68"/>
      <c r="F674" s="68"/>
      <c r="G674" s="68"/>
      <c r="M674" s="68"/>
    </row>
    <row r="675" ht="15.75" customHeight="1">
      <c r="C675" s="68"/>
      <c r="E675" s="68"/>
      <c r="F675" s="68"/>
      <c r="G675" s="68"/>
      <c r="M675" s="68"/>
    </row>
    <row r="676" ht="15.75" customHeight="1">
      <c r="C676" s="68"/>
      <c r="E676" s="68"/>
      <c r="F676" s="68"/>
      <c r="G676" s="68"/>
      <c r="M676" s="68"/>
    </row>
    <row r="677" ht="15.75" customHeight="1">
      <c r="C677" s="68"/>
      <c r="E677" s="68"/>
      <c r="F677" s="68"/>
      <c r="G677" s="68"/>
      <c r="M677" s="68"/>
    </row>
    <row r="678" ht="15.75" customHeight="1">
      <c r="C678" s="68"/>
      <c r="E678" s="68"/>
      <c r="F678" s="68"/>
      <c r="G678" s="68"/>
      <c r="M678" s="68"/>
    </row>
    <row r="679" ht="15.75" customHeight="1">
      <c r="C679" s="68"/>
      <c r="E679" s="68"/>
      <c r="F679" s="68"/>
      <c r="G679" s="68"/>
      <c r="M679" s="68"/>
    </row>
    <row r="680" ht="15.75" customHeight="1">
      <c r="C680" s="68"/>
      <c r="E680" s="68"/>
      <c r="F680" s="68"/>
      <c r="G680" s="68"/>
      <c r="M680" s="68"/>
    </row>
    <row r="681" ht="15.75" customHeight="1">
      <c r="C681" s="68"/>
      <c r="E681" s="68"/>
      <c r="F681" s="68"/>
      <c r="G681" s="68"/>
      <c r="M681" s="68"/>
    </row>
    <row r="682" ht="15.75" customHeight="1">
      <c r="C682" s="68"/>
      <c r="E682" s="68"/>
      <c r="F682" s="68"/>
      <c r="G682" s="68"/>
      <c r="M682" s="68"/>
    </row>
    <row r="683" ht="15.75" customHeight="1">
      <c r="C683" s="68"/>
      <c r="E683" s="68"/>
      <c r="F683" s="68"/>
      <c r="G683" s="68"/>
      <c r="M683" s="68"/>
    </row>
    <row r="684" ht="15.75" customHeight="1">
      <c r="C684" s="68"/>
      <c r="E684" s="68"/>
      <c r="F684" s="68"/>
      <c r="G684" s="68"/>
      <c r="M684" s="68"/>
    </row>
    <row r="685" ht="15.75" customHeight="1">
      <c r="C685" s="68"/>
      <c r="E685" s="68"/>
      <c r="F685" s="68"/>
      <c r="G685" s="68"/>
      <c r="M685" s="68"/>
    </row>
    <row r="686" ht="15.75" customHeight="1">
      <c r="C686" s="68"/>
      <c r="E686" s="68"/>
      <c r="F686" s="68"/>
      <c r="G686" s="68"/>
      <c r="M686" s="68"/>
    </row>
    <row r="687" ht="15.75" customHeight="1">
      <c r="C687" s="68"/>
      <c r="E687" s="68"/>
      <c r="F687" s="68"/>
      <c r="G687" s="68"/>
      <c r="M687" s="68"/>
    </row>
    <row r="688" ht="15.75" customHeight="1">
      <c r="C688" s="68"/>
      <c r="E688" s="68"/>
      <c r="F688" s="68"/>
      <c r="G688" s="68"/>
      <c r="M688" s="68"/>
    </row>
    <row r="689" ht="15.75" customHeight="1">
      <c r="C689" s="68"/>
      <c r="E689" s="68"/>
      <c r="F689" s="68"/>
      <c r="G689" s="68"/>
      <c r="M689" s="68"/>
    </row>
    <row r="690" ht="15.75" customHeight="1">
      <c r="C690" s="68"/>
      <c r="E690" s="68"/>
      <c r="F690" s="68"/>
      <c r="G690" s="68"/>
      <c r="M690" s="68"/>
    </row>
    <row r="691" ht="15.75" customHeight="1">
      <c r="C691" s="68"/>
      <c r="E691" s="68"/>
      <c r="F691" s="68"/>
      <c r="G691" s="68"/>
      <c r="M691" s="68"/>
    </row>
    <row r="692" ht="15.75" customHeight="1">
      <c r="C692" s="68"/>
      <c r="E692" s="68"/>
      <c r="F692" s="68"/>
      <c r="G692" s="68"/>
      <c r="M692" s="68"/>
    </row>
    <row r="693" ht="15.75" customHeight="1">
      <c r="C693" s="68"/>
      <c r="E693" s="68"/>
      <c r="F693" s="68"/>
      <c r="G693" s="68"/>
      <c r="M693" s="68"/>
    </row>
    <row r="694" ht="15.75" customHeight="1">
      <c r="C694" s="68"/>
      <c r="E694" s="68"/>
      <c r="F694" s="68"/>
      <c r="G694" s="68"/>
      <c r="M694" s="68"/>
    </row>
    <row r="695" ht="15.75" customHeight="1">
      <c r="C695" s="68"/>
      <c r="E695" s="68"/>
      <c r="F695" s="68"/>
      <c r="G695" s="68"/>
      <c r="M695" s="68"/>
    </row>
    <row r="696" ht="15.75" customHeight="1">
      <c r="C696" s="68"/>
      <c r="E696" s="68"/>
      <c r="F696" s="68"/>
      <c r="G696" s="68"/>
      <c r="M696" s="68"/>
    </row>
    <row r="697" ht="15.75" customHeight="1">
      <c r="C697" s="68"/>
      <c r="E697" s="68"/>
      <c r="F697" s="68"/>
      <c r="G697" s="68"/>
      <c r="M697" s="68"/>
    </row>
    <row r="698" ht="15.75" customHeight="1">
      <c r="C698" s="68"/>
      <c r="E698" s="68"/>
      <c r="F698" s="68"/>
      <c r="G698" s="68"/>
      <c r="M698" s="68"/>
    </row>
    <row r="699" ht="15.75" customHeight="1">
      <c r="C699" s="68"/>
      <c r="E699" s="68"/>
      <c r="F699" s="68"/>
      <c r="G699" s="68"/>
      <c r="M699" s="68"/>
    </row>
    <row r="700" ht="15.75" customHeight="1">
      <c r="C700" s="68"/>
      <c r="E700" s="68"/>
      <c r="F700" s="68"/>
      <c r="G700" s="68"/>
      <c r="M700" s="68"/>
    </row>
    <row r="701" ht="15.75" customHeight="1">
      <c r="C701" s="68"/>
      <c r="E701" s="68"/>
      <c r="F701" s="68"/>
      <c r="G701" s="68"/>
      <c r="M701" s="68"/>
    </row>
    <row r="702" ht="15.75" customHeight="1">
      <c r="C702" s="68"/>
      <c r="E702" s="68"/>
      <c r="F702" s="68"/>
      <c r="G702" s="68"/>
      <c r="M702" s="68"/>
    </row>
    <row r="703" ht="15.75" customHeight="1">
      <c r="C703" s="68"/>
      <c r="E703" s="68"/>
      <c r="F703" s="68"/>
      <c r="G703" s="68"/>
      <c r="M703" s="68"/>
    </row>
    <row r="704" ht="15.75" customHeight="1">
      <c r="C704" s="68"/>
      <c r="E704" s="68"/>
      <c r="F704" s="68"/>
      <c r="G704" s="68"/>
      <c r="M704" s="68"/>
    </row>
    <row r="705" ht="15.75" customHeight="1">
      <c r="C705" s="68"/>
      <c r="E705" s="68"/>
      <c r="F705" s="68"/>
      <c r="G705" s="68"/>
      <c r="M705" s="68"/>
    </row>
    <row r="706" ht="15.75" customHeight="1">
      <c r="C706" s="68"/>
      <c r="E706" s="68"/>
      <c r="F706" s="68"/>
      <c r="G706" s="68"/>
      <c r="M706" s="68"/>
    </row>
    <row r="707" ht="15.75" customHeight="1">
      <c r="C707" s="68"/>
      <c r="E707" s="68"/>
      <c r="F707" s="68"/>
      <c r="G707" s="68"/>
      <c r="M707" s="68"/>
    </row>
    <row r="708" ht="15.75" customHeight="1">
      <c r="C708" s="68"/>
      <c r="E708" s="68"/>
      <c r="F708" s="68"/>
      <c r="G708" s="68"/>
      <c r="M708" s="68"/>
    </row>
    <row r="709" ht="15.75" customHeight="1">
      <c r="C709" s="68"/>
      <c r="E709" s="68"/>
      <c r="F709" s="68"/>
      <c r="G709" s="68"/>
      <c r="M709" s="68"/>
    </row>
    <row r="710" ht="15.75" customHeight="1">
      <c r="C710" s="68"/>
      <c r="E710" s="68"/>
      <c r="F710" s="68"/>
      <c r="G710" s="68"/>
      <c r="M710" s="68"/>
    </row>
    <row r="711" ht="15.75" customHeight="1">
      <c r="C711" s="68"/>
      <c r="E711" s="68"/>
      <c r="F711" s="68"/>
      <c r="G711" s="68"/>
      <c r="M711" s="68"/>
    </row>
    <row r="712" ht="15.75" customHeight="1">
      <c r="C712" s="68"/>
      <c r="E712" s="68"/>
      <c r="F712" s="68"/>
      <c r="G712" s="68"/>
      <c r="M712" s="68"/>
    </row>
    <row r="713" ht="15.75" customHeight="1">
      <c r="C713" s="68"/>
      <c r="E713" s="68"/>
      <c r="F713" s="68"/>
      <c r="G713" s="68"/>
      <c r="M713" s="68"/>
    </row>
    <row r="714" ht="15.75" customHeight="1">
      <c r="C714" s="68"/>
      <c r="E714" s="68"/>
      <c r="F714" s="68"/>
      <c r="G714" s="68"/>
      <c r="M714" s="68"/>
    </row>
    <row r="715" ht="15.75" customHeight="1">
      <c r="C715" s="68"/>
      <c r="E715" s="68"/>
      <c r="F715" s="68"/>
      <c r="G715" s="68"/>
      <c r="M715" s="68"/>
    </row>
    <row r="716" ht="15.75" customHeight="1">
      <c r="C716" s="68"/>
      <c r="E716" s="68"/>
      <c r="F716" s="68"/>
      <c r="G716" s="68"/>
      <c r="M716" s="68"/>
    </row>
    <row r="717" ht="15.75" customHeight="1">
      <c r="C717" s="68"/>
      <c r="E717" s="68"/>
      <c r="F717" s="68"/>
      <c r="G717" s="68"/>
      <c r="M717" s="68"/>
    </row>
    <row r="718" ht="15.75" customHeight="1">
      <c r="C718" s="68"/>
      <c r="E718" s="68"/>
      <c r="F718" s="68"/>
      <c r="G718" s="68"/>
      <c r="M718" s="68"/>
    </row>
    <row r="719" ht="15.75" customHeight="1">
      <c r="C719" s="68"/>
      <c r="E719" s="68"/>
      <c r="F719" s="68"/>
      <c r="G719" s="68"/>
      <c r="M719" s="68"/>
    </row>
    <row r="720" ht="15.75" customHeight="1">
      <c r="C720" s="68"/>
      <c r="E720" s="68"/>
      <c r="F720" s="68"/>
      <c r="G720" s="68"/>
      <c r="M720" s="68"/>
    </row>
    <row r="721" ht="15.75" customHeight="1">
      <c r="C721" s="68"/>
      <c r="E721" s="68"/>
      <c r="F721" s="68"/>
      <c r="G721" s="68"/>
      <c r="M721" s="68"/>
    </row>
    <row r="722" ht="15.75" customHeight="1">
      <c r="C722" s="68"/>
      <c r="E722" s="68"/>
      <c r="F722" s="68"/>
      <c r="G722" s="68"/>
      <c r="M722" s="68"/>
    </row>
    <row r="723" ht="15.75" customHeight="1">
      <c r="C723" s="68"/>
      <c r="E723" s="68"/>
      <c r="F723" s="68"/>
      <c r="G723" s="68"/>
      <c r="M723" s="68"/>
    </row>
    <row r="724" ht="15.75" customHeight="1">
      <c r="C724" s="68"/>
      <c r="E724" s="68"/>
      <c r="F724" s="68"/>
      <c r="G724" s="68"/>
      <c r="M724" s="68"/>
    </row>
    <row r="725" ht="15.75" customHeight="1">
      <c r="C725" s="68"/>
      <c r="E725" s="68"/>
      <c r="F725" s="68"/>
      <c r="G725" s="68"/>
      <c r="M725" s="68"/>
    </row>
    <row r="726" ht="15.75" customHeight="1">
      <c r="C726" s="68"/>
      <c r="E726" s="68"/>
      <c r="F726" s="68"/>
      <c r="G726" s="68"/>
      <c r="M726" s="68"/>
    </row>
    <row r="727" ht="15.75" customHeight="1">
      <c r="C727" s="68"/>
      <c r="E727" s="68"/>
      <c r="F727" s="68"/>
      <c r="G727" s="68"/>
      <c r="M727" s="68"/>
    </row>
    <row r="728" ht="15.75" customHeight="1">
      <c r="C728" s="68"/>
      <c r="E728" s="68"/>
      <c r="F728" s="68"/>
      <c r="G728" s="68"/>
      <c r="M728" s="68"/>
    </row>
    <row r="729" ht="15.75" customHeight="1">
      <c r="C729" s="68"/>
      <c r="E729" s="68"/>
      <c r="F729" s="68"/>
      <c r="G729" s="68"/>
      <c r="M729" s="68"/>
    </row>
    <row r="730" ht="15.75" customHeight="1">
      <c r="C730" s="68"/>
      <c r="E730" s="68"/>
      <c r="F730" s="68"/>
      <c r="G730" s="68"/>
      <c r="M730" s="68"/>
    </row>
    <row r="731" ht="15.75" customHeight="1">
      <c r="C731" s="68"/>
      <c r="E731" s="68"/>
      <c r="F731" s="68"/>
      <c r="G731" s="68"/>
      <c r="M731" s="68"/>
    </row>
    <row r="732" ht="15.75" customHeight="1">
      <c r="C732" s="68"/>
      <c r="E732" s="68"/>
      <c r="F732" s="68"/>
      <c r="G732" s="68"/>
      <c r="M732" s="68"/>
    </row>
    <row r="733" ht="15.75" customHeight="1">
      <c r="C733" s="68"/>
      <c r="E733" s="68"/>
      <c r="F733" s="68"/>
      <c r="G733" s="68"/>
      <c r="M733" s="68"/>
    </row>
    <row r="734" ht="15.75" customHeight="1">
      <c r="C734" s="68"/>
      <c r="E734" s="68"/>
      <c r="F734" s="68"/>
      <c r="G734" s="68"/>
      <c r="M734" s="68"/>
    </row>
    <row r="735" ht="15.75" customHeight="1">
      <c r="C735" s="68"/>
      <c r="E735" s="68"/>
      <c r="F735" s="68"/>
      <c r="G735" s="68"/>
      <c r="M735" s="68"/>
    </row>
    <row r="736" ht="15.75" customHeight="1">
      <c r="C736" s="68"/>
      <c r="E736" s="68"/>
      <c r="F736" s="68"/>
      <c r="G736" s="68"/>
      <c r="M736" s="68"/>
    </row>
    <row r="737" ht="15.75" customHeight="1">
      <c r="C737" s="68"/>
      <c r="E737" s="68"/>
      <c r="F737" s="68"/>
      <c r="G737" s="68"/>
      <c r="M737" s="68"/>
    </row>
    <row r="738" ht="15.75" customHeight="1">
      <c r="C738" s="68"/>
      <c r="E738" s="68"/>
      <c r="F738" s="68"/>
      <c r="G738" s="68"/>
      <c r="M738" s="68"/>
    </row>
    <row r="739" ht="15.75" customHeight="1">
      <c r="C739" s="68"/>
      <c r="E739" s="68"/>
      <c r="F739" s="68"/>
      <c r="G739" s="68"/>
      <c r="M739" s="68"/>
    </row>
    <row r="740" ht="15.75" customHeight="1">
      <c r="C740" s="68"/>
      <c r="E740" s="68"/>
      <c r="F740" s="68"/>
      <c r="G740" s="68"/>
      <c r="M740" s="68"/>
    </row>
    <row r="741" ht="15.75" customHeight="1">
      <c r="C741" s="68"/>
      <c r="E741" s="68"/>
      <c r="F741" s="68"/>
      <c r="G741" s="68"/>
      <c r="M741" s="68"/>
    </row>
    <row r="742" ht="15.75" customHeight="1">
      <c r="C742" s="68"/>
      <c r="E742" s="68"/>
      <c r="F742" s="68"/>
      <c r="G742" s="68"/>
      <c r="M742" s="68"/>
    </row>
    <row r="743" ht="15.75" customHeight="1">
      <c r="C743" s="68"/>
      <c r="E743" s="68"/>
      <c r="F743" s="68"/>
      <c r="G743" s="68"/>
      <c r="M743" s="68"/>
    </row>
    <row r="744" ht="15.75" customHeight="1">
      <c r="C744" s="68"/>
      <c r="E744" s="68"/>
      <c r="F744" s="68"/>
      <c r="G744" s="68"/>
      <c r="M744" s="68"/>
    </row>
    <row r="745" ht="15.75" customHeight="1">
      <c r="C745" s="68"/>
      <c r="E745" s="68"/>
      <c r="F745" s="68"/>
      <c r="G745" s="68"/>
      <c r="M745" s="68"/>
    </row>
    <row r="746" ht="15.75" customHeight="1">
      <c r="C746" s="68"/>
      <c r="E746" s="68"/>
      <c r="F746" s="68"/>
      <c r="G746" s="68"/>
      <c r="M746" s="68"/>
    </row>
    <row r="747" ht="15.75" customHeight="1">
      <c r="C747" s="68"/>
      <c r="E747" s="68"/>
      <c r="F747" s="68"/>
      <c r="G747" s="68"/>
      <c r="M747" s="68"/>
    </row>
    <row r="748" ht="15.75" customHeight="1">
      <c r="C748" s="68"/>
      <c r="E748" s="68"/>
      <c r="F748" s="68"/>
      <c r="G748" s="68"/>
      <c r="M748" s="68"/>
    </row>
    <row r="749" ht="15.75" customHeight="1">
      <c r="C749" s="68"/>
      <c r="E749" s="68"/>
      <c r="F749" s="68"/>
      <c r="G749" s="68"/>
      <c r="M749" s="68"/>
    </row>
    <row r="750" ht="15.75" customHeight="1">
      <c r="C750" s="68"/>
      <c r="E750" s="68"/>
      <c r="F750" s="68"/>
      <c r="G750" s="68"/>
      <c r="M750" s="68"/>
    </row>
    <row r="751" ht="15.75" customHeight="1">
      <c r="C751" s="68"/>
      <c r="E751" s="68"/>
      <c r="F751" s="68"/>
      <c r="G751" s="68"/>
      <c r="M751" s="68"/>
    </row>
    <row r="752" ht="15.75" customHeight="1">
      <c r="C752" s="68"/>
      <c r="E752" s="68"/>
      <c r="F752" s="68"/>
      <c r="G752" s="68"/>
      <c r="M752" s="68"/>
    </row>
    <row r="753" ht="15.75" customHeight="1">
      <c r="C753" s="68"/>
      <c r="E753" s="68"/>
      <c r="F753" s="68"/>
      <c r="G753" s="68"/>
      <c r="M753" s="68"/>
    </row>
    <row r="754" ht="15.75" customHeight="1">
      <c r="C754" s="68"/>
      <c r="E754" s="68"/>
      <c r="F754" s="68"/>
      <c r="G754" s="68"/>
      <c r="M754" s="68"/>
    </row>
    <row r="755" ht="15.75" customHeight="1">
      <c r="C755" s="68"/>
      <c r="E755" s="68"/>
      <c r="F755" s="68"/>
      <c r="G755" s="68"/>
      <c r="M755" s="68"/>
    </row>
    <row r="756" ht="15.75" customHeight="1">
      <c r="C756" s="68"/>
      <c r="E756" s="68"/>
      <c r="F756" s="68"/>
      <c r="G756" s="68"/>
      <c r="M756" s="68"/>
    </row>
    <row r="757" ht="15.75" customHeight="1">
      <c r="C757" s="68"/>
      <c r="E757" s="68"/>
      <c r="F757" s="68"/>
      <c r="G757" s="68"/>
      <c r="M757" s="68"/>
    </row>
    <row r="758" ht="15.75" customHeight="1">
      <c r="C758" s="68"/>
      <c r="E758" s="68"/>
      <c r="F758" s="68"/>
      <c r="G758" s="68"/>
      <c r="M758" s="68"/>
    </row>
    <row r="759" ht="15.75" customHeight="1">
      <c r="C759" s="68"/>
      <c r="E759" s="68"/>
      <c r="F759" s="68"/>
      <c r="G759" s="68"/>
      <c r="M759" s="68"/>
    </row>
    <row r="760" ht="15.75" customHeight="1">
      <c r="C760" s="68"/>
      <c r="E760" s="68"/>
      <c r="F760" s="68"/>
      <c r="G760" s="68"/>
      <c r="M760" s="68"/>
    </row>
    <row r="761" ht="15.75" customHeight="1">
      <c r="C761" s="68"/>
      <c r="E761" s="68"/>
      <c r="F761" s="68"/>
      <c r="G761" s="68"/>
      <c r="M761" s="68"/>
    </row>
    <row r="762" ht="15.75" customHeight="1">
      <c r="C762" s="68"/>
      <c r="E762" s="68"/>
      <c r="F762" s="68"/>
      <c r="G762" s="68"/>
      <c r="M762" s="68"/>
    </row>
    <row r="763" ht="15.75" customHeight="1">
      <c r="C763" s="68"/>
      <c r="E763" s="68"/>
      <c r="F763" s="68"/>
      <c r="G763" s="68"/>
      <c r="M763" s="68"/>
    </row>
    <row r="764" ht="15.75" customHeight="1">
      <c r="C764" s="68"/>
      <c r="E764" s="68"/>
      <c r="F764" s="68"/>
      <c r="G764" s="68"/>
      <c r="M764" s="68"/>
    </row>
    <row r="765" ht="15.75" customHeight="1">
      <c r="C765" s="68"/>
      <c r="E765" s="68"/>
      <c r="F765" s="68"/>
      <c r="G765" s="68"/>
      <c r="M765" s="68"/>
    </row>
    <row r="766" ht="15.75" customHeight="1">
      <c r="C766" s="68"/>
      <c r="E766" s="68"/>
      <c r="F766" s="68"/>
      <c r="G766" s="68"/>
      <c r="M766" s="68"/>
    </row>
    <row r="767" ht="15.75" customHeight="1">
      <c r="C767" s="68"/>
      <c r="E767" s="68"/>
      <c r="F767" s="68"/>
      <c r="G767" s="68"/>
      <c r="M767" s="68"/>
    </row>
    <row r="768" ht="15.75" customHeight="1">
      <c r="C768" s="68"/>
      <c r="E768" s="68"/>
      <c r="F768" s="68"/>
      <c r="G768" s="68"/>
      <c r="M768" s="68"/>
    </row>
    <row r="769" ht="15.75" customHeight="1">
      <c r="C769" s="68"/>
      <c r="E769" s="68"/>
      <c r="F769" s="68"/>
      <c r="G769" s="68"/>
      <c r="M769" s="68"/>
    </row>
    <row r="770" ht="15.75" customHeight="1">
      <c r="C770" s="68"/>
      <c r="E770" s="68"/>
      <c r="F770" s="68"/>
      <c r="G770" s="68"/>
      <c r="M770" s="68"/>
    </row>
    <row r="771" ht="15.75" customHeight="1">
      <c r="C771" s="68"/>
      <c r="E771" s="68"/>
      <c r="F771" s="68"/>
      <c r="G771" s="68"/>
      <c r="M771" s="68"/>
    </row>
    <row r="772" ht="15.75" customHeight="1">
      <c r="C772" s="68"/>
      <c r="E772" s="68"/>
      <c r="F772" s="68"/>
      <c r="G772" s="68"/>
      <c r="M772" s="68"/>
    </row>
    <row r="773" ht="15.75" customHeight="1">
      <c r="C773" s="68"/>
      <c r="E773" s="68"/>
      <c r="F773" s="68"/>
      <c r="G773" s="68"/>
      <c r="M773" s="68"/>
    </row>
    <row r="774" ht="15.75" customHeight="1">
      <c r="C774" s="68"/>
      <c r="E774" s="68"/>
      <c r="F774" s="68"/>
      <c r="G774" s="68"/>
      <c r="M774" s="68"/>
    </row>
    <row r="775" ht="15.75" customHeight="1">
      <c r="C775" s="68"/>
      <c r="E775" s="68"/>
      <c r="F775" s="68"/>
      <c r="G775" s="68"/>
      <c r="M775" s="68"/>
    </row>
    <row r="776" ht="15.75" customHeight="1">
      <c r="C776" s="68"/>
      <c r="E776" s="68"/>
      <c r="F776" s="68"/>
      <c r="G776" s="68"/>
      <c r="M776" s="68"/>
    </row>
    <row r="777" ht="15.75" customHeight="1">
      <c r="C777" s="68"/>
      <c r="E777" s="68"/>
      <c r="F777" s="68"/>
      <c r="G777" s="68"/>
      <c r="M777" s="68"/>
    </row>
    <row r="778" ht="15.75" customHeight="1">
      <c r="C778" s="68"/>
      <c r="E778" s="68"/>
      <c r="F778" s="68"/>
      <c r="G778" s="68"/>
      <c r="M778" s="68"/>
    </row>
    <row r="779" ht="15.75" customHeight="1">
      <c r="C779" s="68"/>
      <c r="E779" s="68"/>
      <c r="F779" s="68"/>
      <c r="G779" s="68"/>
      <c r="M779" s="68"/>
    </row>
    <row r="780" ht="15.75" customHeight="1">
      <c r="C780" s="68"/>
      <c r="E780" s="68"/>
      <c r="F780" s="68"/>
      <c r="G780" s="68"/>
      <c r="M780" s="68"/>
    </row>
    <row r="781" ht="15.75" customHeight="1">
      <c r="C781" s="68"/>
      <c r="E781" s="68"/>
      <c r="F781" s="68"/>
      <c r="G781" s="68"/>
      <c r="M781" s="68"/>
    </row>
    <row r="782" ht="15.75" customHeight="1">
      <c r="C782" s="68"/>
      <c r="E782" s="68"/>
      <c r="F782" s="68"/>
      <c r="G782" s="68"/>
      <c r="M782" s="68"/>
    </row>
    <row r="783" ht="15.75" customHeight="1">
      <c r="C783" s="68"/>
      <c r="E783" s="68"/>
      <c r="F783" s="68"/>
      <c r="G783" s="68"/>
      <c r="M783" s="68"/>
    </row>
    <row r="784" ht="15.75" customHeight="1">
      <c r="C784" s="68"/>
      <c r="E784" s="68"/>
      <c r="F784" s="68"/>
      <c r="G784" s="68"/>
      <c r="M784" s="68"/>
    </row>
    <row r="785" ht="15.75" customHeight="1">
      <c r="C785" s="68"/>
      <c r="E785" s="68"/>
      <c r="F785" s="68"/>
      <c r="G785" s="68"/>
      <c r="M785" s="68"/>
    </row>
    <row r="786" ht="15.75" customHeight="1">
      <c r="C786" s="68"/>
      <c r="E786" s="68"/>
      <c r="F786" s="68"/>
      <c r="G786" s="68"/>
      <c r="M786" s="68"/>
    </row>
    <row r="787" ht="15.75" customHeight="1">
      <c r="C787" s="68"/>
      <c r="E787" s="68"/>
      <c r="F787" s="68"/>
      <c r="G787" s="68"/>
      <c r="M787" s="68"/>
    </row>
    <row r="788" ht="15.75" customHeight="1">
      <c r="C788" s="68"/>
      <c r="E788" s="68"/>
      <c r="F788" s="68"/>
      <c r="G788" s="68"/>
      <c r="M788" s="68"/>
    </row>
    <row r="789" ht="15.75" customHeight="1">
      <c r="C789" s="68"/>
      <c r="E789" s="68"/>
      <c r="F789" s="68"/>
      <c r="G789" s="68"/>
      <c r="M789" s="68"/>
    </row>
    <row r="790" ht="15.75" customHeight="1">
      <c r="C790" s="68"/>
      <c r="E790" s="68"/>
      <c r="F790" s="68"/>
      <c r="G790" s="68"/>
      <c r="M790" s="68"/>
    </row>
    <row r="791" ht="15.75" customHeight="1">
      <c r="C791" s="68"/>
      <c r="E791" s="68"/>
      <c r="F791" s="68"/>
      <c r="G791" s="68"/>
      <c r="M791" s="68"/>
    </row>
    <row r="792" ht="15.75" customHeight="1">
      <c r="C792" s="68"/>
      <c r="E792" s="68"/>
      <c r="F792" s="68"/>
      <c r="G792" s="68"/>
      <c r="M792" s="68"/>
    </row>
    <row r="793" ht="15.75" customHeight="1">
      <c r="C793" s="68"/>
      <c r="E793" s="68"/>
      <c r="F793" s="68"/>
      <c r="G793" s="68"/>
      <c r="M793" s="68"/>
    </row>
    <row r="794" ht="15.75" customHeight="1">
      <c r="C794" s="68"/>
      <c r="E794" s="68"/>
      <c r="F794" s="68"/>
      <c r="G794" s="68"/>
      <c r="M794" s="68"/>
    </row>
    <row r="795" ht="15.75" customHeight="1">
      <c r="C795" s="68"/>
      <c r="E795" s="68"/>
      <c r="F795" s="68"/>
      <c r="G795" s="68"/>
      <c r="M795" s="68"/>
    </row>
    <row r="796" ht="15.75" customHeight="1">
      <c r="C796" s="68"/>
      <c r="E796" s="68"/>
      <c r="F796" s="68"/>
      <c r="G796" s="68"/>
      <c r="M796" s="68"/>
    </row>
    <row r="797" ht="15.75" customHeight="1">
      <c r="C797" s="68"/>
      <c r="E797" s="68"/>
      <c r="F797" s="68"/>
      <c r="G797" s="68"/>
      <c r="M797" s="68"/>
    </row>
    <row r="798" ht="15.75" customHeight="1">
      <c r="C798" s="68"/>
      <c r="E798" s="68"/>
      <c r="F798" s="68"/>
      <c r="G798" s="68"/>
      <c r="M798" s="68"/>
    </row>
    <row r="799" ht="15.75" customHeight="1">
      <c r="C799" s="68"/>
      <c r="E799" s="68"/>
      <c r="F799" s="68"/>
      <c r="G799" s="68"/>
      <c r="M799" s="68"/>
    </row>
    <row r="800" ht="15.75" customHeight="1">
      <c r="C800" s="68"/>
      <c r="E800" s="68"/>
      <c r="F800" s="68"/>
      <c r="G800" s="68"/>
      <c r="M800" s="68"/>
    </row>
    <row r="801" ht="15.75" customHeight="1">
      <c r="C801" s="68"/>
      <c r="E801" s="68"/>
      <c r="F801" s="68"/>
      <c r="G801" s="68"/>
      <c r="M801" s="68"/>
    </row>
    <row r="802" ht="15.75" customHeight="1">
      <c r="C802" s="68"/>
      <c r="E802" s="68"/>
      <c r="F802" s="68"/>
      <c r="G802" s="68"/>
      <c r="M802" s="68"/>
    </row>
    <row r="803" ht="15.75" customHeight="1">
      <c r="C803" s="68"/>
      <c r="E803" s="68"/>
      <c r="F803" s="68"/>
      <c r="G803" s="68"/>
      <c r="M803" s="68"/>
    </row>
    <row r="804" ht="15.75" customHeight="1">
      <c r="C804" s="68"/>
      <c r="E804" s="68"/>
      <c r="F804" s="68"/>
      <c r="G804" s="68"/>
      <c r="M804" s="68"/>
    </row>
    <row r="805" ht="15.75" customHeight="1">
      <c r="C805" s="68"/>
      <c r="E805" s="68"/>
      <c r="F805" s="68"/>
      <c r="G805" s="68"/>
      <c r="M805" s="68"/>
    </row>
    <row r="806" ht="15.75" customHeight="1">
      <c r="C806" s="68"/>
      <c r="E806" s="68"/>
      <c r="F806" s="68"/>
      <c r="G806" s="68"/>
      <c r="M806" s="68"/>
    </row>
    <row r="807" ht="15.75" customHeight="1">
      <c r="C807" s="68"/>
      <c r="E807" s="68"/>
      <c r="F807" s="68"/>
      <c r="G807" s="68"/>
      <c r="M807" s="68"/>
    </row>
    <row r="808" ht="15.75" customHeight="1">
      <c r="C808" s="68"/>
      <c r="E808" s="68"/>
      <c r="F808" s="68"/>
      <c r="G808" s="68"/>
      <c r="M808" s="68"/>
    </row>
    <row r="809" ht="15.75" customHeight="1">
      <c r="C809" s="68"/>
      <c r="E809" s="68"/>
      <c r="F809" s="68"/>
      <c r="G809" s="68"/>
      <c r="M809" s="68"/>
    </row>
    <row r="810" ht="15.75" customHeight="1">
      <c r="C810" s="68"/>
      <c r="E810" s="68"/>
      <c r="F810" s="68"/>
      <c r="G810" s="68"/>
      <c r="M810" s="68"/>
    </row>
    <row r="811" ht="15.75" customHeight="1">
      <c r="C811" s="68"/>
      <c r="E811" s="68"/>
      <c r="F811" s="68"/>
      <c r="G811" s="68"/>
      <c r="M811" s="68"/>
    </row>
    <row r="812" ht="15.75" customHeight="1">
      <c r="C812" s="68"/>
      <c r="E812" s="68"/>
      <c r="F812" s="68"/>
      <c r="G812" s="68"/>
      <c r="M812" s="68"/>
    </row>
    <row r="813" ht="15.75" customHeight="1">
      <c r="C813" s="68"/>
      <c r="E813" s="68"/>
      <c r="F813" s="68"/>
      <c r="G813" s="68"/>
      <c r="M813" s="68"/>
    </row>
    <row r="814" ht="15.75" customHeight="1">
      <c r="C814" s="68"/>
      <c r="E814" s="68"/>
      <c r="F814" s="68"/>
      <c r="G814" s="68"/>
      <c r="M814" s="68"/>
    </row>
    <row r="815" ht="15.75" customHeight="1">
      <c r="C815" s="68"/>
      <c r="E815" s="68"/>
      <c r="F815" s="68"/>
      <c r="G815" s="68"/>
      <c r="M815" s="68"/>
    </row>
    <row r="816" ht="15.75" customHeight="1">
      <c r="C816" s="68"/>
      <c r="E816" s="68"/>
      <c r="F816" s="68"/>
      <c r="G816" s="68"/>
      <c r="M816" s="68"/>
    </row>
    <row r="817" ht="15.75" customHeight="1">
      <c r="C817" s="68"/>
      <c r="E817" s="68"/>
      <c r="F817" s="68"/>
      <c r="G817" s="68"/>
      <c r="M817" s="68"/>
    </row>
    <row r="818" ht="15.75" customHeight="1">
      <c r="C818" s="68"/>
      <c r="E818" s="68"/>
      <c r="F818" s="68"/>
      <c r="G818" s="68"/>
      <c r="M818" s="68"/>
    </row>
    <row r="819" ht="15.75" customHeight="1">
      <c r="C819" s="68"/>
      <c r="E819" s="68"/>
      <c r="F819" s="68"/>
      <c r="G819" s="68"/>
      <c r="M819" s="68"/>
    </row>
    <row r="820" ht="15.75" customHeight="1">
      <c r="C820" s="68"/>
      <c r="E820" s="68"/>
      <c r="F820" s="68"/>
      <c r="G820" s="68"/>
      <c r="M820" s="68"/>
    </row>
    <row r="821" ht="15.75" customHeight="1">
      <c r="C821" s="68"/>
      <c r="E821" s="68"/>
      <c r="F821" s="68"/>
      <c r="G821" s="68"/>
      <c r="M821" s="68"/>
    </row>
    <row r="822" ht="15.75" customHeight="1">
      <c r="C822" s="68"/>
      <c r="E822" s="68"/>
      <c r="F822" s="68"/>
      <c r="G822" s="68"/>
      <c r="M822" s="68"/>
    </row>
    <row r="823" ht="15.75" customHeight="1">
      <c r="C823" s="68"/>
      <c r="E823" s="68"/>
      <c r="F823" s="68"/>
      <c r="G823" s="68"/>
      <c r="M823" s="68"/>
    </row>
    <row r="824" ht="15.75" customHeight="1">
      <c r="C824" s="68"/>
      <c r="E824" s="68"/>
      <c r="F824" s="68"/>
      <c r="G824" s="68"/>
      <c r="M824" s="68"/>
    </row>
    <row r="825" ht="15.75" customHeight="1">
      <c r="C825" s="68"/>
      <c r="E825" s="68"/>
      <c r="F825" s="68"/>
      <c r="G825" s="68"/>
      <c r="M825" s="68"/>
    </row>
    <row r="826" ht="15.75" customHeight="1">
      <c r="C826" s="68"/>
      <c r="E826" s="68"/>
      <c r="F826" s="68"/>
      <c r="G826" s="68"/>
      <c r="M826" s="68"/>
    </row>
    <row r="827" ht="15.75" customHeight="1">
      <c r="C827" s="68"/>
      <c r="E827" s="68"/>
      <c r="F827" s="68"/>
      <c r="G827" s="68"/>
      <c r="M827" s="68"/>
    </row>
    <row r="828" ht="15.75" customHeight="1">
      <c r="C828" s="68"/>
      <c r="E828" s="68"/>
      <c r="F828" s="68"/>
      <c r="G828" s="68"/>
      <c r="M828" s="68"/>
    </row>
    <row r="829" ht="15.75" customHeight="1">
      <c r="C829" s="68"/>
      <c r="E829" s="68"/>
      <c r="F829" s="68"/>
      <c r="G829" s="68"/>
      <c r="M829" s="68"/>
    </row>
    <row r="830" ht="15.75" customHeight="1">
      <c r="C830" s="68"/>
      <c r="E830" s="68"/>
      <c r="F830" s="68"/>
      <c r="G830" s="68"/>
      <c r="M830" s="68"/>
    </row>
    <row r="831" ht="15.75" customHeight="1">
      <c r="C831" s="68"/>
      <c r="E831" s="68"/>
      <c r="F831" s="68"/>
      <c r="G831" s="68"/>
      <c r="M831" s="68"/>
    </row>
    <row r="832" ht="15.75" customHeight="1">
      <c r="C832" s="68"/>
      <c r="E832" s="68"/>
      <c r="F832" s="68"/>
      <c r="G832" s="68"/>
      <c r="M832" s="68"/>
    </row>
    <row r="833" ht="15.75" customHeight="1">
      <c r="C833" s="68"/>
      <c r="E833" s="68"/>
      <c r="F833" s="68"/>
      <c r="G833" s="68"/>
      <c r="M833" s="68"/>
    </row>
    <row r="834" ht="15.75" customHeight="1">
      <c r="C834" s="68"/>
      <c r="E834" s="68"/>
      <c r="F834" s="68"/>
      <c r="G834" s="68"/>
      <c r="M834" s="68"/>
    </row>
    <row r="835" ht="15.75" customHeight="1">
      <c r="C835" s="68"/>
      <c r="E835" s="68"/>
      <c r="F835" s="68"/>
      <c r="G835" s="68"/>
      <c r="M835" s="68"/>
    </row>
    <row r="836" ht="15.75" customHeight="1">
      <c r="C836" s="68"/>
      <c r="E836" s="68"/>
      <c r="F836" s="68"/>
      <c r="G836" s="68"/>
      <c r="M836" s="68"/>
    </row>
    <row r="837" ht="15.75" customHeight="1">
      <c r="C837" s="68"/>
      <c r="E837" s="68"/>
      <c r="F837" s="68"/>
      <c r="G837" s="68"/>
      <c r="M837" s="68"/>
    </row>
    <row r="838" ht="15.75" customHeight="1">
      <c r="C838" s="68"/>
      <c r="E838" s="68"/>
      <c r="F838" s="68"/>
      <c r="G838" s="68"/>
      <c r="M838" s="68"/>
    </row>
    <row r="839" ht="15.75" customHeight="1">
      <c r="C839" s="68"/>
      <c r="E839" s="68"/>
      <c r="F839" s="68"/>
      <c r="G839" s="68"/>
      <c r="M839" s="68"/>
    </row>
    <row r="840" ht="15.75" customHeight="1">
      <c r="C840" s="68"/>
      <c r="E840" s="68"/>
      <c r="F840" s="68"/>
      <c r="G840" s="68"/>
      <c r="M840" s="68"/>
    </row>
    <row r="841" ht="15.75" customHeight="1">
      <c r="C841" s="68"/>
      <c r="E841" s="68"/>
      <c r="F841" s="68"/>
      <c r="G841" s="68"/>
      <c r="M841" s="68"/>
    </row>
    <row r="842" ht="15.75" customHeight="1">
      <c r="C842" s="68"/>
      <c r="E842" s="68"/>
      <c r="F842" s="68"/>
      <c r="G842" s="68"/>
      <c r="M842" s="68"/>
    </row>
    <row r="843" ht="15.75" customHeight="1">
      <c r="C843" s="68"/>
      <c r="E843" s="68"/>
      <c r="F843" s="68"/>
      <c r="G843" s="68"/>
      <c r="M843" s="68"/>
    </row>
    <row r="844" ht="15.75" customHeight="1">
      <c r="C844" s="68"/>
      <c r="E844" s="68"/>
      <c r="F844" s="68"/>
      <c r="G844" s="68"/>
      <c r="M844" s="68"/>
    </row>
    <row r="845" ht="15.75" customHeight="1">
      <c r="C845" s="68"/>
      <c r="E845" s="68"/>
      <c r="F845" s="68"/>
      <c r="G845" s="68"/>
      <c r="M845" s="68"/>
    </row>
    <row r="846" ht="15.75" customHeight="1">
      <c r="C846" s="68"/>
      <c r="E846" s="68"/>
      <c r="F846" s="68"/>
      <c r="G846" s="68"/>
      <c r="M846" s="68"/>
    </row>
    <row r="847" ht="15.75" customHeight="1">
      <c r="C847" s="68"/>
      <c r="E847" s="68"/>
      <c r="F847" s="68"/>
      <c r="G847" s="68"/>
      <c r="M847" s="68"/>
    </row>
    <row r="848" ht="15.75" customHeight="1">
      <c r="C848" s="68"/>
      <c r="E848" s="68"/>
      <c r="F848" s="68"/>
      <c r="G848" s="68"/>
      <c r="M848" s="68"/>
    </row>
    <row r="849" ht="15.75" customHeight="1">
      <c r="C849" s="68"/>
      <c r="E849" s="68"/>
      <c r="F849" s="68"/>
      <c r="G849" s="68"/>
      <c r="M849" s="68"/>
    </row>
    <row r="850" ht="15.75" customHeight="1">
      <c r="C850" s="68"/>
      <c r="E850" s="68"/>
      <c r="F850" s="68"/>
      <c r="G850" s="68"/>
      <c r="M850" s="68"/>
    </row>
    <row r="851" ht="15.75" customHeight="1">
      <c r="C851" s="68"/>
      <c r="E851" s="68"/>
      <c r="F851" s="68"/>
      <c r="G851" s="68"/>
      <c r="M851" s="68"/>
    </row>
    <row r="852" ht="15.75" customHeight="1">
      <c r="C852" s="68"/>
      <c r="E852" s="68"/>
      <c r="F852" s="68"/>
      <c r="G852" s="68"/>
      <c r="M852" s="68"/>
    </row>
    <row r="853" ht="15.75" customHeight="1">
      <c r="C853" s="68"/>
      <c r="E853" s="68"/>
      <c r="F853" s="68"/>
      <c r="G853" s="68"/>
      <c r="M853" s="68"/>
    </row>
    <row r="854" ht="15.75" customHeight="1">
      <c r="C854" s="68"/>
      <c r="E854" s="68"/>
      <c r="F854" s="68"/>
      <c r="G854" s="68"/>
      <c r="M854" s="68"/>
    </row>
    <row r="855" ht="15.75" customHeight="1">
      <c r="C855" s="68"/>
      <c r="E855" s="68"/>
      <c r="F855" s="68"/>
      <c r="G855" s="68"/>
      <c r="M855" s="68"/>
    </row>
    <row r="856" ht="15.75" customHeight="1">
      <c r="C856" s="68"/>
      <c r="E856" s="68"/>
      <c r="F856" s="68"/>
      <c r="G856" s="68"/>
      <c r="M856" s="68"/>
    </row>
    <row r="857" ht="15.75" customHeight="1">
      <c r="C857" s="68"/>
      <c r="E857" s="68"/>
      <c r="F857" s="68"/>
      <c r="G857" s="68"/>
      <c r="M857" s="68"/>
    </row>
    <row r="858" ht="15.75" customHeight="1">
      <c r="C858" s="68"/>
      <c r="E858" s="68"/>
      <c r="F858" s="68"/>
      <c r="G858" s="68"/>
      <c r="M858" s="68"/>
    </row>
    <row r="859" ht="15.75" customHeight="1">
      <c r="C859" s="68"/>
      <c r="E859" s="68"/>
      <c r="F859" s="68"/>
      <c r="G859" s="68"/>
      <c r="M859" s="68"/>
    </row>
    <row r="860" ht="15.75" customHeight="1">
      <c r="C860" s="68"/>
      <c r="E860" s="68"/>
      <c r="F860" s="68"/>
      <c r="G860" s="68"/>
      <c r="M860" s="68"/>
    </row>
    <row r="861" ht="15.75" customHeight="1">
      <c r="C861" s="68"/>
      <c r="E861" s="68"/>
      <c r="F861" s="68"/>
      <c r="G861" s="68"/>
      <c r="M861" s="68"/>
    </row>
    <row r="862" ht="15.75" customHeight="1">
      <c r="C862" s="68"/>
      <c r="E862" s="68"/>
      <c r="F862" s="68"/>
      <c r="G862" s="68"/>
      <c r="M862" s="68"/>
    </row>
    <row r="863" ht="15.75" customHeight="1">
      <c r="C863" s="68"/>
      <c r="E863" s="68"/>
      <c r="F863" s="68"/>
      <c r="G863" s="68"/>
      <c r="M863" s="68"/>
    </row>
    <row r="864" ht="15.75" customHeight="1">
      <c r="C864" s="68"/>
      <c r="E864" s="68"/>
      <c r="F864" s="68"/>
      <c r="G864" s="68"/>
      <c r="M864" s="68"/>
    </row>
    <row r="865" ht="15.75" customHeight="1">
      <c r="C865" s="68"/>
      <c r="E865" s="68"/>
      <c r="F865" s="68"/>
      <c r="G865" s="68"/>
      <c r="M865" s="68"/>
    </row>
    <row r="866" ht="15.75" customHeight="1">
      <c r="C866" s="68"/>
      <c r="E866" s="68"/>
      <c r="F866" s="68"/>
      <c r="G866" s="68"/>
      <c r="M866" s="68"/>
    </row>
    <row r="867" ht="15.75" customHeight="1">
      <c r="C867" s="68"/>
      <c r="E867" s="68"/>
      <c r="F867" s="68"/>
      <c r="G867" s="68"/>
      <c r="M867" s="68"/>
    </row>
    <row r="868" ht="15.75" customHeight="1">
      <c r="C868" s="68"/>
      <c r="E868" s="68"/>
      <c r="F868" s="68"/>
      <c r="G868" s="68"/>
      <c r="M868" s="68"/>
    </row>
    <row r="869" ht="15.75" customHeight="1">
      <c r="C869" s="68"/>
      <c r="E869" s="68"/>
      <c r="F869" s="68"/>
      <c r="G869" s="68"/>
      <c r="M869" s="68"/>
    </row>
    <row r="870" ht="15.75" customHeight="1">
      <c r="C870" s="68"/>
      <c r="E870" s="68"/>
      <c r="F870" s="68"/>
      <c r="G870" s="68"/>
      <c r="M870" s="68"/>
    </row>
    <row r="871" ht="15.75" customHeight="1">
      <c r="C871" s="68"/>
      <c r="E871" s="68"/>
      <c r="F871" s="68"/>
      <c r="G871" s="68"/>
      <c r="M871" s="68"/>
    </row>
    <row r="872" ht="15.75" customHeight="1">
      <c r="C872" s="68"/>
      <c r="E872" s="68"/>
      <c r="F872" s="68"/>
      <c r="G872" s="68"/>
      <c r="M872" s="68"/>
    </row>
    <row r="873" ht="15.75" customHeight="1">
      <c r="C873" s="68"/>
      <c r="E873" s="68"/>
      <c r="F873" s="68"/>
      <c r="G873" s="68"/>
      <c r="M873" s="68"/>
    </row>
    <row r="874" ht="15.75" customHeight="1">
      <c r="C874" s="68"/>
      <c r="E874" s="68"/>
      <c r="F874" s="68"/>
      <c r="G874" s="68"/>
      <c r="M874" s="68"/>
    </row>
    <row r="875" ht="15.75" customHeight="1">
      <c r="C875" s="68"/>
      <c r="E875" s="68"/>
      <c r="F875" s="68"/>
      <c r="G875" s="68"/>
      <c r="M875" s="68"/>
    </row>
    <row r="876" ht="15.75" customHeight="1">
      <c r="C876" s="68"/>
      <c r="E876" s="68"/>
      <c r="F876" s="68"/>
      <c r="G876" s="68"/>
      <c r="M876" s="68"/>
    </row>
    <row r="877" ht="15.75" customHeight="1">
      <c r="C877" s="68"/>
      <c r="E877" s="68"/>
      <c r="F877" s="68"/>
      <c r="G877" s="68"/>
      <c r="M877" s="68"/>
    </row>
    <row r="878" ht="15.75" customHeight="1">
      <c r="C878" s="68"/>
      <c r="E878" s="68"/>
      <c r="F878" s="68"/>
      <c r="G878" s="68"/>
      <c r="M878" s="68"/>
    </row>
    <row r="879" ht="15.75" customHeight="1">
      <c r="C879" s="68"/>
      <c r="E879" s="68"/>
      <c r="F879" s="68"/>
      <c r="G879" s="68"/>
      <c r="M879" s="68"/>
    </row>
    <row r="880" ht="15.75" customHeight="1">
      <c r="C880" s="68"/>
      <c r="E880" s="68"/>
      <c r="F880" s="68"/>
      <c r="G880" s="68"/>
      <c r="M880" s="68"/>
    </row>
    <row r="881" ht="15.75" customHeight="1">
      <c r="C881" s="68"/>
      <c r="E881" s="68"/>
      <c r="F881" s="68"/>
      <c r="G881" s="68"/>
      <c r="M881" s="68"/>
    </row>
    <row r="882" ht="15.75" customHeight="1">
      <c r="C882" s="68"/>
      <c r="E882" s="68"/>
      <c r="F882" s="68"/>
      <c r="G882" s="68"/>
      <c r="M882" s="68"/>
    </row>
    <row r="883" ht="15.75" customHeight="1">
      <c r="C883" s="68"/>
      <c r="E883" s="68"/>
      <c r="F883" s="68"/>
      <c r="G883" s="68"/>
      <c r="M883" s="68"/>
    </row>
    <row r="884" ht="15.75" customHeight="1">
      <c r="C884" s="68"/>
      <c r="E884" s="68"/>
      <c r="F884" s="68"/>
      <c r="G884" s="68"/>
      <c r="M884" s="68"/>
    </row>
    <row r="885" ht="15.75" customHeight="1">
      <c r="C885" s="68"/>
      <c r="E885" s="68"/>
      <c r="F885" s="68"/>
      <c r="G885" s="68"/>
      <c r="M885" s="68"/>
    </row>
    <row r="886" ht="15.75" customHeight="1">
      <c r="C886" s="68"/>
      <c r="E886" s="68"/>
      <c r="F886" s="68"/>
      <c r="G886" s="68"/>
      <c r="M886" s="68"/>
    </row>
    <row r="887" ht="15.75" customHeight="1">
      <c r="C887" s="68"/>
      <c r="E887" s="68"/>
      <c r="F887" s="68"/>
      <c r="G887" s="68"/>
      <c r="M887" s="68"/>
    </row>
    <row r="888" ht="15.75" customHeight="1">
      <c r="C888" s="68"/>
      <c r="E888" s="68"/>
      <c r="F888" s="68"/>
      <c r="G888" s="68"/>
      <c r="M888" s="68"/>
    </row>
    <row r="889" ht="15.75" customHeight="1">
      <c r="C889" s="68"/>
      <c r="E889" s="68"/>
      <c r="F889" s="68"/>
      <c r="G889" s="68"/>
      <c r="M889" s="68"/>
    </row>
    <row r="890" ht="15.75" customHeight="1">
      <c r="C890" s="68"/>
      <c r="E890" s="68"/>
      <c r="F890" s="68"/>
      <c r="G890" s="68"/>
      <c r="M890" s="68"/>
    </row>
    <row r="891" ht="15.75" customHeight="1">
      <c r="C891" s="68"/>
      <c r="E891" s="68"/>
      <c r="F891" s="68"/>
      <c r="G891" s="68"/>
      <c r="M891" s="68"/>
    </row>
    <row r="892" ht="15.75" customHeight="1">
      <c r="C892" s="68"/>
      <c r="E892" s="68"/>
      <c r="F892" s="68"/>
      <c r="G892" s="68"/>
      <c r="M892" s="68"/>
    </row>
    <row r="893" ht="15.75" customHeight="1">
      <c r="C893" s="68"/>
      <c r="E893" s="68"/>
      <c r="F893" s="68"/>
      <c r="G893" s="68"/>
      <c r="M893" s="68"/>
    </row>
    <row r="894" ht="15.75" customHeight="1">
      <c r="C894" s="68"/>
      <c r="E894" s="68"/>
      <c r="F894" s="68"/>
      <c r="G894" s="68"/>
      <c r="M894" s="68"/>
    </row>
    <row r="895" ht="15.75" customHeight="1">
      <c r="C895" s="68"/>
      <c r="E895" s="68"/>
      <c r="F895" s="68"/>
      <c r="G895" s="68"/>
      <c r="M895" s="68"/>
    </row>
    <row r="896" ht="15.75" customHeight="1">
      <c r="C896" s="68"/>
      <c r="E896" s="68"/>
      <c r="F896" s="68"/>
      <c r="G896" s="68"/>
      <c r="M896" s="68"/>
    </row>
    <row r="897" ht="15.75" customHeight="1">
      <c r="C897" s="68"/>
      <c r="E897" s="68"/>
      <c r="F897" s="68"/>
      <c r="G897" s="68"/>
      <c r="M897" s="68"/>
    </row>
    <row r="898" ht="15.75" customHeight="1">
      <c r="C898" s="68"/>
      <c r="E898" s="68"/>
      <c r="F898" s="68"/>
      <c r="G898" s="68"/>
      <c r="M898" s="68"/>
    </row>
    <row r="899" ht="15.75" customHeight="1">
      <c r="C899" s="68"/>
      <c r="E899" s="68"/>
      <c r="F899" s="68"/>
      <c r="G899" s="68"/>
      <c r="M899" s="68"/>
    </row>
    <row r="900" ht="15.75" customHeight="1">
      <c r="C900" s="68"/>
      <c r="E900" s="68"/>
      <c r="F900" s="68"/>
      <c r="G900" s="68"/>
      <c r="M900" s="68"/>
    </row>
    <row r="901" ht="15.75" customHeight="1">
      <c r="C901" s="68"/>
      <c r="E901" s="68"/>
      <c r="F901" s="68"/>
      <c r="G901" s="68"/>
      <c r="M901" s="68"/>
    </row>
    <row r="902" ht="15.75" customHeight="1">
      <c r="C902" s="68"/>
      <c r="E902" s="68"/>
      <c r="F902" s="68"/>
      <c r="G902" s="68"/>
      <c r="M902" s="68"/>
    </row>
    <row r="903" ht="15.75" customHeight="1">
      <c r="C903" s="68"/>
      <c r="E903" s="68"/>
      <c r="F903" s="68"/>
      <c r="G903" s="68"/>
      <c r="M903" s="68"/>
    </row>
    <row r="904" ht="15.75" customHeight="1">
      <c r="C904" s="68"/>
      <c r="E904" s="68"/>
      <c r="F904" s="68"/>
      <c r="G904" s="68"/>
      <c r="M904" s="68"/>
    </row>
    <row r="905" ht="15.75" customHeight="1">
      <c r="C905" s="68"/>
      <c r="E905" s="68"/>
      <c r="F905" s="68"/>
      <c r="G905" s="68"/>
      <c r="M905" s="68"/>
    </row>
    <row r="906" ht="15.75" customHeight="1">
      <c r="C906" s="68"/>
      <c r="E906" s="68"/>
      <c r="F906" s="68"/>
      <c r="G906" s="68"/>
      <c r="M906" s="68"/>
    </row>
    <row r="907" ht="15.75" customHeight="1">
      <c r="C907" s="68"/>
      <c r="E907" s="68"/>
      <c r="F907" s="68"/>
      <c r="G907" s="68"/>
      <c r="M907" s="68"/>
    </row>
    <row r="908" ht="15.75" customHeight="1">
      <c r="C908" s="68"/>
      <c r="E908" s="68"/>
      <c r="F908" s="68"/>
      <c r="G908" s="68"/>
      <c r="M908" s="68"/>
    </row>
    <row r="909" ht="15.75" customHeight="1">
      <c r="C909" s="68"/>
      <c r="E909" s="68"/>
      <c r="F909" s="68"/>
      <c r="G909" s="68"/>
      <c r="M909" s="68"/>
    </row>
    <row r="910" ht="15.75" customHeight="1">
      <c r="C910" s="68"/>
      <c r="E910" s="68"/>
      <c r="F910" s="68"/>
      <c r="G910" s="68"/>
      <c r="M910" s="68"/>
    </row>
    <row r="911" ht="15.75" customHeight="1">
      <c r="C911" s="68"/>
      <c r="E911" s="68"/>
      <c r="F911" s="68"/>
      <c r="G911" s="68"/>
      <c r="M911" s="68"/>
    </row>
    <row r="912" ht="15.75" customHeight="1">
      <c r="C912" s="68"/>
      <c r="E912" s="68"/>
      <c r="F912" s="68"/>
      <c r="G912" s="68"/>
      <c r="M912" s="68"/>
    </row>
    <row r="913" ht="15.75" customHeight="1">
      <c r="C913" s="68"/>
      <c r="E913" s="68"/>
      <c r="F913" s="68"/>
      <c r="G913" s="68"/>
      <c r="M913" s="68"/>
    </row>
    <row r="914" ht="15.75" customHeight="1">
      <c r="C914" s="68"/>
      <c r="E914" s="68"/>
      <c r="F914" s="68"/>
      <c r="G914" s="68"/>
      <c r="M914" s="68"/>
    </row>
    <row r="915" ht="15.75" customHeight="1">
      <c r="C915" s="68"/>
      <c r="E915" s="68"/>
      <c r="F915" s="68"/>
      <c r="G915" s="68"/>
      <c r="M915" s="68"/>
    </row>
    <row r="916" ht="15.75" customHeight="1">
      <c r="C916" s="68"/>
      <c r="E916" s="68"/>
      <c r="F916" s="68"/>
      <c r="G916" s="68"/>
      <c r="M916" s="68"/>
    </row>
    <row r="917" ht="15.75" customHeight="1">
      <c r="C917" s="68"/>
      <c r="E917" s="68"/>
      <c r="F917" s="68"/>
      <c r="G917" s="68"/>
      <c r="M917" s="68"/>
    </row>
    <row r="918" ht="15.75" customHeight="1">
      <c r="C918" s="68"/>
      <c r="E918" s="68"/>
      <c r="F918" s="68"/>
      <c r="G918" s="68"/>
      <c r="M918" s="68"/>
    </row>
    <row r="919" ht="15.75" customHeight="1">
      <c r="C919" s="68"/>
      <c r="E919" s="68"/>
      <c r="F919" s="68"/>
      <c r="G919" s="68"/>
      <c r="M919" s="68"/>
    </row>
    <row r="920" ht="15.75" customHeight="1">
      <c r="C920" s="68"/>
      <c r="E920" s="68"/>
      <c r="F920" s="68"/>
      <c r="G920" s="68"/>
      <c r="M920" s="68"/>
    </row>
    <row r="921" ht="15.75" customHeight="1">
      <c r="C921" s="68"/>
      <c r="E921" s="68"/>
      <c r="F921" s="68"/>
      <c r="G921" s="68"/>
      <c r="M921" s="68"/>
    </row>
    <row r="922" ht="15.75" customHeight="1">
      <c r="C922" s="68"/>
      <c r="E922" s="68"/>
      <c r="F922" s="68"/>
      <c r="G922" s="68"/>
      <c r="M922" s="68"/>
    </row>
    <row r="923" ht="15.75" customHeight="1">
      <c r="C923" s="68"/>
      <c r="E923" s="68"/>
      <c r="F923" s="68"/>
      <c r="G923" s="68"/>
      <c r="M923" s="68"/>
    </row>
    <row r="924" ht="15.75" customHeight="1">
      <c r="C924" s="68"/>
      <c r="E924" s="68"/>
      <c r="F924" s="68"/>
      <c r="G924" s="68"/>
      <c r="M924" s="68"/>
    </row>
    <row r="925" ht="15.75" customHeight="1">
      <c r="C925" s="68"/>
      <c r="E925" s="68"/>
      <c r="F925" s="68"/>
      <c r="G925" s="68"/>
      <c r="M925" s="68"/>
    </row>
    <row r="926" ht="15.75" customHeight="1">
      <c r="C926" s="68"/>
      <c r="E926" s="68"/>
      <c r="F926" s="68"/>
      <c r="G926" s="68"/>
      <c r="M926" s="68"/>
    </row>
    <row r="927" ht="15.75" customHeight="1">
      <c r="C927" s="68"/>
      <c r="E927" s="68"/>
      <c r="F927" s="68"/>
      <c r="G927" s="68"/>
      <c r="M927" s="68"/>
    </row>
    <row r="928" ht="15.75" customHeight="1">
      <c r="C928" s="68"/>
      <c r="E928" s="68"/>
      <c r="F928" s="68"/>
      <c r="G928" s="68"/>
      <c r="M928" s="68"/>
    </row>
    <row r="929" ht="15.75" customHeight="1">
      <c r="C929" s="68"/>
      <c r="E929" s="68"/>
      <c r="F929" s="68"/>
      <c r="G929" s="68"/>
      <c r="M929" s="68"/>
    </row>
    <row r="930" ht="15.75" customHeight="1">
      <c r="C930" s="68"/>
      <c r="E930" s="68"/>
      <c r="F930" s="68"/>
      <c r="G930" s="68"/>
      <c r="M930" s="68"/>
    </row>
    <row r="931" ht="15.75" customHeight="1">
      <c r="C931" s="68"/>
      <c r="E931" s="68"/>
      <c r="F931" s="68"/>
      <c r="G931" s="68"/>
      <c r="M931" s="68"/>
    </row>
    <row r="932" ht="15.75" customHeight="1">
      <c r="C932" s="68"/>
      <c r="E932" s="68"/>
      <c r="F932" s="68"/>
      <c r="G932" s="68"/>
      <c r="M932" s="68"/>
    </row>
    <row r="933" ht="15.75" customHeight="1">
      <c r="C933" s="68"/>
      <c r="E933" s="68"/>
      <c r="F933" s="68"/>
      <c r="G933" s="68"/>
      <c r="M933" s="68"/>
    </row>
    <row r="934" ht="15.75" customHeight="1">
      <c r="C934" s="68"/>
      <c r="E934" s="68"/>
      <c r="F934" s="68"/>
      <c r="G934" s="68"/>
      <c r="M934" s="68"/>
    </row>
    <row r="935" ht="15.75" customHeight="1">
      <c r="C935" s="68"/>
      <c r="E935" s="68"/>
      <c r="F935" s="68"/>
      <c r="G935" s="68"/>
      <c r="M935" s="68"/>
    </row>
    <row r="936" ht="15.75" customHeight="1">
      <c r="C936" s="68"/>
      <c r="E936" s="68"/>
      <c r="F936" s="68"/>
      <c r="G936" s="68"/>
      <c r="M936" s="68"/>
    </row>
    <row r="937" ht="15.75" customHeight="1">
      <c r="C937" s="68"/>
      <c r="E937" s="68"/>
      <c r="F937" s="68"/>
      <c r="G937" s="68"/>
      <c r="M937" s="68"/>
    </row>
    <row r="938" ht="15.75" customHeight="1">
      <c r="C938" s="68"/>
      <c r="E938" s="68"/>
      <c r="F938" s="68"/>
      <c r="G938" s="68"/>
      <c r="M938" s="68"/>
    </row>
    <row r="939" ht="15.75" customHeight="1">
      <c r="C939" s="68"/>
      <c r="E939" s="68"/>
      <c r="F939" s="68"/>
      <c r="G939" s="68"/>
      <c r="M939" s="68"/>
    </row>
    <row r="940" ht="15.75" customHeight="1">
      <c r="C940" s="68"/>
      <c r="E940" s="68"/>
      <c r="F940" s="68"/>
      <c r="G940" s="68"/>
      <c r="M940" s="68"/>
    </row>
    <row r="941" ht="15.75" customHeight="1">
      <c r="C941" s="68"/>
      <c r="E941" s="68"/>
      <c r="F941" s="68"/>
      <c r="G941" s="68"/>
      <c r="M941" s="68"/>
    </row>
    <row r="942" ht="15.75" customHeight="1">
      <c r="C942" s="68"/>
      <c r="E942" s="68"/>
      <c r="F942" s="68"/>
      <c r="G942" s="68"/>
      <c r="M942" s="68"/>
    </row>
    <row r="943" ht="15.75" customHeight="1">
      <c r="C943" s="68"/>
      <c r="E943" s="68"/>
      <c r="F943" s="68"/>
      <c r="G943" s="68"/>
      <c r="M943" s="68"/>
    </row>
    <row r="944" ht="15.75" customHeight="1">
      <c r="C944" s="68"/>
      <c r="E944" s="68"/>
      <c r="F944" s="68"/>
      <c r="G944" s="68"/>
      <c r="M944" s="68"/>
    </row>
    <row r="945" ht="15.75" customHeight="1">
      <c r="C945" s="68"/>
      <c r="E945" s="68"/>
      <c r="F945" s="68"/>
      <c r="G945" s="68"/>
      <c r="M945" s="68"/>
    </row>
    <row r="946" ht="15.75" customHeight="1">
      <c r="C946" s="68"/>
      <c r="E946" s="68"/>
      <c r="F946" s="68"/>
      <c r="G946" s="68"/>
      <c r="M946" s="68"/>
    </row>
    <row r="947" ht="15.75" customHeight="1">
      <c r="C947" s="68"/>
      <c r="E947" s="68"/>
      <c r="F947" s="68"/>
      <c r="G947" s="68"/>
      <c r="M947" s="68"/>
    </row>
    <row r="948" ht="15.75" customHeight="1">
      <c r="C948" s="68"/>
      <c r="E948" s="68"/>
      <c r="F948" s="68"/>
      <c r="G948" s="68"/>
      <c r="M948" s="68"/>
    </row>
    <row r="949" ht="15.75" customHeight="1">
      <c r="C949" s="68"/>
      <c r="E949" s="68"/>
      <c r="F949" s="68"/>
      <c r="G949" s="68"/>
      <c r="M949" s="68"/>
    </row>
    <row r="950" ht="15.75" customHeight="1">
      <c r="C950" s="68"/>
      <c r="E950" s="68"/>
      <c r="F950" s="68"/>
      <c r="G950" s="68"/>
      <c r="M950" s="68"/>
    </row>
    <row r="951" ht="15.75" customHeight="1">
      <c r="C951" s="68"/>
      <c r="E951" s="68"/>
      <c r="F951" s="68"/>
      <c r="G951" s="68"/>
      <c r="M951" s="68"/>
    </row>
    <row r="952" ht="15.75" customHeight="1">
      <c r="C952" s="68"/>
      <c r="E952" s="68"/>
      <c r="F952" s="68"/>
      <c r="G952" s="68"/>
      <c r="M952" s="68"/>
    </row>
    <row r="953" ht="15.75" customHeight="1">
      <c r="C953" s="68"/>
      <c r="E953" s="68"/>
      <c r="F953" s="68"/>
      <c r="G953" s="68"/>
      <c r="M953" s="68"/>
    </row>
    <row r="954" ht="15.75" customHeight="1">
      <c r="C954" s="68"/>
      <c r="E954" s="68"/>
      <c r="F954" s="68"/>
      <c r="G954" s="68"/>
      <c r="M954" s="68"/>
    </row>
    <row r="955" ht="15.75" customHeight="1">
      <c r="C955" s="68"/>
      <c r="E955" s="68"/>
      <c r="F955" s="68"/>
      <c r="G955" s="68"/>
      <c r="M955" s="68"/>
    </row>
    <row r="956" ht="15.75" customHeight="1">
      <c r="C956" s="68"/>
      <c r="E956" s="68"/>
      <c r="F956" s="68"/>
      <c r="G956" s="68"/>
      <c r="M956" s="68"/>
    </row>
    <row r="957" ht="15.75" customHeight="1">
      <c r="C957" s="68"/>
      <c r="E957" s="68"/>
      <c r="F957" s="68"/>
      <c r="G957" s="68"/>
      <c r="M957" s="68"/>
    </row>
    <row r="958" ht="15.75" customHeight="1">
      <c r="C958" s="68"/>
      <c r="E958" s="68"/>
      <c r="F958" s="68"/>
      <c r="G958" s="68"/>
      <c r="M958" s="68"/>
    </row>
    <row r="959" ht="15.75" customHeight="1">
      <c r="C959" s="68"/>
      <c r="E959" s="68"/>
      <c r="F959" s="68"/>
      <c r="G959" s="68"/>
      <c r="M959" s="68"/>
    </row>
    <row r="960" ht="15.75" customHeight="1">
      <c r="C960" s="68"/>
      <c r="E960" s="68"/>
      <c r="F960" s="68"/>
      <c r="G960" s="68"/>
      <c r="M960" s="68"/>
    </row>
    <row r="961" ht="15.75" customHeight="1">
      <c r="C961" s="68"/>
      <c r="E961" s="68"/>
      <c r="F961" s="68"/>
      <c r="G961" s="68"/>
      <c r="M961" s="68"/>
    </row>
    <row r="962" ht="15.75" customHeight="1">
      <c r="C962" s="68"/>
      <c r="E962" s="68"/>
      <c r="F962" s="68"/>
      <c r="G962" s="68"/>
      <c r="M962" s="68"/>
    </row>
    <row r="963" ht="15.75" customHeight="1">
      <c r="C963" s="68"/>
      <c r="E963" s="68"/>
      <c r="F963" s="68"/>
      <c r="G963" s="68"/>
      <c r="M963" s="68"/>
    </row>
    <row r="964" ht="15.75" customHeight="1">
      <c r="C964" s="68"/>
      <c r="E964" s="68"/>
      <c r="F964" s="68"/>
      <c r="G964" s="68"/>
      <c r="M964" s="68"/>
    </row>
    <row r="965" ht="15.75" customHeight="1">
      <c r="C965" s="68"/>
      <c r="E965" s="68"/>
      <c r="F965" s="68"/>
      <c r="G965" s="68"/>
      <c r="M965" s="68"/>
    </row>
    <row r="966" ht="15.75" customHeight="1">
      <c r="C966" s="68"/>
      <c r="E966" s="68"/>
      <c r="F966" s="68"/>
      <c r="G966" s="68"/>
      <c r="M966" s="68"/>
    </row>
    <row r="967" ht="15.75" customHeight="1">
      <c r="C967" s="68"/>
      <c r="E967" s="68"/>
      <c r="F967" s="68"/>
      <c r="G967" s="68"/>
      <c r="M967" s="68"/>
    </row>
    <row r="968" ht="15.75" customHeight="1">
      <c r="C968" s="68"/>
      <c r="E968" s="68"/>
      <c r="F968" s="68"/>
      <c r="G968" s="68"/>
      <c r="M968" s="68"/>
    </row>
    <row r="969" ht="15.75" customHeight="1">
      <c r="C969" s="68"/>
      <c r="E969" s="68"/>
      <c r="F969" s="68"/>
      <c r="G969" s="68"/>
      <c r="M969" s="68"/>
    </row>
    <row r="970" ht="15.75" customHeight="1">
      <c r="C970" s="68"/>
      <c r="E970" s="68"/>
      <c r="F970" s="68"/>
      <c r="G970" s="68"/>
      <c r="M970" s="68"/>
    </row>
    <row r="971" ht="15.75" customHeight="1">
      <c r="C971" s="68"/>
      <c r="E971" s="68"/>
      <c r="F971" s="68"/>
      <c r="G971" s="68"/>
      <c r="M971" s="68"/>
    </row>
    <row r="972" ht="15.75" customHeight="1">
      <c r="C972" s="68"/>
      <c r="E972" s="68"/>
      <c r="F972" s="68"/>
      <c r="G972" s="68"/>
      <c r="M972" s="68"/>
    </row>
    <row r="973" ht="15.75" customHeight="1">
      <c r="C973" s="68"/>
      <c r="E973" s="68"/>
      <c r="F973" s="68"/>
      <c r="G973" s="68"/>
      <c r="M973" s="68"/>
    </row>
    <row r="974" ht="15.75" customHeight="1">
      <c r="C974" s="68"/>
      <c r="E974" s="68"/>
      <c r="F974" s="68"/>
      <c r="G974" s="68"/>
      <c r="M974" s="68"/>
    </row>
    <row r="975" ht="15.75" customHeight="1">
      <c r="C975" s="68"/>
      <c r="E975" s="68"/>
      <c r="F975" s="68"/>
      <c r="G975" s="68"/>
      <c r="M975" s="68"/>
    </row>
    <row r="976" ht="15.75" customHeight="1">
      <c r="C976" s="68"/>
      <c r="E976" s="68"/>
      <c r="F976" s="68"/>
      <c r="G976" s="68"/>
      <c r="M976" s="68"/>
    </row>
    <row r="977" ht="15.75" customHeight="1">
      <c r="C977" s="68"/>
      <c r="E977" s="68"/>
      <c r="F977" s="68"/>
      <c r="G977" s="68"/>
      <c r="M977" s="68"/>
    </row>
    <row r="978" ht="15.75" customHeight="1">
      <c r="C978" s="68"/>
      <c r="E978" s="68"/>
      <c r="F978" s="68"/>
      <c r="G978" s="68"/>
      <c r="M978" s="68"/>
    </row>
    <row r="979" ht="15.75" customHeight="1">
      <c r="C979" s="68"/>
      <c r="E979" s="68"/>
      <c r="F979" s="68"/>
      <c r="G979" s="68"/>
      <c r="M979" s="68"/>
    </row>
    <row r="980" ht="15.75" customHeight="1">
      <c r="C980" s="68"/>
      <c r="E980" s="68"/>
      <c r="F980" s="68"/>
      <c r="G980" s="68"/>
      <c r="M980" s="68"/>
    </row>
    <row r="981" ht="15.75" customHeight="1">
      <c r="C981" s="68"/>
      <c r="E981" s="68"/>
      <c r="F981" s="68"/>
      <c r="G981" s="68"/>
      <c r="M981" s="68"/>
    </row>
    <row r="982" ht="15.75" customHeight="1">
      <c r="C982" s="68"/>
      <c r="E982" s="68"/>
      <c r="F982" s="68"/>
      <c r="G982" s="68"/>
      <c r="M982" s="68"/>
    </row>
    <row r="983" ht="15.75" customHeight="1">
      <c r="C983" s="68"/>
      <c r="E983" s="68"/>
      <c r="F983" s="68"/>
      <c r="G983" s="68"/>
      <c r="M983" s="68"/>
    </row>
    <row r="984" ht="15.75" customHeight="1">
      <c r="C984" s="68"/>
      <c r="E984" s="68"/>
      <c r="F984" s="68"/>
      <c r="G984" s="68"/>
      <c r="M984" s="68"/>
    </row>
    <row r="985" ht="15.75" customHeight="1">
      <c r="C985" s="68"/>
      <c r="E985" s="68"/>
      <c r="F985" s="68"/>
      <c r="G985" s="68"/>
      <c r="M985" s="68"/>
    </row>
    <row r="986" ht="15.75" customHeight="1">
      <c r="C986" s="68"/>
      <c r="E986" s="68"/>
      <c r="F986" s="68"/>
      <c r="G986" s="68"/>
      <c r="M986" s="68"/>
    </row>
    <row r="987" ht="15.75" customHeight="1">
      <c r="C987" s="68"/>
      <c r="E987" s="68"/>
      <c r="F987" s="68"/>
      <c r="G987" s="68"/>
      <c r="M987" s="68"/>
    </row>
    <row r="988" ht="15.75" customHeight="1">
      <c r="C988" s="68"/>
      <c r="E988" s="68"/>
      <c r="F988" s="68"/>
      <c r="G988" s="68"/>
      <c r="M988" s="68"/>
    </row>
    <row r="989" ht="15.75" customHeight="1">
      <c r="C989" s="68"/>
      <c r="E989" s="68"/>
      <c r="F989" s="68"/>
      <c r="G989" s="68"/>
      <c r="M989" s="68"/>
    </row>
    <row r="990" ht="15.75" customHeight="1">
      <c r="C990" s="68"/>
      <c r="E990" s="68"/>
      <c r="F990" s="68"/>
      <c r="G990" s="68"/>
      <c r="M990" s="68"/>
    </row>
    <row r="991" ht="15.75" customHeight="1">
      <c r="C991" s="68"/>
      <c r="E991" s="68"/>
      <c r="F991" s="68"/>
      <c r="G991" s="68"/>
      <c r="M991" s="68"/>
    </row>
    <row r="992" ht="15.75" customHeight="1">
      <c r="C992" s="68"/>
      <c r="E992" s="68"/>
      <c r="F992" s="68"/>
      <c r="G992" s="68"/>
      <c r="M992" s="68"/>
    </row>
    <row r="993" ht="15.75" customHeight="1">
      <c r="C993" s="68"/>
      <c r="E993" s="68"/>
      <c r="F993" s="68"/>
      <c r="G993" s="68"/>
      <c r="M993" s="68"/>
    </row>
    <row r="994" ht="15.75" customHeight="1">
      <c r="C994" s="68"/>
      <c r="E994" s="68"/>
      <c r="F994" s="68"/>
      <c r="G994" s="68"/>
      <c r="M994" s="68"/>
    </row>
    <row r="995" ht="15.75" customHeight="1">
      <c r="C995" s="68"/>
      <c r="E995" s="68"/>
      <c r="F995" s="68"/>
      <c r="G995" s="68"/>
      <c r="M995" s="68"/>
    </row>
    <row r="996" ht="15.75" customHeight="1">
      <c r="C996" s="68"/>
      <c r="E996" s="68"/>
      <c r="F996" s="68"/>
      <c r="G996" s="68"/>
      <c r="M996" s="68"/>
    </row>
    <row r="997" ht="15.75" customHeight="1">
      <c r="C997" s="68"/>
      <c r="E997" s="68"/>
      <c r="F997" s="68"/>
      <c r="G997" s="68"/>
      <c r="M997" s="68"/>
    </row>
    <row r="998" ht="15.75" customHeight="1">
      <c r="C998" s="68"/>
      <c r="E998" s="68"/>
      <c r="F998" s="68"/>
      <c r="G998" s="68"/>
      <c r="M998" s="68"/>
    </row>
    <row r="999" ht="15.75" customHeight="1">
      <c r="C999" s="68"/>
      <c r="E999" s="68"/>
      <c r="F999" s="68"/>
      <c r="G999" s="68"/>
      <c r="M999" s="68"/>
    </row>
    <row r="1000" ht="15.75" customHeight="1">
      <c r="C1000" s="68"/>
      <c r="E1000" s="68"/>
      <c r="F1000" s="68"/>
      <c r="G1000" s="68"/>
      <c r="M1000" s="68"/>
    </row>
  </sheetData>
  <dataValidations>
    <dataValidation type="list" allowBlank="1" sqref="I3:I66">
      <formula1>"OK,NO OK,Sin implementar,Por probar"</formula1>
    </dataValidation>
    <dataValidation type="list" allowBlank="1" sqref="J3:J66">
      <formula1>"Critica,Alta,Media,Baja"</formula1>
    </dataValidation>
    <dataValidation type="list" allowBlank="1" sqref="K3:K66">
      <formula1>"Si,No"</formula1>
    </dataValidation>
    <dataValidation type="list" allowBlank="1" showErrorMessage="1" sqref="H3:H66">
      <formula1>"Integracion,Sistema,Stress,Seguridad,Unitaria"</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cols>
    <col customWidth="1" min="1" max="1" width="1.9"/>
    <col customWidth="1" min="2" max="2" width="7.7"/>
    <col customWidth="1" min="3" max="3" width="9.1"/>
    <col customWidth="1" min="4" max="4" width="11.6"/>
    <col customWidth="1" min="5" max="5" width="13.0"/>
    <col customWidth="1" min="6" max="6" width="17.9"/>
    <col customWidth="1" min="7" max="7" width="33.5"/>
    <col customWidth="1" min="8" max="8" width="12.3"/>
    <col customWidth="1" min="9" max="9" width="14.4"/>
    <col customWidth="1" min="10" max="10" width="17.6"/>
    <col customWidth="1" min="11" max="11" width="30.7"/>
    <col customWidth="1" min="12" max="12" width="24.9"/>
    <col customWidth="1" min="13" max="13" width="20.4"/>
  </cols>
  <sheetData>
    <row r="1">
      <c r="C1" s="68"/>
      <c r="E1" s="68"/>
      <c r="F1" s="68"/>
      <c r="G1" s="68"/>
      <c r="M1" s="68"/>
    </row>
    <row r="2" ht="22.5" customHeight="1">
      <c r="B2" s="72" t="s">
        <v>52</v>
      </c>
      <c r="C2" s="72" t="s">
        <v>53</v>
      </c>
      <c r="D2" s="74" t="s">
        <v>54</v>
      </c>
      <c r="E2" s="74" t="s">
        <v>55</v>
      </c>
      <c r="F2" s="74" t="s">
        <v>56</v>
      </c>
      <c r="G2" s="74" t="s">
        <v>57</v>
      </c>
      <c r="H2" s="74" t="s">
        <v>58</v>
      </c>
      <c r="I2" s="77" t="s">
        <v>59</v>
      </c>
      <c r="J2" s="77" t="s">
        <v>60</v>
      </c>
      <c r="K2" s="77" t="s">
        <v>61</v>
      </c>
      <c r="L2" s="79" t="s">
        <v>62</v>
      </c>
      <c r="M2" s="80" t="s">
        <v>63</v>
      </c>
    </row>
    <row r="3" ht="22.5" customHeight="1">
      <c r="B3" s="81" t="s">
        <v>65</v>
      </c>
      <c r="C3" s="81" t="s">
        <v>66</v>
      </c>
      <c r="D3" s="83" t="s">
        <v>72</v>
      </c>
      <c r="E3" s="82" t="s">
        <v>73</v>
      </c>
      <c r="F3" s="82" t="s">
        <v>74</v>
      </c>
      <c r="G3" s="82" t="s">
        <v>75</v>
      </c>
      <c r="H3" s="84" t="s">
        <v>42</v>
      </c>
      <c r="I3" s="85" t="s">
        <v>8</v>
      </c>
      <c r="J3" s="84" t="s">
        <v>78</v>
      </c>
      <c r="K3" s="84" t="s">
        <v>77</v>
      </c>
      <c r="L3" s="86"/>
      <c r="M3" s="81" t="s">
        <v>79</v>
      </c>
    </row>
    <row r="4" ht="22.5" customHeight="1">
      <c r="B4" s="81" t="s">
        <v>65</v>
      </c>
      <c r="C4" s="81" t="s">
        <v>82</v>
      </c>
      <c r="D4" s="83" t="s">
        <v>84</v>
      </c>
      <c r="E4" s="82" t="s">
        <v>73</v>
      </c>
      <c r="F4" s="82" t="s">
        <v>86</v>
      </c>
      <c r="G4" s="82" t="s">
        <v>87</v>
      </c>
      <c r="H4" s="84" t="s">
        <v>10</v>
      </c>
      <c r="I4" s="85" t="s">
        <v>8</v>
      </c>
      <c r="J4" s="84" t="s">
        <v>89</v>
      </c>
      <c r="K4" s="84" t="s">
        <v>77</v>
      </c>
      <c r="L4" s="86"/>
      <c r="M4" s="81" t="s">
        <v>90</v>
      </c>
    </row>
    <row r="5" ht="22.5" customHeight="1">
      <c r="B5" s="81" t="s">
        <v>65</v>
      </c>
      <c r="C5" s="81" t="s">
        <v>91</v>
      </c>
      <c r="D5" s="83" t="s">
        <v>95</v>
      </c>
      <c r="E5" s="82" t="s">
        <v>73</v>
      </c>
      <c r="F5" s="82" t="s">
        <v>96</v>
      </c>
      <c r="G5" s="82" t="s">
        <v>97</v>
      </c>
      <c r="H5" s="84" t="s">
        <v>10</v>
      </c>
      <c r="I5" s="85" t="s">
        <v>8</v>
      </c>
      <c r="J5" s="84" t="s">
        <v>89</v>
      </c>
      <c r="K5" s="84" t="s">
        <v>77</v>
      </c>
      <c r="L5" s="86"/>
      <c r="M5" s="81" t="s">
        <v>101</v>
      </c>
    </row>
    <row r="6" ht="22.5" customHeight="1">
      <c r="B6" s="81" t="s">
        <v>65</v>
      </c>
      <c r="C6" s="81" t="s">
        <v>98</v>
      </c>
      <c r="D6" s="83" t="s">
        <v>103</v>
      </c>
      <c r="E6" s="82" t="s">
        <v>73</v>
      </c>
      <c r="F6" s="82" t="s">
        <v>104</v>
      </c>
      <c r="G6" s="82" t="s">
        <v>106</v>
      </c>
      <c r="H6" s="84" t="s">
        <v>10</v>
      </c>
      <c r="I6" s="85" t="s">
        <v>8</v>
      </c>
      <c r="J6" s="84" t="s">
        <v>89</v>
      </c>
      <c r="K6" s="84" t="s">
        <v>77</v>
      </c>
      <c r="L6" s="86"/>
      <c r="M6" s="81" t="s">
        <v>112</v>
      </c>
    </row>
    <row r="7" ht="22.5" customHeight="1">
      <c r="B7" s="81" t="s">
        <v>65</v>
      </c>
      <c r="C7" s="81" t="s">
        <v>113</v>
      </c>
      <c r="D7" s="83" t="s">
        <v>114</v>
      </c>
      <c r="E7" s="82" t="s">
        <v>73</v>
      </c>
      <c r="F7" s="82" t="s">
        <v>118</v>
      </c>
      <c r="G7" s="82" t="s">
        <v>120</v>
      </c>
      <c r="H7" s="84" t="s">
        <v>10</v>
      </c>
      <c r="I7" s="85" t="s">
        <v>8</v>
      </c>
      <c r="J7" s="84" t="s">
        <v>89</v>
      </c>
      <c r="K7" s="84" t="s">
        <v>77</v>
      </c>
      <c r="L7" s="86"/>
      <c r="M7" s="81" t="s">
        <v>121</v>
      </c>
    </row>
    <row r="8" ht="22.5" customHeight="1">
      <c r="B8" s="81" t="s">
        <v>65</v>
      </c>
      <c r="C8" s="81" t="s">
        <v>126</v>
      </c>
      <c r="D8" s="83" t="s">
        <v>127</v>
      </c>
      <c r="E8" s="82" t="s">
        <v>73</v>
      </c>
      <c r="F8" s="82" t="s">
        <v>128</v>
      </c>
      <c r="G8" s="82" t="s">
        <v>129</v>
      </c>
      <c r="H8" s="84" t="s">
        <v>10</v>
      </c>
      <c r="I8" s="85" t="s">
        <v>8</v>
      </c>
      <c r="J8" s="84" t="s">
        <v>89</v>
      </c>
      <c r="K8" s="84" t="s">
        <v>77</v>
      </c>
      <c r="L8" s="86"/>
      <c r="M8" s="81" t="s">
        <v>130</v>
      </c>
    </row>
    <row r="9" ht="22.5" customHeight="1">
      <c r="B9" s="81" t="s">
        <v>137</v>
      </c>
      <c r="C9" s="81" t="s">
        <v>107</v>
      </c>
      <c r="D9" s="83" t="s">
        <v>138</v>
      </c>
      <c r="E9" s="82" t="s">
        <v>139</v>
      </c>
      <c r="F9" s="82" t="s">
        <v>140</v>
      </c>
      <c r="G9" s="82" t="s">
        <v>141</v>
      </c>
      <c r="H9" s="84" t="s">
        <v>10</v>
      </c>
      <c r="I9" s="85" t="s">
        <v>8</v>
      </c>
      <c r="J9" s="84" t="s">
        <v>78</v>
      </c>
      <c r="K9" s="84" t="s">
        <v>77</v>
      </c>
      <c r="L9" s="86"/>
      <c r="M9" s="81" t="s">
        <v>143</v>
      </c>
    </row>
    <row r="10" ht="22.5" customHeight="1">
      <c r="B10" s="81" t="s">
        <v>137</v>
      </c>
      <c r="C10" s="81" t="s">
        <v>115</v>
      </c>
      <c r="D10" s="83" t="s">
        <v>147</v>
      </c>
      <c r="E10" s="82" t="s">
        <v>139</v>
      </c>
      <c r="F10" s="82" t="s">
        <v>148</v>
      </c>
      <c r="G10" s="82" t="s">
        <v>149</v>
      </c>
      <c r="H10" s="84" t="s">
        <v>10</v>
      </c>
      <c r="I10" s="85" t="s">
        <v>8</v>
      </c>
      <c r="J10" s="84" t="s">
        <v>78</v>
      </c>
      <c r="K10" s="84" t="s">
        <v>77</v>
      </c>
      <c r="L10" s="86"/>
      <c r="M10" s="81" t="s">
        <v>152</v>
      </c>
    </row>
    <row r="11" ht="22.5" customHeight="1">
      <c r="B11" s="81" t="s">
        <v>137</v>
      </c>
      <c r="C11" s="81" t="s">
        <v>122</v>
      </c>
      <c r="D11" s="83" t="s">
        <v>155</v>
      </c>
      <c r="E11" s="82" t="s">
        <v>139</v>
      </c>
      <c r="F11" s="82" t="s">
        <v>156</v>
      </c>
      <c r="G11" s="82" t="s">
        <v>157</v>
      </c>
      <c r="H11" s="84" t="s">
        <v>42</v>
      </c>
      <c r="I11" s="85" t="s">
        <v>8</v>
      </c>
      <c r="J11" s="84" t="s">
        <v>89</v>
      </c>
      <c r="K11" s="84" t="s">
        <v>77</v>
      </c>
      <c r="L11" s="86"/>
      <c r="M11" s="81" t="s">
        <v>161</v>
      </c>
    </row>
    <row r="12" ht="22.5" customHeight="1">
      <c r="B12" s="81" t="s">
        <v>163</v>
      </c>
      <c r="C12" s="81" t="s">
        <v>164</v>
      </c>
      <c r="D12" s="83" t="s">
        <v>165</v>
      </c>
      <c r="E12" s="82" t="s">
        <v>166</v>
      </c>
      <c r="F12" s="82" t="s">
        <v>167</v>
      </c>
      <c r="G12" s="82" t="s">
        <v>168</v>
      </c>
      <c r="H12" s="84" t="s">
        <v>67</v>
      </c>
      <c r="I12" s="85" t="s">
        <v>8</v>
      </c>
      <c r="J12" s="84" t="s">
        <v>76</v>
      </c>
      <c r="K12" s="84" t="s">
        <v>77</v>
      </c>
      <c r="L12" s="86"/>
      <c r="M12" s="81" t="s">
        <v>173</v>
      </c>
    </row>
    <row r="13" ht="22.5" customHeight="1">
      <c r="B13" s="81" t="s">
        <v>174</v>
      </c>
      <c r="C13" s="81" t="s">
        <v>142</v>
      </c>
      <c r="D13" s="83" t="s">
        <v>175</v>
      </c>
      <c r="E13" s="82" t="s">
        <v>177</v>
      </c>
      <c r="F13" s="82" t="s">
        <v>178</v>
      </c>
      <c r="G13" s="82" t="s">
        <v>180</v>
      </c>
      <c r="H13" s="84" t="s">
        <v>42</v>
      </c>
      <c r="I13" s="85" t="s">
        <v>8</v>
      </c>
      <c r="J13" s="84" t="s">
        <v>78</v>
      </c>
      <c r="K13" s="84" t="s">
        <v>77</v>
      </c>
      <c r="L13" s="86"/>
      <c r="M13" s="81" t="s">
        <v>181</v>
      </c>
    </row>
    <row r="14" ht="22.5" customHeight="1">
      <c r="B14" s="81" t="s">
        <v>174</v>
      </c>
      <c r="C14" s="81" t="s">
        <v>186</v>
      </c>
      <c r="D14" s="83" t="s">
        <v>188</v>
      </c>
      <c r="E14" s="82" t="s">
        <v>177</v>
      </c>
      <c r="F14" s="82" t="s">
        <v>190</v>
      </c>
      <c r="G14" s="82" t="s">
        <v>191</v>
      </c>
      <c r="H14" s="84" t="s">
        <v>10</v>
      </c>
      <c r="I14" s="85" t="s">
        <v>8</v>
      </c>
      <c r="J14" s="84" t="s">
        <v>78</v>
      </c>
      <c r="K14" s="84" t="s">
        <v>77</v>
      </c>
      <c r="L14" s="86"/>
      <c r="M14" s="81" t="s">
        <v>196</v>
      </c>
    </row>
    <row r="15" ht="22.5" customHeight="1">
      <c r="B15" s="81" t="s">
        <v>198</v>
      </c>
      <c r="C15" s="81" t="s">
        <v>183</v>
      </c>
      <c r="D15" s="83" t="s">
        <v>200</v>
      </c>
      <c r="E15" s="82" t="s">
        <v>202</v>
      </c>
      <c r="F15" s="82" t="s">
        <v>204</v>
      </c>
      <c r="G15" s="82" t="s">
        <v>205</v>
      </c>
      <c r="H15" s="84" t="s">
        <v>42</v>
      </c>
      <c r="I15" s="85" t="s">
        <v>8</v>
      </c>
      <c r="J15" s="84" t="s">
        <v>78</v>
      </c>
      <c r="K15" s="84" t="s">
        <v>77</v>
      </c>
      <c r="L15" s="86"/>
      <c r="M15" s="81" t="s">
        <v>206</v>
      </c>
    </row>
    <row r="16" ht="22.5" customHeight="1">
      <c r="B16" s="81" t="s">
        <v>198</v>
      </c>
      <c r="C16" s="81" t="s">
        <v>211</v>
      </c>
      <c r="D16" s="83" t="s">
        <v>212</v>
      </c>
      <c r="E16" s="82" t="s">
        <v>202</v>
      </c>
      <c r="F16" s="82" t="s">
        <v>213</v>
      </c>
      <c r="G16" s="82" t="s">
        <v>214</v>
      </c>
      <c r="H16" s="84" t="s">
        <v>10</v>
      </c>
      <c r="I16" s="85" t="s">
        <v>8</v>
      </c>
      <c r="J16" s="84" t="s">
        <v>78</v>
      </c>
      <c r="K16" s="84" t="s">
        <v>77</v>
      </c>
      <c r="L16" s="86"/>
      <c r="M16" s="81" t="s">
        <v>218</v>
      </c>
    </row>
    <row r="17" ht="22.5" customHeight="1">
      <c r="B17" s="81" t="s">
        <v>222</v>
      </c>
      <c r="C17" s="81" t="s">
        <v>216</v>
      </c>
      <c r="D17" s="83" t="s">
        <v>223</v>
      </c>
      <c r="E17" s="82" t="s">
        <v>224</v>
      </c>
      <c r="F17" s="82" t="s">
        <v>225</v>
      </c>
      <c r="G17" s="82" t="s">
        <v>226</v>
      </c>
      <c r="H17" s="84" t="s">
        <v>10</v>
      </c>
      <c r="I17" s="85" t="s">
        <v>8</v>
      </c>
      <c r="J17" s="84" t="s">
        <v>78</v>
      </c>
      <c r="K17" s="84" t="s">
        <v>77</v>
      </c>
      <c r="L17" s="86"/>
      <c r="M17" s="81" t="s">
        <v>231</v>
      </c>
    </row>
    <row r="18" ht="22.5" customHeight="1">
      <c r="B18" s="81" t="s">
        <v>232</v>
      </c>
      <c r="C18" s="81" t="s">
        <v>233</v>
      </c>
      <c r="D18" s="83" t="s">
        <v>235</v>
      </c>
      <c r="E18" s="82" t="s">
        <v>237</v>
      </c>
      <c r="F18" s="82" t="s">
        <v>238</v>
      </c>
      <c r="G18" s="82" t="s">
        <v>240</v>
      </c>
      <c r="H18" s="84" t="s">
        <v>10</v>
      </c>
      <c r="I18" s="85" t="s">
        <v>8</v>
      </c>
      <c r="J18" s="84" t="s">
        <v>78</v>
      </c>
      <c r="K18" s="84" t="s">
        <v>77</v>
      </c>
      <c r="L18" s="86"/>
      <c r="M18" s="81" t="s">
        <v>242</v>
      </c>
    </row>
    <row r="19" ht="22.5" customHeight="1">
      <c r="B19" s="81" t="s">
        <v>222</v>
      </c>
      <c r="C19" s="81" t="s">
        <v>234</v>
      </c>
      <c r="D19" s="83" t="s">
        <v>246</v>
      </c>
      <c r="E19" s="82" t="s">
        <v>224</v>
      </c>
      <c r="F19" s="82" t="s">
        <v>250</v>
      </c>
      <c r="G19" s="82" t="s">
        <v>251</v>
      </c>
      <c r="H19" s="84" t="s">
        <v>10</v>
      </c>
      <c r="I19" s="85" t="s">
        <v>8</v>
      </c>
      <c r="J19" s="84" t="s">
        <v>78</v>
      </c>
      <c r="K19" s="84" t="s">
        <v>77</v>
      </c>
      <c r="L19" s="86"/>
      <c r="M19" s="81" t="s">
        <v>252</v>
      </c>
    </row>
    <row r="20" ht="22.5" customHeight="1">
      <c r="B20" s="81" t="s">
        <v>222</v>
      </c>
      <c r="C20" s="81" t="s">
        <v>256</v>
      </c>
      <c r="D20" s="83" t="s">
        <v>258</v>
      </c>
      <c r="E20" s="82" t="s">
        <v>224</v>
      </c>
      <c r="F20" s="82" t="s">
        <v>261</v>
      </c>
      <c r="G20" s="82" t="s">
        <v>262</v>
      </c>
      <c r="H20" s="84" t="s">
        <v>10</v>
      </c>
      <c r="I20" s="85" t="s">
        <v>8</v>
      </c>
      <c r="J20" s="84" t="s">
        <v>78</v>
      </c>
      <c r="K20" s="84" t="s">
        <v>77</v>
      </c>
      <c r="L20" s="86"/>
      <c r="M20" s="81" t="s">
        <v>263</v>
      </c>
    </row>
    <row r="21" ht="22.5" customHeight="1">
      <c r="B21" s="81" t="s">
        <v>222</v>
      </c>
      <c r="C21" s="81" t="s">
        <v>256</v>
      </c>
      <c r="D21" s="83" t="s">
        <v>270</v>
      </c>
      <c r="E21" s="82" t="s">
        <v>224</v>
      </c>
      <c r="F21" s="82" t="s">
        <v>261</v>
      </c>
      <c r="G21" s="82" t="s">
        <v>271</v>
      </c>
      <c r="H21" s="84" t="s">
        <v>42</v>
      </c>
      <c r="I21" s="85" t="s">
        <v>8</v>
      </c>
      <c r="J21" s="84" t="s">
        <v>78</v>
      </c>
      <c r="K21" s="84" t="s">
        <v>77</v>
      </c>
      <c r="L21" s="86"/>
      <c r="M21" s="81" t="s">
        <v>272</v>
      </c>
    </row>
    <row r="22" ht="22.5" customHeight="1">
      <c r="B22" s="81" t="s">
        <v>278</v>
      </c>
      <c r="C22" s="81" t="s">
        <v>280</v>
      </c>
      <c r="D22" s="83" t="s">
        <v>281</v>
      </c>
      <c r="E22" s="82" t="s">
        <v>282</v>
      </c>
      <c r="F22" s="82" t="s">
        <v>283</v>
      </c>
      <c r="G22" s="82" t="s">
        <v>284</v>
      </c>
      <c r="H22" s="84" t="s">
        <v>42</v>
      </c>
      <c r="I22" s="85" t="s">
        <v>8</v>
      </c>
      <c r="J22" s="84" t="s">
        <v>78</v>
      </c>
      <c r="K22" s="84" t="s">
        <v>77</v>
      </c>
      <c r="L22" s="86"/>
      <c r="M22" s="81" t="s">
        <v>286</v>
      </c>
    </row>
    <row r="23" ht="22.5" customHeight="1">
      <c r="B23" s="81" t="s">
        <v>278</v>
      </c>
      <c r="C23" s="81" t="s">
        <v>292</v>
      </c>
      <c r="D23" s="83" t="s">
        <v>293</v>
      </c>
      <c r="E23" s="82" t="s">
        <v>282</v>
      </c>
      <c r="F23" s="82" t="s">
        <v>294</v>
      </c>
      <c r="G23" s="82" t="s">
        <v>295</v>
      </c>
      <c r="H23" s="84" t="s">
        <v>10</v>
      </c>
      <c r="I23" s="85" t="s">
        <v>8</v>
      </c>
      <c r="J23" s="84" t="s">
        <v>78</v>
      </c>
      <c r="K23" s="84" t="s">
        <v>77</v>
      </c>
      <c r="L23" s="86"/>
      <c r="M23" s="81" t="s">
        <v>296</v>
      </c>
    </row>
    <row r="24" ht="22.5" customHeight="1">
      <c r="B24" s="81" t="s">
        <v>278</v>
      </c>
      <c r="C24" s="81" t="s">
        <v>303</v>
      </c>
      <c r="D24" s="83" t="s">
        <v>304</v>
      </c>
      <c r="E24" s="82" t="s">
        <v>282</v>
      </c>
      <c r="F24" s="82" t="s">
        <v>305</v>
      </c>
      <c r="G24" s="82" t="s">
        <v>306</v>
      </c>
      <c r="H24" s="84" t="s">
        <v>10</v>
      </c>
      <c r="I24" s="85" t="s">
        <v>8</v>
      </c>
      <c r="J24" s="84" t="s">
        <v>78</v>
      </c>
      <c r="K24" s="84" t="s">
        <v>77</v>
      </c>
      <c r="L24" s="86"/>
      <c r="M24" s="81" t="s">
        <v>307</v>
      </c>
    </row>
    <row r="25" ht="22.5" customHeight="1">
      <c r="B25" s="81" t="s">
        <v>314</v>
      </c>
      <c r="C25" s="81" t="s">
        <v>315</v>
      </c>
      <c r="D25" s="83" t="s">
        <v>316</v>
      </c>
      <c r="E25" s="82" t="s">
        <v>317</v>
      </c>
      <c r="F25" s="82" t="s">
        <v>318</v>
      </c>
      <c r="G25" s="82" t="s">
        <v>319</v>
      </c>
      <c r="H25" s="84" t="s">
        <v>10</v>
      </c>
      <c r="I25" s="85" t="s">
        <v>8</v>
      </c>
      <c r="J25" s="84" t="s">
        <v>78</v>
      </c>
      <c r="K25" s="84" t="s">
        <v>77</v>
      </c>
      <c r="L25" s="86"/>
      <c r="M25" s="81" t="s">
        <v>320</v>
      </c>
    </row>
    <row r="26" ht="22.5" customHeight="1">
      <c r="B26" s="81" t="s">
        <v>314</v>
      </c>
      <c r="C26" s="81" t="s">
        <v>322</v>
      </c>
      <c r="D26" s="83" t="s">
        <v>327</v>
      </c>
      <c r="E26" s="82" t="s">
        <v>317</v>
      </c>
      <c r="F26" s="82" t="s">
        <v>328</v>
      </c>
      <c r="G26" s="82" t="s">
        <v>329</v>
      </c>
      <c r="H26" s="84" t="s">
        <v>67</v>
      </c>
      <c r="I26" s="85" t="s">
        <v>8</v>
      </c>
      <c r="J26" s="84" t="s">
        <v>76</v>
      </c>
      <c r="K26" s="84" t="s">
        <v>77</v>
      </c>
      <c r="L26" s="86"/>
      <c r="M26" s="81" t="s">
        <v>336</v>
      </c>
    </row>
    <row r="27" ht="22.5" customHeight="1">
      <c r="B27" s="81" t="s">
        <v>314</v>
      </c>
      <c r="C27" s="81" t="s">
        <v>337</v>
      </c>
      <c r="D27" s="83" t="s">
        <v>338</v>
      </c>
      <c r="E27" s="82" t="s">
        <v>317</v>
      </c>
      <c r="F27" s="82" t="s">
        <v>339</v>
      </c>
      <c r="G27" s="82" t="s">
        <v>340</v>
      </c>
      <c r="H27" s="84" t="s">
        <v>67</v>
      </c>
      <c r="I27" s="85" t="s">
        <v>8</v>
      </c>
      <c r="J27" s="84" t="s">
        <v>76</v>
      </c>
      <c r="K27" s="84" t="s">
        <v>77</v>
      </c>
      <c r="L27" s="86"/>
      <c r="M27" s="81" t="s">
        <v>346</v>
      </c>
    </row>
    <row r="28" ht="22.5" customHeight="1">
      <c r="B28" s="81" t="s">
        <v>314</v>
      </c>
      <c r="C28" s="81" t="s">
        <v>348</v>
      </c>
      <c r="D28" s="83" t="s">
        <v>349</v>
      </c>
      <c r="E28" s="82" t="s">
        <v>317</v>
      </c>
      <c r="F28" s="82" t="s">
        <v>354</v>
      </c>
      <c r="G28" s="82" t="s">
        <v>363</v>
      </c>
      <c r="H28" s="84" t="s">
        <v>67</v>
      </c>
      <c r="I28" s="85" t="s">
        <v>8</v>
      </c>
      <c r="J28" s="84" t="s">
        <v>76</v>
      </c>
      <c r="K28" s="84" t="s">
        <v>77</v>
      </c>
      <c r="L28" s="86"/>
      <c r="M28" s="81" t="s">
        <v>364</v>
      </c>
    </row>
    <row r="29" ht="22.5" customHeight="1">
      <c r="B29" s="81" t="s">
        <v>314</v>
      </c>
      <c r="C29" s="81" t="s">
        <v>348</v>
      </c>
      <c r="D29" s="83" t="s">
        <v>371</v>
      </c>
      <c r="E29" s="82" t="s">
        <v>317</v>
      </c>
      <c r="F29" s="82" t="s">
        <v>354</v>
      </c>
      <c r="G29" s="82" t="s">
        <v>372</v>
      </c>
      <c r="H29" s="84" t="s">
        <v>67</v>
      </c>
      <c r="I29" s="85" t="s">
        <v>8</v>
      </c>
      <c r="J29" s="84" t="s">
        <v>76</v>
      </c>
      <c r="K29" s="84" t="s">
        <v>77</v>
      </c>
      <c r="L29" s="86"/>
      <c r="M29" s="81" t="s">
        <v>375</v>
      </c>
    </row>
    <row r="30" ht="22.5" customHeight="1">
      <c r="B30" s="81" t="s">
        <v>380</v>
      </c>
      <c r="C30" s="81" t="s">
        <v>381</v>
      </c>
      <c r="D30" s="83" t="s">
        <v>382</v>
      </c>
      <c r="E30" s="82" t="s">
        <v>383</v>
      </c>
      <c r="F30" s="82" t="s">
        <v>384</v>
      </c>
      <c r="G30" s="82" t="s">
        <v>385</v>
      </c>
      <c r="H30" s="84" t="s">
        <v>67</v>
      </c>
      <c r="I30" s="85" t="s">
        <v>8</v>
      </c>
      <c r="J30" s="84" t="s">
        <v>76</v>
      </c>
      <c r="K30" s="84" t="s">
        <v>77</v>
      </c>
      <c r="L30" s="86"/>
      <c r="M30" s="81" t="s">
        <v>390</v>
      </c>
    </row>
    <row r="31" ht="22.5" customHeight="1">
      <c r="B31" s="81" t="s">
        <v>380</v>
      </c>
      <c r="C31" s="81" t="s">
        <v>391</v>
      </c>
      <c r="D31" s="83" t="s">
        <v>392</v>
      </c>
      <c r="E31" s="82" t="s">
        <v>383</v>
      </c>
      <c r="F31" s="82" t="s">
        <v>393</v>
      </c>
      <c r="G31" s="82" t="s">
        <v>394</v>
      </c>
      <c r="H31" s="84" t="s">
        <v>67</v>
      </c>
      <c r="I31" s="85" t="s">
        <v>8</v>
      </c>
      <c r="J31" s="84" t="s">
        <v>76</v>
      </c>
      <c r="K31" s="84" t="s">
        <v>77</v>
      </c>
      <c r="L31" s="86"/>
      <c r="M31" s="81" t="s">
        <v>401</v>
      </c>
    </row>
    <row r="32" ht="22.5" customHeight="1">
      <c r="B32" s="81" t="s">
        <v>380</v>
      </c>
      <c r="C32" s="81" t="s">
        <v>391</v>
      </c>
      <c r="D32" s="83" t="s">
        <v>402</v>
      </c>
      <c r="E32" s="82" t="s">
        <v>383</v>
      </c>
      <c r="F32" s="82" t="s">
        <v>393</v>
      </c>
      <c r="G32" s="82" t="s">
        <v>405</v>
      </c>
      <c r="H32" s="84" t="s">
        <v>67</v>
      </c>
      <c r="I32" s="85" t="s">
        <v>8</v>
      </c>
      <c r="J32" s="84" t="s">
        <v>76</v>
      </c>
      <c r="K32" s="84" t="s">
        <v>77</v>
      </c>
      <c r="L32" s="86"/>
      <c r="M32" s="81" t="s">
        <v>410</v>
      </c>
    </row>
    <row r="33" ht="22.5" customHeight="1">
      <c r="B33" s="81" t="s">
        <v>314</v>
      </c>
      <c r="C33" s="81" t="s">
        <v>411</v>
      </c>
      <c r="D33" s="83" t="s">
        <v>412</v>
      </c>
      <c r="E33" s="82" t="s">
        <v>317</v>
      </c>
      <c r="F33" s="82" t="s">
        <v>413</v>
      </c>
      <c r="G33" s="82" t="s">
        <v>415</v>
      </c>
      <c r="H33" s="84" t="s">
        <v>42</v>
      </c>
      <c r="I33" s="85" t="s">
        <v>8</v>
      </c>
      <c r="J33" s="84" t="s">
        <v>78</v>
      </c>
      <c r="K33" s="84" t="s">
        <v>77</v>
      </c>
      <c r="L33" s="86"/>
      <c r="M33" s="81" t="s">
        <v>419</v>
      </c>
    </row>
    <row r="34" ht="22.5" customHeight="1">
      <c r="B34" s="81" t="s">
        <v>420</v>
      </c>
      <c r="C34" s="81" t="s">
        <v>421</v>
      </c>
      <c r="D34" s="83" t="s">
        <v>422</v>
      </c>
      <c r="E34" s="82" t="s">
        <v>423</v>
      </c>
      <c r="F34" s="82" t="s">
        <v>424</v>
      </c>
      <c r="G34" s="82" t="s">
        <v>426</v>
      </c>
      <c r="H34" s="84" t="s">
        <v>10</v>
      </c>
      <c r="I34" s="85" t="s">
        <v>8</v>
      </c>
      <c r="J34" s="84" t="s">
        <v>78</v>
      </c>
      <c r="K34" s="84" t="s">
        <v>77</v>
      </c>
      <c r="L34" s="86"/>
      <c r="M34" s="81" t="s">
        <v>430</v>
      </c>
    </row>
    <row r="35" ht="22.5" customHeight="1">
      <c r="B35" s="81" t="s">
        <v>420</v>
      </c>
      <c r="C35" s="81" t="s">
        <v>358</v>
      </c>
      <c r="D35" s="83" t="s">
        <v>431</v>
      </c>
      <c r="E35" s="82" t="s">
        <v>423</v>
      </c>
      <c r="F35" s="82" t="s">
        <v>432</v>
      </c>
      <c r="G35" s="82" t="s">
        <v>433</v>
      </c>
      <c r="H35" s="84" t="s">
        <v>42</v>
      </c>
      <c r="I35" s="85" t="s">
        <v>8</v>
      </c>
      <c r="J35" s="84" t="s">
        <v>78</v>
      </c>
      <c r="K35" s="84" t="s">
        <v>77</v>
      </c>
      <c r="L35" s="86"/>
      <c r="M35" s="81" t="s">
        <v>438</v>
      </c>
    </row>
    <row r="36" ht="15.75" customHeight="1">
      <c r="B36" s="81" t="s">
        <v>420</v>
      </c>
      <c r="C36" s="81" t="s">
        <v>358</v>
      </c>
      <c r="D36" s="83" t="s">
        <v>439</v>
      </c>
      <c r="E36" s="82" t="s">
        <v>423</v>
      </c>
      <c r="F36" s="82" t="s">
        <v>432</v>
      </c>
      <c r="G36" s="82" t="s">
        <v>440</v>
      </c>
      <c r="H36" s="84" t="s">
        <v>42</v>
      </c>
      <c r="I36" s="85" t="s">
        <v>8</v>
      </c>
      <c r="J36" s="84" t="s">
        <v>78</v>
      </c>
      <c r="K36" s="84" t="s">
        <v>77</v>
      </c>
      <c r="L36" s="86"/>
      <c r="M36" s="81" t="s">
        <v>445</v>
      </c>
    </row>
    <row r="37" ht="15.75" customHeight="1">
      <c r="B37" s="81" t="s">
        <v>420</v>
      </c>
      <c r="C37" s="81" t="s">
        <v>448</v>
      </c>
      <c r="D37" s="83" t="s">
        <v>450</v>
      </c>
      <c r="E37" s="82" t="s">
        <v>423</v>
      </c>
      <c r="F37" s="82" t="s">
        <v>453</v>
      </c>
      <c r="G37" s="82" t="s">
        <v>455</v>
      </c>
      <c r="H37" s="84" t="s">
        <v>10</v>
      </c>
      <c r="I37" s="85" t="s">
        <v>8</v>
      </c>
      <c r="J37" s="84" t="s">
        <v>78</v>
      </c>
      <c r="K37" s="84" t="s">
        <v>77</v>
      </c>
      <c r="L37" s="86"/>
      <c r="M37" s="81" t="s">
        <v>456</v>
      </c>
    </row>
    <row r="38" ht="15.75" customHeight="1">
      <c r="B38" s="81" t="s">
        <v>420</v>
      </c>
      <c r="C38" s="81" t="s">
        <v>448</v>
      </c>
      <c r="D38" s="83" t="s">
        <v>457</v>
      </c>
      <c r="E38" s="82" t="s">
        <v>423</v>
      </c>
      <c r="F38" s="82" t="s">
        <v>453</v>
      </c>
      <c r="G38" s="82" t="s">
        <v>460</v>
      </c>
      <c r="H38" s="84" t="s">
        <v>10</v>
      </c>
      <c r="I38" s="85" t="s">
        <v>8</v>
      </c>
      <c r="J38" s="84" t="s">
        <v>78</v>
      </c>
      <c r="K38" s="84" t="s">
        <v>77</v>
      </c>
      <c r="L38" s="86"/>
      <c r="M38" s="81" t="s">
        <v>463</v>
      </c>
    </row>
    <row r="39" ht="15.75" customHeight="1">
      <c r="B39" s="81" t="s">
        <v>420</v>
      </c>
      <c r="C39" s="81" t="s">
        <v>468</v>
      </c>
      <c r="D39" s="83" t="s">
        <v>469</v>
      </c>
      <c r="E39" s="82" t="s">
        <v>423</v>
      </c>
      <c r="F39" s="82" t="s">
        <v>470</v>
      </c>
      <c r="G39" s="82" t="s">
        <v>471</v>
      </c>
      <c r="H39" s="84" t="s">
        <v>42</v>
      </c>
      <c r="I39" s="85" t="s">
        <v>8</v>
      </c>
      <c r="J39" s="84" t="s">
        <v>78</v>
      </c>
      <c r="K39" s="84" t="s">
        <v>77</v>
      </c>
      <c r="L39" s="86"/>
      <c r="M39" s="81" t="s">
        <v>476</v>
      </c>
    </row>
    <row r="40" ht="15.75" customHeight="1">
      <c r="B40" s="81" t="s">
        <v>489</v>
      </c>
      <c r="C40" s="81" t="s">
        <v>490</v>
      </c>
      <c r="D40" s="83" t="s">
        <v>491</v>
      </c>
      <c r="E40" s="82" t="s">
        <v>492</v>
      </c>
      <c r="F40" s="82" t="s">
        <v>493</v>
      </c>
      <c r="G40" s="82" t="s">
        <v>494</v>
      </c>
      <c r="H40" s="84" t="s">
        <v>42</v>
      </c>
      <c r="I40" s="85" t="s">
        <v>8</v>
      </c>
      <c r="J40" s="84" t="s">
        <v>78</v>
      </c>
      <c r="K40" s="84" t="s">
        <v>77</v>
      </c>
      <c r="L40" s="86"/>
      <c r="M40" s="81" t="s">
        <v>497</v>
      </c>
    </row>
    <row r="41" ht="15.75" customHeight="1">
      <c r="B41" s="81" t="s">
        <v>420</v>
      </c>
      <c r="C41" s="81" t="s">
        <v>500</v>
      </c>
      <c r="D41" s="83" t="s">
        <v>501</v>
      </c>
      <c r="E41" s="82" t="s">
        <v>423</v>
      </c>
      <c r="F41" s="82" t="s">
        <v>502</v>
      </c>
      <c r="G41" s="82" t="s">
        <v>503</v>
      </c>
      <c r="H41" s="84" t="s">
        <v>67</v>
      </c>
      <c r="I41" s="85" t="s">
        <v>8</v>
      </c>
      <c r="J41" s="84" t="s">
        <v>76</v>
      </c>
      <c r="K41" s="84" t="s">
        <v>77</v>
      </c>
      <c r="L41" s="86"/>
      <c r="M41" s="81" t="s">
        <v>508</v>
      </c>
    </row>
    <row r="42" ht="15.75" customHeight="1">
      <c r="B42" s="81" t="s">
        <v>509</v>
      </c>
      <c r="C42" s="81" t="s">
        <v>510</v>
      </c>
      <c r="D42" s="83" t="s">
        <v>511</v>
      </c>
      <c r="E42" s="82" t="s">
        <v>512</v>
      </c>
      <c r="F42" s="82" t="s">
        <v>514</v>
      </c>
      <c r="G42" s="82" t="s">
        <v>516</v>
      </c>
      <c r="H42" s="84" t="s">
        <v>10</v>
      </c>
      <c r="I42" s="85" t="s">
        <v>8</v>
      </c>
      <c r="J42" s="84" t="s">
        <v>78</v>
      </c>
      <c r="K42" s="84" t="s">
        <v>77</v>
      </c>
      <c r="L42" s="86"/>
      <c r="M42" s="81" t="s">
        <v>519</v>
      </c>
    </row>
    <row r="43" ht="15.75" customHeight="1">
      <c r="B43" s="81" t="s">
        <v>509</v>
      </c>
      <c r="C43" s="81" t="s">
        <v>520</v>
      </c>
      <c r="D43" s="83" t="s">
        <v>521</v>
      </c>
      <c r="E43" s="82" t="s">
        <v>512</v>
      </c>
      <c r="F43" s="82" t="s">
        <v>523</v>
      </c>
      <c r="G43" s="82" t="s">
        <v>524</v>
      </c>
      <c r="H43" s="84" t="s">
        <v>10</v>
      </c>
      <c r="I43" s="85" t="s">
        <v>8</v>
      </c>
      <c r="J43" s="84" t="s">
        <v>78</v>
      </c>
      <c r="K43" s="84" t="s">
        <v>77</v>
      </c>
      <c r="L43" s="86"/>
      <c r="M43" s="81" t="s">
        <v>526</v>
      </c>
    </row>
    <row r="44" ht="15.75" customHeight="1">
      <c r="B44" s="81" t="s">
        <v>509</v>
      </c>
      <c r="C44" s="81" t="s">
        <v>528</v>
      </c>
      <c r="D44" s="83" t="s">
        <v>529</v>
      </c>
      <c r="E44" s="82" t="s">
        <v>512</v>
      </c>
      <c r="F44" s="82" t="s">
        <v>531</v>
      </c>
      <c r="G44" s="82" t="s">
        <v>532</v>
      </c>
      <c r="H44" s="84" t="s">
        <v>10</v>
      </c>
      <c r="I44" s="85" t="s">
        <v>8</v>
      </c>
      <c r="J44" s="84" t="s">
        <v>78</v>
      </c>
      <c r="K44" s="84" t="s">
        <v>77</v>
      </c>
      <c r="L44" s="86"/>
      <c r="M44" s="81" t="s">
        <v>533</v>
      </c>
    </row>
    <row r="45" ht="15.75" customHeight="1">
      <c r="B45" s="81" t="s">
        <v>509</v>
      </c>
      <c r="C45" s="81" t="s">
        <v>536</v>
      </c>
      <c r="D45" s="83" t="s">
        <v>537</v>
      </c>
      <c r="E45" s="82" t="s">
        <v>512</v>
      </c>
      <c r="F45" s="82" t="s">
        <v>538</v>
      </c>
      <c r="G45" s="82" t="s">
        <v>539</v>
      </c>
      <c r="H45" s="84" t="s">
        <v>10</v>
      </c>
      <c r="I45" s="85" t="s">
        <v>8</v>
      </c>
      <c r="J45" s="84" t="s">
        <v>78</v>
      </c>
      <c r="K45" s="84" t="s">
        <v>77</v>
      </c>
      <c r="L45" s="86"/>
      <c r="M45" s="81" t="s">
        <v>540</v>
      </c>
    </row>
    <row r="46" ht="15.75" customHeight="1">
      <c r="B46" s="81" t="s">
        <v>509</v>
      </c>
      <c r="C46" s="81" t="s">
        <v>386</v>
      </c>
      <c r="D46" s="83" t="s">
        <v>543</v>
      </c>
      <c r="E46" s="82" t="s">
        <v>512</v>
      </c>
      <c r="F46" s="82" t="s">
        <v>544</v>
      </c>
      <c r="G46" s="82" t="s">
        <v>545</v>
      </c>
      <c r="H46" s="84" t="s">
        <v>67</v>
      </c>
      <c r="I46" s="85" t="s">
        <v>8</v>
      </c>
      <c r="J46" s="84" t="s">
        <v>76</v>
      </c>
      <c r="K46" s="84" t="s">
        <v>77</v>
      </c>
      <c r="L46" s="86"/>
      <c r="M46" s="81" t="s">
        <v>546</v>
      </c>
    </row>
    <row r="47" ht="15.75" customHeight="1">
      <c r="B47" s="81" t="s">
        <v>549</v>
      </c>
      <c r="C47" s="81" t="s">
        <v>550</v>
      </c>
      <c r="D47" s="83" t="s">
        <v>551</v>
      </c>
      <c r="E47" s="82" t="s">
        <v>552</v>
      </c>
      <c r="F47" s="82" t="s">
        <v>553</v>
      </c>
      <c r="G47" s="82" t="s">
        <v>554</v>
      </c>
      <c r="H47" s="84" t="s">
        <v>10</v>
      </c>
      <c r="I47" s="85" t="s">
        <v>8</v>
      </c>
      <c r="J47" s="84" t="s">
        <v>89</v>
      </c>
      <c r="K47" s="84" t="s">
        <v>77</v>
      </c>
      <c r="L47" s="86"/>
      <c r="M47" s="81" t="s">
        <v>555</v>
      </c>
    </row>
    <row r="48" ht="15.75" customHeight="1">
      <c r="B48" s="81" t="s">
        <v>549</v>
      </c>
      <c r="C48" s="81" t="s">
        <v>425</v>
      </c>
      <c r="D48" s="83" t="s">
        <v>558</v>
      </c>
      <c r="E48" s="82" t="s">
        <v>552</v>
      </c>
      <c r="F48" s="82" t="s">
        <v>559</v>
      </c>
      <c r="G48" s="82" t="s">
        <v>560</v>
      </c>
      <c r="H48" s="84" t="s">
        <v>10</v>
      </c>
      <c r="I48" s="85" t="s">
        <v>8</v>
      </c>
      <c r="J48" s="84" t="s">
        <v>89</v>
      </c>
      <c r="K48" s="84" t="s">
        <v>77</v>
      </c>
      <c r="L48" s="86"/>
      <c r="M48" s="81" t="s">
        <v>562</v>
      </c>
    </row>
    <row r="49" ht="15.75" customHeight="1">
      <c r="B49" s="81" t="s">
        <v>549</v>
      </c>
      <c r="C49" s="81" t="s">
        <v>434</v>
      </c>
      <c r="D49" s="83" t="s">
        <v>564</v>
      </c>
      <c r="E49" s="82" t="s">
        <v>552</v>
      </c>
      <c r="F49" s="82" t="s">
        <v>565</v>
      </c>
      <c r="G49" s="82" t="s">
        <v>566</v>
      </c>
      <c r="H49" s="84" t="s">
        <v>10</v>
      </c>
      <c r="I49" s="85" t="s">
        <v>8</v>
      </c>
      <c r="J49" s="84" t="s">
        <v>78</v>
      </c>
      <c r="K49" s="84" t="s">
        <v>77</v>
      </c>
      <c r="L49" s="86"/>
      <c r="M49" s="81" t="s">
        <v>568</v>
      </c>
    </row>
    <row r="50" ht="15.75" customHeight="1">
      <c r="B50" s="81" t="s">
        <v>549</v>
      </c>
      <c r="C50" s="81" t="s">
        <v>441</v>
      </c>
      <c r="D50" s="83" t="s">
        <v>570</v>
      </c>
      <c r="E50" s="82" t="s">
        <v>552</v>
      </c>
      <c r="F50" s="82" t="s">
        <v>571</v>
      </c>
      <c r="G50" s="82" t="s">
        <v>572</v>
      </c>
      <c r="H50" s="84" t="s">
        <v>10</v>
      </c>
      <c r="I50" s="85" t="s">
        <v>8</v>
      </c>
      <c r="J50" s="84" t="s">
        <v>78</v>
      </c>
      <c r="K50" s="84" t="s">
        <v>77</v>
      </c>
      <c r="L50" s="86"/>
      <c r="M50" s="81" t="s">
        <v>574</v>
      </c>
    </row>
    <row r="51" ht="15.75" customHeight="1">
      <c r="B51" s="81" t="s">
        <v>576</v>
      </c>
      <c r="C51" s="81" t="s">
        <v>447</v>
      </c>
      <c r="D51" s="83" t="s">
        <v>577</v>
      </c>
      <c r="E51" s="82" t="s">
        <v>578</v>
      </c>
      <c r="F51" s="82" t="s">
        <v>579</v>
      </c>
      <c r="G51" s="82" t="s">
        <v>580</v>
      </c>
      <c r="H51" s="84" t="s">
        <v>10</v>
      </c>
      <c r="I51" s="85" t="s">
        <v>8</v>
      </c>
      <c r="J51" s="84" t="s">
        <v>89</v>
      </c>
      <c r="K51" s="84" t="s">
        <v>77</v>
      </c>
      <c r="L51" s="86"/>
      <c r="M51" s="81" t="s">
        <v>583</v>
      </c>
    </row>
    <row r="52" ht="15.75" customHeight="1">
      <c r="B52" s="81" t="s">
        <v>576</v>
      </c>
      <c r="C52" s="81" t="s">
        <v>458</v>
      </c>
      <c r="D52" s="83" t="s">
        <v>585</v>
      </c>
      <c r="E52" s="82" t="s">
        <v>578</v>
      </c>
      <c r="F52" s="82" t="s">
        <v>586</v>
      </c>
      <c r="G52" s="82" t="s">
        <v>587</v>
      </c>
      <c r="H52" s="84" t="s">
        <v>10</v>
      </c>
      <c r="I52" s="85" t="s">
        <v>8</v>
      </c>
      <c r="J52" s="84" t="s">
        <v>89</v>
      </c>
      <c r="K52" s="84" t="s">
        <v>77</v>
      </c>
      <c r="L52" s="86"/>
      <c r="M52" s="81" t="s">
        <v>589</v>
      </c>
    </row>
    <row r="53" ht="15.75" customHeight="1">
      <c r="B53" s="81" t="s">
        <v>576</v>
      </c>
      <c r="C53" s="81" t="s">
        <v>591</v>
      </c>
      <c r="D53" s="83" t="s">
        <v>592</v>
      </c>
      <c r="E53" s="82" t="s">
        <v>578</v>
      </c>
      <c r="F53" s="82" t="s">
        <v>593</v>
      </c>
      <c r="G53" s="82" t="s">
        <v>594</v>
      </c>
      <c r="H53" s="84" t="s">
        <v>10</v>
      </c>
      <c r="I53" s="85" t="s">
        <v>8</v>
      </c>
      <c r="J53" s="84" t="s">
        <v>78</v>
      </c>
      <c r="K53" s="84" t="s">
        <v>77</v>
      </c>
      <c r="L53" s="86"/>
      <c r="M53" s="81" t="s">
        <v>595</v>
      </c>
    </row>
    <row r="54" ht="15.75" customHeight="1">
      <c r="B54" s="81" t="s">
        <v>598</v>
      </c>
      <c r="C54" s="81" t="s">
        <v>599</v>
      </c>
      <c r="D54" s="83" t="s">
        <v>600</v>
      </c>
      <c r="E54" s="82" t="s">
        <v>601</v>
      </c>
      <c r="F54" s="82" t="s">
        <v>602</v>
      </c>
      <c r="G54" s="82" t="s">
        <v>603</v>
      </c>
      <c r="H54" s="84" t="s">
        <v>67</v>
      </c>
      <c r="I54" s="85" t="s">
        <v>8</v>
      </c>
      <c r="J54" s="84" t="s">
        <v>76</v>
      </c>
      <c r="K54" s="84" t="s">
        <v>77</v>
      </c>
      <c r="L54" s="86"/>
      <c r="M54" s="81" t="s">
        <v>604</v>
      </c>
    </row>
    <row r="55" ht="15.75" customHeight="1">
      <c r="B55" s="81" t="s">
        <v>607</v>
      </c>
      <c r="C55" s="81" t="s">
        <v>608</v>
      </c>
      <c r="D55" s="83" t="s">
        <v>609</v>
      </c>
      <c r="E55" s="82" t="s">
        <v>610</v>
      </c>
      <c r="F55" s="82" t="s">
        <v>611</v>
      </c>
      <c r="G55" s="82" t="s">
        <v>612</v>
      </c>
      <c r="H55" s="84" t="s">
        <v>10</v>
      </c>
      <c r="I55" s="85" t="s">
        <v>8</v>
      </c>
      <c r="J55" s="84" t="s">
        <v>78</v>
      </c>
      <c r="K55" s="84" t="s">
        <v>77</v>
      </c>
      <c r="L55" s="86"/>
      <c r="M55" s="81" t="s">
        <v>613</v>
      </c>
    </row>
    <row r="56" ht="15.75" customHeight="1">
      <c r="B56" s="81" t="s">
        <v>607</v>
      </c>
      <c r="C56" s="81" t="s">
        <v>495</v>
      </c>
      <c r="D56" s="83" t="s">
        <v>616</v>
      </c>
      <c r="E56" s="82" t="s">
        <v>610</v>
      </c>
      <c r="F56" s="82" t="s">
        <v>617</v>
      </c>
      <c r="G56" s="82" t="s">
        <v>618</v>
      </c>
      <c r="H56" s="84" t="s">
        <v>10</v>
      </c>
      <c r="I56" s="85" t="s">
        <v>8</v>
      </c>
      <c r="J56" s="84" t="s">
        <v>78</v>
      </c>
      <c r="K56" s="84" t="s">
        <v>77</v>
      </c>
      <c r="L56" s="86"/>
      <c r="M56" s="81" t="s">
        <v>619</v>
      </c>
    </row>
    <row r="57" ht="15.75" customHeight="1">
      <c r="B57" s="81" t="s">
        <v>620</v>
      </c>
      <c r="C57" s="81" t="s">
        <v>621</v>
      </c>
      <c r="D57" s="83" t="s">
        <v>622</v>
      </c>
      <c r="E57" s="82" t="s">
        <v>623</v>
      </c>
      <c r="F57" s="82" t="s">
        <v>624</v>
      </c>
      <c r="G57" s="82" t="s">
        <v>625</v>
      </c>
      <c r="H57" s="84" t="s">
        <v>10</v>
      </c>
      <c r="I57" s="85" t="s">
        <v>8</v>
      </c>
      <c r="J57" s="84" t="s">
        <v>89</v>
      </c>
      <c r="K57" s="84" t="s">
        <v>77</v>
      </c>
      <c r="L57" s="86"/>
      <c r="M57" s="81" t="s">
        <v>626</v>
      </c>
    </row>
    <row r="58" ht="15.75" customHeight="1">
      <c r="B58" s="81" t="s">
        <v>620</v>
      </c>
      <c r="C58" s="81" t="s">
        <v>627</v>
      </c>
      <c r="D58" s="83" t="s">
        <v>628</v>
      </c>
      <c r="E58" s="82" t="s">
        <v>623</v>
      </c>
      <c r="F58" s="82" t="s">
        <v>629</v>
      </c>
      <c r="G58" s="82" t="s">
        <v>630</v>
      </c>
      <c r="H58" s="84" t="s">
        <v>10</v>
      </c>
      <c r="I58" s="85" t="s">
        <v>8</v>
      </c>
      <c r="J58" s="84" t="s">
        <v>89</v>
      </c>
      <c r="K58" s="84" t="s">
        <v>77</v>
      </c>
      <c r="L58" s="86"/>
      <c r="M58" s="81" t="s">
        <v>631</v>
      </c>
    </row>
    <row r="59" ht="15.75" customHeight="1">
      <c r="B59" s="81" t="s">
        <v>620</v>
      </c>
      <c r="C59" s="81" t="s">
        <v>632</v>
      </c>
      <c r="D59" s="83" t="s">
        <v>633</v>
      </c>
      <c r="E59" s="82" t="s">
        <v>623</v>
      </c>
      <c r="F59" s="82" t="s">
        <v>634</v>
      </c>
      <c r="G59" s="82" t="s">
        <v>635</v>
      </c>
      <c r="H59" s="84" t="s">
        <v>10</v>
      </c>
      <c r="I59" s="85" t="s">
        <v>8</v>
      </c>
      <c r="J59" s="84" t="s">
        <v>89</v>
      </c>
      <c r="K59" s="84" t="s">
        <v>77</v>
      </c>
      <c r="L59" s="86"/>
      <c r="M59" s="81" t="s">
        <v>636</v>
      </c>
    </row>
    <row r="60" ht="15.75" customHeight="1">
      <c r="B60" s="81" t="s">
        <v>620</v>
      </c>
      <c r="C60" s="81" t="s">
        <v>637</v>
      </c>
      <c r="D60" s="83" t="s">
        <v>638</v>
      </c>
      <c r="E60" s="82" t="s">
        <v>623</v>
      </c>
      <c r="F60" s="82" t="s">
        <v>639</v>
      </c>
      <c r="G60" s="82" t="s">
        <v>640</v>
      </c>
      <c r="H60" s="84" t="s">
        <v>10</v>
      </c>
      <c r="I60" s="85" t="s">
        <v>8</v>
      </c>
      <c r="J60" s="84" t="s">
        <v>89</v>
      </c>
      <c r="K60" s="84" t="s">
        <v>77</v>
      </c>
      <c r="L60" s="86"/>
      <c r="M60" s="81" t="s">
        <v>641</v>
      </c>
    </row>
    <row r="61" ht="15.75" customHeight="1">
      <c r="B61" s="81" t="s">
        <v>620</v>
      </c>
      <c r="C61" s="81" t="s">
        <v>642</v>
      </c>
      <c r="D61" s="83" t="s">
        <v>643</v>
      </c>
      <c r="E61" s="82" t="s">
        <v>623</v>
      </c>
      <c r="F61" s="82" t="s">
        <v>644</v>
      </c>
      <c r="G61" s="82" t="s">
        <v>645</v>
      </c>
      <c r="H61" s="84" t="s">
        <v>10</v>
      </c>
      <c r="I61" s="85" t="s">
        <v>8</v>
      </c>
      <c r="J61" s="84" t="s">
        <v>78</v>
      </c>
      <c r="K61" s="84" t="s">
        <v>77</v>
      </c>
      <c r="L61" s="86"/>
      <c r="M61" s="81" t="s">
        <v>646</v>
      </c>
    </row>
    <row r="62" ht="15.75" customHeight="1">
      <c r="B62" s="81" t="s">
        <v>647</v>
      </c>
      <c r="C62" s="81" t="s">
        <v>648</v>
      </c>
      <c r="D62" s="83" t="s">
        <v>649</v>
      </c>
      <c r="E62" s="82" t="s">
        <v>650</v>
      </c>
      <c r="F62" s="82" t="s">
        <v>651</v>
      </c>
      <c r="G62" s="82" t="s">
        <v>652</v>
      </c>
      <c r="H62" s="84" t="s">
        <v>10</v>
      </c>
      <c r="I62" s="85" t="s">
        <v>8</v>
      </c>
      <c r="J62" s="84" t="s">
        <v>89</v>
      </c>
      <c r="K62" s="84" t="s">
        <v>77</v>
      </c>
      <c r="L62" s="86"/>
      <c r="M62" s="81" t="s">
        <v>653</v>
      </c>
    </row>
    <row r="63" ht="15.75" customHeight="1">
      <c r="B63" s="81" t="s">
        <v>647</v>
      </c>
      <c r="C63" s="81" t="s">
        <v>654</v>
      </c>
      <c r="D63" s="83" t="s">
        <v>655</v>
      </c>
      <c r="E63" s="82" t="s">
        <v>650</v>
      </c>
      <c r="F63" s="82" t="s">
        <v>656</v>
      </c>
      <c r="G63" s="82" t="s">
        <v>657</v>
      </c>
      <c r="H63" s="84" t="s">
        <v>10</v>
      </c>
      <c r="I63" s="85" t="s">
        <v>8</v>
      </c>
      <c r="J63" s="84" t="s">
        <v>89</v>
      </c>
      <c r="K63" s="84" t="s">
        <v>77</v>
      </c>
      <c r="L63" s="86"/>
      <c r="M63" s="81" t="s">
        <v>658</v>
      </c>
    </row>
    <row r="64" ht="15.75" customHeight="1">
      <c r="B64" s="81" t="s">
        <v>647</v>
      </c>
      <c r="C64" s="81" t="s">
        <v>659</v>
      </c>
      <c r="D64" s="83" t="s">
        <v>660</v>
      </c>
      <c r="E64" s="82" t="s">
        <v>650</v>
      </c>
      <c r="F64" s="82" t="s">
        <v>661</v>
      </c>
      <c r="G64" s="82" t="s">
        <v>662</v>
      </c>
      <c r="H64" s="84" t="s">
        <v>10</v>
      </c>
      <c r="I64" s="85" t="s">
        <v>8</v>
      </c>
      <c r="J64" s="84" t="s">
        <v>89</v>
      </c>
      <c r="K64" s="84" t="s">
        <v>77</v>
      </c>
      <c r="L64" s="86"/>
      <c r="M64" s="81" t="s">
        <v>663</v>
      </c>
    </row>
    <row r="65" ht="15.75" customHeight="1">
      <c r="B65" s="81" t="s">
        <v>647</v>
      </c>
      <c r="C65" s="81" t="s">
        <v>664</v>
      </c>
      <c r="D65" s="83" t="s">
        <v>665</v>
      </c>
      <c r="E65" s="82" t="s">
        <v>650</v>
      </c>
      <c r="F65" s="82" t="s">
        <v>666</v>
      </c>
      <c r="G65" s="82" t="s">
        <v>667</v>
      </c>
      <c r="H65" s="84" t="s">
        <v>67</v>
      </c>
      <c r="I65" s="85" t="s">
        <v>8</v>
      </c>
      <c r="J65" s="84" t="s">
        <v>76</v>
      </c>
      <c r="K65" s="84" t="s">
        <v>77</v>
      </c>
      <c r="L65" s="86"/>
      <c r="M65" s="81" t="s">
        <v>668</v>
      </c>
    </row>
    <row r="66" ht="15.75" customHeight="1">
      <c r="B66" s="81" t="s">
        <v>647</v>
      </c>
      <c r="C66" s="81" t="s">
        <v>664</v>
      </c>
      <c r="D66" s="83" t="s">
        <v>669</v>
      </c>
      <c r="E66" s="82" t="s">
        <v>650</v>
      </c>
      <c r="F66" s="82" t="s">
        <v>666</v>
      </c>
      <c r="G66" s="82" t="s">
        <v>670</v>
      </c>
      <c r="H66" s="84" t="s">
        <v>67</v>
      </c>
      <c r="I66" s="85" t="s">
        <v>8</v>
      </c>
      <c r="J66" s="84" t="s">
        <v>76</v>
      </c>
      <c r="K66" s="84" t="s">
        <v>77</v>
      </c>
      <c r="L66" s="86"/>
      <c r="M66" s="81" t="s">
        <v>671</v>
      </c>
    </row>
    <row r="67" ht="15.75" customHeight="1">
      <c r="B67" s="81" t="s">
        <v>620</v>
      </c>
      <c r="C67" s="81" t="s">
        <v>513</v>
      </c>
      <c r="D67" s="83" t="s">
        <v>672</v>
      </c>
      <c r="E67" s="82" t="s">
        <v>623</v>
      </c>
      <c r="F67" s="82" t="s">
        <v>517</v>
      </c>
      <c r="G67" s="82" t="s">
        <v>673</v>
      </c>
      <c r="H67" s="84" t="s">
        <v>10</v>
      </c>
      <c r="I67" s="85" t="s">
        <v>8</v>
      </c>
      <c r="J67" s="84" t="s">
        <v>76</v>
      </c>
      <c r="K67" s="84" t="s">
        <v>77</v>
      </c>
      <c r="L67" s="86"/>
      <c r="M67" s="81" t="s">
        <v>674</v>
      </c>
    </row>
    <row r="68" ht="15.75" customHeight="1">
      <c r="B68" s="81" t="s">
        <v>222</v>
      </c>
      <c r="C68" s="81" t="s">
        <v>513</v>
      </c>
      <c r="D68" s="83" t="s">
        <v>675</v>
      </c>
      <c r="E68" s="82" t="s">
        <v>224</v>
      </c>
      <c r="F68" s="82" t="s">
        <v>517</v>
      </c>
      <c r="G68" s="82" t="s">
        <v>676</v>
      </c>
      <c r="H68" s="84" t="s">
        <v>67</v>
      </c>
      <c r="I68" s="85" t="s">
        <v>8</v>
      </c>
      <c r="J68" s="84" t="s">
        <v>76</v>
      </c>
      <c r="K68" s="84" t="s">
        <v>77</v>
      </c>
      <c r="L68" s="86"/>
      <c r="M68" s="81" t="s">
        <v>677</v>
      </c>
    </row>
    <row r="69" ht="15.75" customHeight="1">
      <c r="C69" s="68"/>
      <c r="E69" s="68"/>
      <c r="F69" s="68"/>
      <c r="G69" s="68"/>
      <c r="M69" s="68"/>
    </row>
    <row r="70" ht="15.75" customHeight="1">
      <c r="C70" s="68"/>
      <c r="E70" s="68"/>
      <c r="F70" s="68"/>
      <c r="G70" s="68"/>
      <c r="M70" s="68"/>
    </row>
    <row r="71" ht="15.75" customHeight="1">
      <c r="C71" s="68"/>
      <c r="E71" s="68"/>
      <c r="F71" s="68"/>
      <c r="G71" s="68"/>
      <c r="M71" s="68"/>
    </row>
    <row r="72" ht="15.75" customHeight="1">
      <c r="C72" s="68"/>
      <c r="E72" s="68"/>
      <c r="F72" s="68"/>
      <c r="G72" s="68"/>
      <c r="M72" s="68"/>
    </row>
    <row r="73" ht="15.75" customHeight="1">
      <c r="C73" s="68"/>
      <c r="E73" s="68"/>
      <c r="F73" s="68"/>
      <c r="G73" s="68"/>
      <c r="M73" s="68"/>
    </row>
    <row r="74" ht="15.75" customHeight="1">
      <c r="C74" s="68"/>
      <c r="E74" s="68"/>
      <c r="F74" s="68"/>
      <c r="G74" s="68"/>
      <c r="M74" s="68"/>
    </row>
    <row r="75" ht="15.75" customHeight="1">
      <c r="C75" s="68"/>
      <c r="E75" s="68"/>
      <c r="F75" s="68"/>
      <c r="G75" s="68"/>
      <c r="M75" s="68"/>
    </row>
    <row r="76" ht="15.75" customHeight="1">
      <c r="C76" s="68"/>
      <c r="E76" s="68"/>
      <c r="F76" s="68"/>
      <c r="G76" s="68"/>
      <c r="M76" s="68"/>
    </row>
    <row r="77" ht="15.75" customHeight="1">
      <c r="C77" s="68"/>
      <c r="E77" s="68"/>
      <c r="F77" s="68"/>
      <c r="G77" s="68"/>
      <c r="M77" s="68"/>
    </row>
    <row r="78" ht="15.75" customHeight="1">
      <c r="C78" s="68"/>
      <c r="E78" s="68"/>
      <c r="F78" s="68"/>
      <c r="G78" s="68"/>
      <c r="M78" s="68"/>
    </row>
    <row r="79" ht="15.75" customHeight="1">
      <c r="C79" s="68"/>
      <c r="E79" s="68"/>
      <c r="F79" s="68"/>
      <c r="G79" s="68"/>
      <c r="M79" s="68"/>
    </row>
    <row r="80" ht="15.75" customHeight="1">
      <c r="C80" s="68"/>
      <c r="E80" s="68"/>
      <c r="F80" s="68"/>
      <c r="G80" s="68"/>
      <c r="M80" s="68"/>
    </row>
    <row r="81" ht="15.75" customHeight="1">
      <c r="C81" s="68"/>
      <c r="E81" s="68"/>
      <c r="F81" s="68"/>
      <c r="G81" s="68"/>
      <c r="M81" s="68"/>
    </row>
    <row r="82" ht="15.75" customHeight="1">
      <c r="C82" s="68"/>
      <c r="E82" s="68"/>
      <c r="F82" s="68"/>
      <c r="G82" s="68"/>
      <c r="M82" s="68"/>
    </row>
    <row r="83" ht="15.75" customHeight="1">
      <c r="C83" s="68"/>
      <c r="E83" s="68"/>
      <c r="F83" s="68"/>
      <c r="G83" s="68"/>
      <c r="M83" s="68"/>
    </row>
    <row r="84" ht="15.75" customHeight="1">
      <c r="C84" s="68"/>
      <c r="E84" s="68"/>
      <c r="F84" s="68"/>
      <c r="G84" s="68"/>
      <c r="M84" s="68"/>
    </row>
    <row r="85" ht="15.75" customHeight="1">
      <c r="C85" s="68"/>
      <c r="E85" s="68"/>
      <c r="F85" s="68"/>
      <c r="G85" s="68"/>
      <c r="M85" s="68"/>
    </row>
    <row r="86" ht="15.75" customHeight="1">
      <c r="C86" s="68"/>
      <c r="E86" s="68"/>
      <c r="F86" s="68"/>
      <c r="G86" s="68"/>
      <c r="M86" s="68"/>
    </row>
    <row r="87" ht="15.75" customHeight="1">
      <c r="C87" s="68"/>
      <c r="E87" s="68"/>
      <c r="F87" s="68"/>
      <c r="G87" s="68"/>
      <c r="M87" s="68"/>
    </row>
    <row r="88" ht="15.75" customHeight="1">
      <c r="C88" s="68"/>
      <c r="E88" s="68"/>
      <c r="F88" s="68"/>
      <c r="G88" s="68"/>
      <c r="M88" s="68"/>
    </row>
    <row r="89" ht="15.75" customHeight="1">
      <c r="C89" s="68"/>
      <c r="E89" s="68"/>
      <c r="F89" s="68"/>
      <c r="G89" s="68"/>
      <c r="M89" s="68"/>
    </row>
    <row r="90" ht="15.75" customHeight="1">
      <c r="C90" s="68"/>
      <c r="E90" s="68"/>
      <c r="F90" s="68"/>
      <c r="G90" s="68"/>
      <c r="M90" s="68"/>
    </row>
    <row r="91" ht="15.75" customHeight="1">
      <c r="C91" s="68"/>
      <c r="E91" s="68"/>
      <c r="F91" s="68"/>
      <c r="G91" s="68"/>
      <c r="M91" s="68"/>
    </row>
    <row r="92" ht="15.75" customHeight="1">
      <c r="C92" s="68"/>
      <c r="E92" s="68"/>
      <c r="F92" s="68"/>
      <c r="G92" s="68"/>
      <c r="M92" s="68"/>
    </row>
    <row r="93" ht="15.75" customHeight="1">
      <c r="C93" s="68"/>
      <c r="E93" s="68"/>
      <c r="F93" s="68"/>
      <c r="G93" s="68"/>
      <c r="M93" s="68"/>
    </row>
    <row r="94" ht="15.75" customHeight="1">
      <c r="C94" s="68"/>
      <c r="E94" s="68"/>
      <c r="F94" s="68"/>
      <c r="G94" s="68"/>
      <c r="M94" s="68"/>
    </row>
    <row r="95" ht="15.75" customHeight="1">
      <c r="C95" s="68"/>
      <c r="E95" s="68"/>
      <c r="F95" s="68"/>
      <c r="G95" s="68"/>
      <c r="M95" s="68"/>
    </row>
    <row r="96" ht="15.75" customHeight="1">
      <c r="C96" s="68"/>
      <c r="E96" s="68"/>
      <c r="F96" s="68"/>
      <c r="G96" s="68"/>
      <c r="M96" s="68"/>
    </row>
    <row r="97" ht="15.75" customHeight="1">
      <c r="C97" s="68"/>
      <c r="E97" s="68"/>
      <c r="F97" s="68"/>
      <c r="G97" s="68"/>
      <c r="M97" s="68"/>
    </row>
    <row r="98" ht="15.75" customHeight="1">
      <c r="C98" s="68"/>
      <c r="E98" s="68"/>
      <c r="F98" s="68"/>
      <c r="G98" s="68"/>
      <c r="M98" s="68"/>
    </row>
    <row r="99" ht="15.75" customHeight="1">
      <c r="C99" s="68"/>
      <c r="E99" s="68"/>
      <c r="F99" s="68"/>
      <c r="G99" s="68"/>
      <c r="M99" s="68"/>
    </row>
    <row r="100" ht="15.75" customHeight="1">
      <c r="C100" s="68"/>
      <c r="E100" s="68"/>
      <c r="F100" s="68"/>
      <c r="G100" s="68"/>
      <c r="M100" s="68"/>
    </row>
    <row r="101" ht="15.75" customHeight="1">
      <c r="C101" s="68"/>
      <c r="E101" s="68"/>
      <c r="F101" s="68"/>
      <c r="G101" s="68"/>
      <c r="M101" s="68"/>
    </row>
    <row r="102" ht="15.75" customHeight="1">
      <c r="C102" s="68"/>
      <c r="E102" s="68"/>
      <c r="F102" s="68"/>
      <c r="G102" s="68"/>
      <c r="M102" s="68"/>
    </row>
    <row r="103" ht="15.75" customHeight="1">
      <c r="C103" s="68"/>
      <c r="E103" s="68"/>
      <c r="F103" s="68"/>
      <c r="G103" s="68"/>
      <c r="M103" s="68"/>
    </row>
    <row r="104" ht="15.75" customHeight="1">
      <c r="C104" s="68"/>
      <c r="E104" s="68"/>
      <c r="F104" s="68"/>
      <c r="G104" s="68"/>
      <c r="M104" s="68"/>
    </row>
    <row r="105" ht="15.75" customHeight="1">
      <c r="C105" s="68"/>
      <c r="E105" s="68"/>
      <c r="F105" s="68"/>
      <c r="G105" s="68"/>
      <c r="M105" s="68"/>
    </row>
    <row r="106" ht="15.75" customHeight="1">
      <c r="C106" s="68"/>
      <c r="E106" s="68"/>
      <c r="F106" s="68"/>
      <c r="G106" s="68"/>
      <c r="M106" s="68"/>
    </row>
    <row r="107" ht="15.75" customHeight="1">
      <c r="C107" s="68"/>
      <c r="E107" s="68"/>
      <c r="F107" s="68"/>
      <c r="G107" s="68"/>
      <c r="M107" s="68"/>
    </row>
    <row r="108" ht="15.75" customHeight="1">
      <c r="C108" s="68"/>
      <c r="E108" s="68"/>
      <c r="F108" s="68"/>
      <c r="G108" s="68"/>
      <c r="M108" s="68"/>
    </row>
    <row r="109" ht="15.75" customHeight="1">
      <c r="C109" s="68"/>
      <c r="E109" s="68"/>
      <c r="F109" s="68"/>
      <c r="G109" s="68"/>
      <c r="M109" s="68"/>
    </row>
    <row r="110" ht="15.75" customHeight="1">
      <c r="C110" s="68"/>
      <c r="E110" s="68"/>
      <c r="F110" s="68"/>
      <c r="G110" s="68"/>
      <c r="M110" s="68"/>
    </row>
    <row r="111" ht="15.75" customHeight="1">
      <c r="C111" s="68"/>
      <c r="E111" s="68"/>
      <c r="F111" s="68"/>
      <c r="G111" s="68"/>
      <c r="M111" s="68"/>
    </row>
    <row r="112" ht="15.75" customHeight="1">
      <c r="C112" s="68"/>
      <c r="E112" s="68"/>
      <c r="F112" s="68"/>
      <c r="G112" s="68"/>
      <c r="M112" s="68"/>
    </row>
    <row r="113" ht="15.75" customHeight="1">
      <c r="C113" s="68"/>
      <c r="E113" s="68"/>
      <c r="F113" s="68"/>
      <c r="G113" s="68"/>
      <c r="M113" s="68"/>
    </row>
    <row r="114" ht="15.75" customHeight="1">
      <c r="C114" s="68"/>
      <c r="E114" s="68"/>
      <c r="F114" s="68"/>
      <c r="G114" s="68"/>
      <c r="M114" s="68"/>
    </row>
    <row r="115" ht="15.75" customHeight="1">
      <c r="C115" s="68"/>
      <c r="E115" s="68"/>
      <c r="F115" s="68"/>
      <c r="G115" s="68"/>
      <c r="M115" s="68"/>
    </row>
    <row r="116" ht="15.75" customHeight="1">
      <c r="C116" s="68"/>
      <c r="E116" s="68"/>
      <c r="F116" s="68"/>
      <c r="G116" s="68"/>
      <c r="M116" s="68"/>
    </row>
    <row r="117" ht="15.75" customHeight="1">
      <c r="C117" s="68"/>
      <c r="E117" s="68"/>
      <c r="F117" s="68"/>
      <c r="G117" s="68"/>
      <c r="M117" s="68"/>
    </row>
    <row r="118" ht="15.75" customHeight="1">
      <c r="C118" s="68"/>
      <c r="E118" s="68"/>
      <c r="F118" s="68"/>
      <c r="G118" s="68"/>
      <c r="M118" s="68"/>
    </row>
    <row r="119" ht="15.75" customHeight="1">
      <c r="C119" s="68"/>
      <c r="E119" s="68"/>
      <c r="F119" s="68"/>
      <c r="G119" s="68"/>
      <c r="M119" s="68"/>
    </row>
    <row r="120" ht="15.75" customHeight="1">
      <c r="C120" s="68"/>
      <c r="E120" s="68"/>
      <c r="F120" s="68"/>
      <c r="G120" s="68"/>
      <c r="M120" s="68"/>
    </row>
    <row r="121" ht="15.75" customHeight="1">
      <c r="C121" s="68"/>
      <c r="E121" s="68"/>
      <c r="F121" s="68"/>
      <c r="G121" s="68"/>
      <c r="M121" s="68"/>
    </row>
    <row r="122" ht="15.75" customHeight="1">
      <c r="C122" s="68"/>
      <c r="E122" s="68"/>
      <c r="F122" s="68"/>
      <c r="G122" s="68"/>
      <c r="M122" s="68"/>
    </row>
    <row r="123" ht="15.75" customHeight="1">
      <c r="C123" s="68"/>
      <c r="E123" s="68"/>
      <c r="F123" s="68"/>
      <c r="G123" s="68"/>
      <c r="M123" s="68"/>
    </row>
    <row r="124" ht="15.75" customHeight="1">
      <c r="C124" s="68"/>
      <c r="E124" s="68"/>
      <c r="F124" s="68"/>
      <c r="G124" s="68"/>
      <c r="M124" s="68"/>
    </row>
    <row r="125" ht="15.75" customHeight="1">
      <c r="C125" s="68"/>
      <c r="E125" s="68"/>
      <c r="F125" s="68"/>
      <c r="G125" s="68"/>
      <c r="M125" s="68"/>
    </row>
    <row r="126" ht="15.75" customHeight="1">
      <c r="C126" s="68"/>
      <c r="E126" s="68"/>
      <c r="F126" s="68"/>
      <c r="G126" s="68"/>
      <c r="M126" s="68"/>
    </row>
    <row r="127" ht="15.75" customHeight="1">
      <c r="C127" s="68"/>
      <c r="E127" s="68"/>
      <c r="F127" s="68"/>
      <c r="G127" s="68"/>
      <c r="M127" s="68"/>
    </row>
    <row r="128" ht="15.75" customHeight="1">
      <c r="C128" s="68"/>
      <c r="E128" s="68"/>
      <c r="F128" s="68"/>
      <c r="G128" s="68"/>
      <c r="M128" s="68"/>
    </row>
    <row r="129" ht="15.75" customHeight="1">
      <c r="C129" s="68"/>
      <c r="E129" s="68"/>
      <c r="F129" s="68"/>
      <c r="G129" s="68"/>
      <c r="M129" s="68"/>
    </row>
    <row r="130" ht="15.75" customHeight="1">
      <c r="C130" s="68"/>
      <c r="E130" s="68"/>
      <c r="F130" s="68"/>
      <c r="G130" s="68"/>
      <c r="M130" s="68"/>
    </row>
    <row r="131" ht="15.75" customHeight="1">
      <c r="C131" s="68"/>
      <c r="E131" s="68"/>
      <c r="F131" s="68"/>
      <c r="G131" s="68"/>
      <c r="M131" s="68"/>
    </row>
    <row r="132" ht="15.75" customHeight="1">
      <c r="C132" s="68"/>
      <c r="E132" s="68"/>
      <c r="F132" s="68"/>
      <c r="G132" s="68"/>
      <c r="M132" s="68"/>
    </row>
    <row r="133" ht="15.75" customHeight="1">
      <c r="C133" s="68"/>
      <c r="E133" s="68"/>
      <c r="F133" s="68"/>
      <c r="G133" s="68"/>
      <c r="M133" s="68"/>
    </row>
    <row r="134" ht="15.75" customHeight="1">
      <c r="C134" s="68"/>
      <c r="E134" s="68"/>
      <c r="F134" s="68"/>
      <c r="G134" s="68"/>
      <c r="M134" s="68"/>
    </row>
    <row r="135" ht="15.75" customHeight="1">
      <c r="C135" s="68"/>
      <c r="E135" s="68"/>
      <c r="F135" s="68"/>
      <c r="G135" s="68"/>
      <c r="M135" s="68"/>
    </row>
    <row r="136" ht="15.75" customHeight="1">
      <c r="C136" s="68"/>
      <c r="E136" s="68"/>
      <c r="F136" s="68"/>
      <c r="G136" s="68"/>
      <c r="M136" s="68"/>
    </row>
    <row r="137" ht="15.75" customHeight="1">
      <c r="C137" s="68"/>
      <c r="E137" s="68"/>
      <c r="F137" s="68"/>
      <c r="G137" s="68"/>
      <c r="M137" s="68"/>
    </row>
    <row r="138" ht="15.75" customHeight="1">
      <c r="C138" s="68"/>
      <c r="E138" s="68"/>
      <c r="F138" s="68"/>
      <c r="G138" s="68"/>
      <c r="M138" s="68"/>
    </row>
    <row r="139" ht="15.75" customHeight="1">
      <c r="C139" s="68"/>
      <c r="E139" s="68"/>
      <c r="F139" s="68"/>
      <c r="G139" s="68"/>
      <c r="M139" s="68"/>
    </row>
    <row r="140" ht="15.75" customHeight="1">
      <c r="C140" s="68"/>
      <c r="E140" s="68"/>
      <c r="F140" s="68"/>
      <c r="G140" s="68"/>
      <c r="M140" s="68"/>
    </row>
    <row r="141" ht="15.75" customHeight="1">
      <c r="C141" s="68"/>
      <c r="E141" s="68"/>
      <c r="F141" s="68"/>
      <c r="G141" s="68"/>
      <c r="M141" s="68"/>
    </row>
    <row r="142" ht="15.75" customHeight="1">
      <c r="C142" s="68"/>
      <c r="E142" s="68"/>
      <c r="F142" s="68"/>
      <c r="G142" s="68"/>
      <c r="M142" s="68"/>
    </row>
    <row r="143" ht="15.75" customHeight="1">
      <c r="C143" s="68"/>
      <c r="E143" s="68"/>
      <c r="F143" s="68"/>
      <c r="G143" s="68"/>
      <c r="M143" s="68"/>
    </row>
    <row r="144" ht="15.75" customHeight="1">
      <c r="C144" s="68"/>
      <c r="E144" s="68"/>
      <c r="F144" s="68"/>
      <c r="G144" s="68"/>
      <c r="M144" s="68"/>
    </row>
    <row r="145" ht="15.75" customHeight="1">
      <c r="C145" s="68"/>
      <c r="E145" s="68"/>
      <c r="F145" s="68"/>
      <c r="G145" s="68"/>
      <c r="M145" s="68"/>
    </row>
    <row r="146" ht="15.75" customHeight="1">
      <c r="C146" s="68"/>
      <c r="E146" s="68"/>
      <c r="F146" s="68"/>
      <c r="G146" s="68"/>
      <c r="M146" s="68"/>
    </row>
    <row r="147" ht="15.75" customHeight="1">
      <c r="C147" s="68"/>
      <c r="E147" s="68"/>
      <c r="F147" s="68"/>
      <c r="G147" s="68"/>
      <c r="M147" s="68"/>
    </row>
    <row r="148" ht="15.75" customHeight="1">
      <c r="C148" s="68"/>
      <c r="E148" s="68"/>
      <c r="F148" s="68"/>
      <c r="G148" s="68"/>
      <c r="M148" s="68"/>
    </row>
    <row r="149" ht="15.75" customHeight="1">
      <c r="C149" s="68"/>
      <c r="E149" s="68"/>
      <c r="F149" s="68"/>
      <c r="G149" s="68"/>
      <c r="M149" s="68"/>
    </row>
    <row r="150" ht="15.75" customHeight="1">
      <c r="C150" s="68"/>
      <c r="E150" s="68"/>
      <c r="F150" s="68"/>
      <c r="G150" s="68"/>
      <c r="M150" s="68"/>
    </row>
    <row r="151" ht="15.75" customHeight="1">
      <c r="C151" s="68"/>
      <c r="E151" s="68"/>
      <c r="F151" s="68"/>
      <c r="G151" s="68"/>
      <c r="M151" s="68"/>
    </row>
    <row r="152" ht="15.75" customHeight="1">
      <c r="C152" s="68"/>
      <c r="E152" s="68"/>
      <c r="F152" s="68"/>
      <c r="G152" s="68"/>
      <c r="M152" s="68"/>
    </row>
    <row r="153" ht="15.75" customHeight="1">
      <c r="C153" s="68"/>
      <c r="E153" s="68"/>
      <c r="F153" s="68"/>
      <c r="G153" s="68"/>
      <c r="M153" s="68"/>
    </row>
    <row r="154" ht="15.75" customHeight="1">
      <c r="C154" s="68"/>
      <c r="E154" s="68"/>
      <c r="F154" s="68"/>
      <c r="G154" s="68"/>
      <c r="M154" s="68"/>
    </row>
    <row r="155" ht="15.75" customHeight="1">
      <c r="C155" s="68"/>
      <c r="E155" s="68"/>
      <c r="F155" s="68"/>
      <c r="G155" s="68"/>
      <c r="M155" s="68"/>
    </row>
    <row r="156" ht="15.75" customHeight="1">
      <c r="C156" s="68"/>
      <c r="E156" s="68"/>
      <c r="F156" s="68"/>
      <c r="G156" s="68"/>
      <c r="M156" s="68"/>
    </row>
    <row r="157" ht="15.75" customHeight="1">
      <c r="C157" s="68"/>
      <c r="E157" s="68"/>
      <c r="F157" s="68"/>
      <c r="G157" s="68"/>
      <c r="M157" s="68"/>
    </row>
    <row r="158" ht="15.75" customHeight="1">
      <c r="C158" s="68"/>
      <c r="E158" s="68"/>
      <c r="F158" s="68"/>
      <c r="G158" s="68"/>
      <c r="M158" s="68"/>
    </row>
    <row r="159" ht="15.75" customHeight="1">
      <c r="C159" s="68"/>
      <c r="E159" s="68"/>
      <c r="F159" s="68"/>
      <c r="G159" s="68"/>
      <c r="M159" s="68"/>
    </row>
    <row r="160" ht="15.75" customHeight="1">
      <c r="C160" s="68"/>
      <c r="E160" s="68"/>
      <c r="F160" s="68"/>
      <c r="G160" s="68"/>
      <c r="M160" s="68"/>
    </row>
    <row r="161" ht="15.75" customHeight="1">
      <c r="C161" s="68"/>
      <c r="E161" s="68"/>
      <c r="F161" s="68"/>
      <c r="G161" s="68"/>
      <c r="M161" s="68"/>
    </row>
    <row r="162" ht="15.75" customHeight="1">
      <c r="C162" s="68"/>
      <c r="E162" s="68"/>
      <c r="F162" s="68"/>
      <c r="G162" s="68"/>
      <c r="M162" s="68"/>
    </row>
    <row r="163" ht="15.75" customHeight="1">
      <c r="C163" s="68"/>
      <c r="E163" s="68"/>
      <c r="F163" s="68"/>
      <c r="G163" s="68"/>
      <c r="M163" s="68"/>
    </row>
    <row r="164" ht="15.75" customHeight="1">
      <c r="C164" s="68"/>
      <c r="E164" s="68"/>
      <c r="F164" s="68"/>
      <c r="G164" s="68"/>
      <c r="M164" s="68"/>
    </row>
    <row r="165" ht="15.75" customHeight="1">
      <c r="C165" s="68"/>
      <c r="E165" s="68"/>
      <c r="F165" s="68"/>
      <c r="G165" s="68"/>
      <c r="M165" s="68"/>
    </row>
    <row r="166" ht="15.75" customHeight="1">
      <c r="C166" s="68"/>
      <c r="E166" s="68"/>
      <c r="F166" s="68"/>
      <c r="G166" s="68"/>
      <c r="M166" s="68"/>
    </row>
    <row r="167" ht="15.75" customHeight="1">
      <c r="C167" s="68"/>
      <c r="E167" s="68"/>
      <c r="F167" s="68"/>
      <c r="G167" s="68"/>
      <c r="M167" s="68"/>
    </row>
    <row r="168" ht="15.75" customHeight="1">
      <c r="C168" s="68"/>
      <c r="E168" s="68"/>
      <c r="F168" s="68"/>
      <c r="G168" s="68"/>
      <c r="M168" s="68"/>
    </row>
    <row r="169" ht="15.75" customHeight="1">
      <c r="C169" s="68"/>
      <c r="E169" s="68"/>
      <c r="F169" s="68"/>
      <c r="G169" s="68"/>
      <c r="M169" s="68"/>
    </row>
    <row r="170" ht="15.75" customHeight="1">
      <c r="C170" s="68"/>
      <c r="E170" s="68"/>
      <c r="F170" s="68"/>
      <c r="G170" s="68"/>
      <c r="M170" s="68"/>
    </row>
    <row r="171" ht="15.75" customHeight="1">
      <c r="C171" s="68"/>
      <c r="E171" s="68"/>
      <c r="F171" s="68"/>
      <c r="G171" s="68"/>
      <c r="M171" s="68"/>
    </row>
    <row r="172" ht="15.75" customHeight="1">
      <c r="C172" s="68"/>
      <c r="E172" s="68"/>
      <c r="F172" s="68"/>
      <c r="G172" s="68"/>
      <c r="M172" s="68"/>
    </row>
    <row r="173" ht="15.75" customHeight="1">
      <c r="C173" s="68"/>
      <c r="E173" s="68"/>
      <c r="F173" s="68"/>
      <c r="G173" s="68"/>
      <c r="M173" s="68"/>
    </row>
    <row r="174" ht="15.75" customHeight="1">
      <c r="C174" s="68"/>
      <c r="E174" s="68"/>
      <c r="F174" s="68"/>
      <c r="G174" s="68"/>
      <c r="M174" s="68"/>
    </row>
    <row r="175" ht="15.75" customHeight="1">
      <c r="C175" s="68"/>
      <c r="E175" s="68"/>
      <c r="F175" s="68"/>
      <c r="G175" s="68"/>
      <c r="M175" s="68"/>
    </row>
    <row r="176" ht="15.75" customHeight="1">
      <c r="C176" s="68"/>
      <c r="E176" s="68"/>
      <c r="F176" s="68"/>
      <c r="G176" s="68"/>
      <c r="M176" s="68"/>
    </row>
    <row r="177" ht="15.75" customHeight="1">
      <c r="C177" s="68"/>
      <c r="E177" s="68"/>
      <c r="F177" s="68"/>
      <c r="G177" s="68"/>
      <c r="M177" s="68"/>
    </row>
    <row r="178" ht="15.75" customHeight="1">
      <c r="C178" s="68"/>
      <c r="E178" s="68"/>
      <c r="F178" s="68"/>
      <c r="G178" s="68"/>
      <c r="M178" s="68"/>
    </row>
    <row r="179" ht="15.75" customHeight="1">
      <c r="C179" s="68"/>
      <c r="E179" s="68"/>
      <c r="F179" s="68"/>
      <c r="G179" s="68"/>
      <c r="M179" s="68"/>
    </row>
    <row r="180" ht="15.75" customHeight="1">
      <c r="C180" s="68"/>
      <c r="E180" s="68"/>
      <c r="F180" s="68"/>
      <c r="G180" s="68"/>
      <c r="M180" s="68"/>
    </row>
    <row r="181" ht="15.75" customHeight="1">
      <c r="C181" s="68"/>
      <c r="E181" s="68"/>
      <c r="F181" s="68"/>
      <c r="G181" s="68"/>
      <c r="M181" s="68"/>
    </row>
    <row r="182" ht="15.75" customHeight="1">
      <c r="C182" s="68"/>
      <c r="E182" s="68"/>
      <c r="F182" s="68"/>
      <c r="G182" s="68"/>
      <c r="M182" s="68"/>
    </row>
    <row r="183" ht="15.75" customHeight="1">
      <c r="C183" s="68"/>
      <c r="E183" s="68"/>
      <c r="F183" s="68"/>
      <c r="G183" s="68"/>
      <c r="M183" s="68"/>
    </row>
    <row r="184" ht="15.75" customHeight="1">
      <c r="C184" s="68"/>
      <c r="E184" s="68"/>
      <c r="F184" s="68"/>
      <c r="G184" s="68"/>
      <c r="M184" s="68"/>
    </row>
    <row r="185" ht="15.75" customHeight="1">
      <c r="C185" s="68"/>
      <c r="E185" s="68"/>
      <c r="F185" s="68"/>
      <c r="G185" s="68"/>
      <c r="M185" s="68"/>
    </row>
    <row r="186" ht="15.75" customHeight="1">
      <c r="C186" s="68"/>
      <c r="E186" s="68"/>
      <c r="F186" s="68"/>
      <c r="G186" s="68"/>
      <c r="M186" s="68"/>
    </row>
    <row r="187" ht="15.75" customHeight="1">
      <c r="C187" s="68"/>
      <c r="E187" s="68"/>
      <c r="F187" s="68"/>
      <c r="G187" s="68"/>
      <c r="M187" s="68"/>
    </row>
    <row r="188" ht="15.75" customHeight="1">
      <c r="C188" s="68"/>
      <c r="E188" s="68"/>
      <c r="F188" s="68"/>
      <c r="G188" s="68"/>
      <c r="M188" s="68"/>
    </row>
    <row r="189" ht="15.75" customHeight="1">
      <c r="C189" s="68"/>
      <c r="E189" s="68"/>
      <c r="F189" s="68"/>
      <c r="G189" s="68"/>
      <c r="M189" s="68"/>
    </row>
    <row r="190" ht="15.75" customHeight="1">
      <c r="C190" s="68"/>
      <c r="E190" s="68"/>
      <c r="F190" s="68"/>
      <c r="G190" s="68"/>
      <c r="M190" s="68"/>
    </row>
    <row r="191" ht="15.75" customHeight="1">
      <c r="C191" s="68"/>
      <c r="E191" s="68"/>
      <c r="F191" s="68"/>
      <c r="G191" s="68"/>
      <c r="M191" s="68"/>
    </row>
    <row r="192" ht="15.75" customHeight="1">
      <c r="C192" s="68"/>
      <c r="E192" s="68"/>
      <c r="F192" s="68"/>
      <c r="G192" s="68"/>
      <c r="M192" s="68"/>
    </row>
    <row r="193" ht="15.75" customHeight="1">
      <c r="C193" s="68"/>
      <c r="E193" s="68"/>
      <c r="F193" s="68"/>
      <c r="G193" s="68"/>
      <c r="M193" s="68"/>
    </row>
    <row r="194" ht="15.75" customHeight="1">
      <c r="C194" s="68"/>
      <c r="E194" s="68"/>
      <c r="F194" s="68"/>
      <c r="G194" s="68"/>
      <c r="M194" s="68"/>
    </row>
    <row r="195" ht="15.75" customHeight="1">
      <c r="C195" s="68"/>
      <c r="E195" s="68"/>
      <c r="F195" s="68"/>
      <c r="G195" s="68"/>
      <c r="M195" s="68"/>
    </row>
    <row r="196" ht="15.75" customHeight="1">
      <c r="C196" s="68"/>
      <c r="E196" s="68"/>
      <c r="F196" s="68"/>
      <c r="G196" s="68"/>
      <c r="M196" s="68"/>
    </row>
    <row r="197" ht="15.75" customHeight="1">
      <c r="C197" s="68"/>
      <c r="E197" s="68"/>
      <c r="F197" s="68"/>
      <c r="G197" s="68"/>
      <c r="M197" s="68"/>
    </row>
    <row r="198" ht="15.75" customHeight="1">
      <c r="C198" s="68"/>
      <c r="E198" s="68"/>
      <c r="F198" s="68"/>
      <c r="G198" s="68"/>
      <c r="M198" s="68"/>
    </row>
    <row r="199" ht="15.75" customHeight="1">
      <c r="C199" s="68"/>
      <c r="E199" s="68"/>
      <c r="F199" s="68"/>
      <c r="G199" s="68"/>
      <c r="M199" s="68"/>
    </row>
    <row r="200" ht="15.75" customHeight="1">
      <c r="C200" s="68"/>
      <c r="E200" s="68"/>
      <c r="F200" s="68"/>
      <c r="G200" s="68"/>
      <c r="M200" s="68"/>
    </row>
    <row r="201" ht="15.75" customHeight="1">
      <c r="C201" s="68"/>
      <c r="E201" s="68"/>
      <c r="F201" s="68"/>
      <c r="G201" s="68"/>
      <c r="M201" s="68"/>
    </row>
    <row r="202" ht="15.75" customHeight="1">
      <c r="C202" s="68"/>
      <c r="E202" s="68"/>
      <c r="F202" s="68"/>
      <c r="G202" s="68"/>
      <c r="M202" s="68"/>
    </row>
    <row r="203" ht="15.75" customHeight="1">
      <c r="C203" s="68"/>
      <c r="E203" s="68"/>
      <c r="F203" s="68"/>
      <c r="G203" s="68"/>
      <c r="M203" s="68"/>
    </row>
    <row r="204" ht="15.75" customHeight="1">
      <c r="C204" s="68"/>
      <c r="E204" s="68"/>
      <c r="F204" s="68"/>
      <c r="G204" s="68"/>
      <c r="M204" s="68"/>
    </row>
    <row r="205" ht="15.75" customHeight="1">
      <c r="C205" s="68"/>
      <c r="E205" s="68"/>
      <c r="F205" s="68"/>
      <c r="G205" s="68"/>
      <c r="M205" s="68"/>
    </row>
    <row r="206" ht="15.75" customHeight="1">
      <c r="C206" s="68"/>
      <c r="E206" s="68"/>
      <c r="F206" s="68"/>
      <c r="G206" s="68"/>
      <c r="M206" s="68"/>
    </row>
    <row r="207" ht="15.75" customHeight="1">
      <c r="C207" s="68"/>
      <c r="E207" s="68"/>
      <c r="F207" s="68"/>
      <c r="G207" s="68"/>
      <c r="M207" s="68"/>
    </row>
    <row r="208" ht="15.75" customHeight="1">
      <c r="C208" s="68"/>
      <c r="E208" s="68"/>
      <c r="F208" s="68"/>
      <c r="G208" s="68"/>
      <c r="M208" s="68"/>
    </row>
    <row r="209" ht="15.75" customHeight="1">
      <c r="C209" s="68"/>
      <c r="E209" s="68"/>
      <c r="F209" s="68"/>
      <c r="G209" s="68"/>
      <c r="M209" s="68"/>
    </row>
    <row r="210" ht="15.75" customHeight="1">
      <c r="C210" s="68"/>
      <c r="E210" s="68"/>
      <c r="F210" s="68"/>
      <c r="G210" s="68"/>
      <c r="M210" s="68"/>
    </row>
    <row r="211" ht="15.75" customHeight="1">
      <c r="C211" s="68"/>
      <c r="E211" s="68"/>
      <c r="F211" s="68"/>
      <c r="G211" s="68"/>
      <c r="M211" s="68"/>
    </row>
    <row r="212" ht="15.75" customHeight="1">
      <c r="C212" s="68"/>
      <c r="E212" s="68"/>
      <c r="F212" s="68"/>
      <c r="G212" s="68"/>
      <c r="M212" s="68"/>
    </row>
    <row r="213" ht="15.75" customHeight="1">
      <c r="C213" s="68"/>
      <c r="E213" s="68"/>
      <c r="F213" s="68"/>
      <c r="G213" s="68"/>
      <c r="M213" s="68"/>
    </row>
    <row r="214" ht="15.75" customHeight="1">
      <c r="C214" s="68"/>
      <c r="E214" s="68"/>
      <c r="F214" s="68"/>
      <c r="G214" s="68"/>
      <c r="M214" s="68"/>
    </row>
    <row r="215" ht="15.75" customHeight="1">
      <c r="C215" s="68"/>
      <c r="E215" s="68"/>
      <c r="F215" s="68"/>
      <c r="G215" s="68"/>
      <c r="M215" s="68"/>
    </row>
    <row r="216" ht="15.75" customHeight="1">
      <c r="C216" s="68"/>
      <c r="E216" s="68"/>
      <c r="F216" s="68"/>
      <c r="G216" s="68"/>
      <c r="M216" s="68"/>
    </row>
    <row r="217" ht="15.75" customHeight="1">
      <c r="C217" s="68"/>
      <c r="E217" s="68"/>
      <c r="F217" s="68"/>
      <c r="G217" s="68"/>
      <c r="M217" s="68"/>
    </row>
    <row r="218" ht="15.75" customHeight="1">
      <c r="C218" s="68"/>
      <c r="E218" s="68"/>
      <c r="F218" s="68"/>
      <c r="G218" s="68"/>
      <c r="M218" s="68"/>
    </row>
    <row r="219" ht="15.75" customHeight="1">
      <c r="C219" s="68"/>
      <c r="E219" s="68"/>
      <c r="F219" s="68"/>
      <c r="G219" s="68"/>
      <c r="M219" s="68"/>
    </row>
    <row r="220" ht="15.75" customHeight="1">
      <c r="C220" s="68"/>
      <c r="E220" s="68"/>
      <c r="F220" s="68"/>
      <c r="G220" s="68"/>
      <c r="M220" s="68"/>
    </row>
    <row r="221" ht="15.75" customHeight="1">
      <c r="C221" s="68"/>
      <c r="E221" s="68"/>
      <c r="F221" s="68"/>
      <c r="G221" s="68"/>
      <c r="M221" s="68"/>
    </row>
    <row r="222" ht="15.75" customHeight="1">
      <c r="C222" s="68"/>
      <c r="E222" s="68"/>
      <c r="F222" s="68"/>
      <c r="G222" s="68"/>
      <c r="M222" s="68"/>
    </row>
    <row r="223" ht="15.75" customHeight="1">
      <c r="C223" s="68"/>
      <c r="E223" s="68"/>
      <c r="F223" s="68"/>
      <c r="G223" s="68"/>
      <c r="M223" s="68"/>
    </row>
    <row r="224" ht="15.75" customHeight="1">
      <c r="C224" s="68"/>
      <c r="E224" s="68"/>
      <c r="F224" s="68"/>
      <c r="G224" s="68"/>
      <c r="M224" s="68"/>
    </row>
    <row r="225" ht="15.75" customHeight="1">
      <c r="C225" s="68"/>
      <c r="E225" s="68"/>
      <c r="F225" s="68"/>
      <c r="G225" s="68"/>
      <c r="M225" s="68"/>
    </row>
    <row r="226" ht="15.75" customHeight="1">
      <c r="C226" s="68"/>
      <c r="E226" s="68"/>
      <c r="F226" s="68"/>
      <c r="G226" s="68"/>
      <c r="M226" s="68"/>
    </row>
    <row r="227" ht="15.75" customHeight="1">
      <c r="C227" s="68"/>
      <c r="E227" s="68"/>
      <c r="F227" s="68"/>
      <c r="G227" s="68"/>
      <c r="M227" s="68"/>
    </row>
    <row r="228" ht="15.75" customHeight="1">
      <c r="C228" s="68"/>
      <c r="E228" s="68"/>
      <c r="F228" s="68"/>
      <c r="G228" s="68"/>
      <c r="M228" s="68"/>
    </row>
    <row r="229" ht="15.75" customHeight="1">
      <c r="C229" s="68"/>
      <c r="E229" s="68"/>
      <c r="F229" s="68"/>
      <c r="G229" s="68"/>
      <c r="M229" s="68"/>
    </row>
    <row r="230" ht="15.75" customHeight="1">
      <c r="C230" s="68"/>
      <c r="E230" s="68"/>
      <c r="F230" s="68"/>
      <c r="G230" s="68"/>
      <c r="M230" s="68"/>
    </row>
    <row r="231" ht="15.75" customHeight="1">
      <c r="C231" s="68"/>
      <c r="E231" s="68"/>
      <c r="F231" s="68"/>
      <c r="G231" s="68"/>
      <c r="M231" s="68"/>
    </row>
    <row r="232" ht="15.75" customHeight="1">
      <c r="C232" s="68"/>
      <c r="E232" s="68"/>
      <c r="F232" s="68"/>
      <c r="G232" s="68"/>
      <c r="M232" s="68"/>
    </row>
    <row r="233" ht="15.75" customHeight="1">
      <c r="C233" s="68"/>
      <c r="E233" s="68"/>
      <c r="F233" s="68"/>
      <c r="G233" s="68"/>
      <c r="M233" s="68"/>
    </row>
    <row r="234" ht="15.75" customHeight="1">
      <c r="C234" s="68"/>
      <c r="E234" s="68"/>
      <c r="F234" s="68"/>
      <c r="G234" s="68"/>
      <c r="M234" s="68"/>
    </row>
    <row r="235" ht="15.75" customHeight="1">
      <c r="C235" s="68"/>
      <c r="E235" s="68"/>
      <c r="F235" s="68"/>
      <c r="G235" s="68"/>
      <c r="M235" s="68"/>
    </row>
    <row r="236" ht="15.75" customHeight="1">
      <c r="C236" s="68"/>
      <c r="E236" s="68"/>
      <c r="F236" s="68"/>
      <c r="G236" s="68"/>
      <c r="M236" s="68"/>
    </row>
    <row r="237" ht="15.75" customHeight="1">
      <c r="C237" s="68"/>
      <c r="E237" s="68"/>
      <c r="F237" s="68"/>
      <c r="G237" s="68"/>
      <c r="M237" s="68"/>
    </row>
    <row r="238" ht="15.75" customHeight="1">
      <c r="C238" s="68"/>
      <c r="E238" s="68"/>
      <c r="F238" s="68"/>
      <c r="G238" s="68"/>
      <c r="M238" s="68"/>
    </row>
    <row r="239" ht="15.75" customHeight="1">
      <c r="C239" s="68"/>
      <c r="E239" s="68"/>
      <c r="F239" s="68"/>
      <c r="G239" s="68"/>
      <c r="M239" s="68"/>
    </row>
    <row r="240" ht="15.75" customHeight="1">
      <c r="C240" s="68"/>
      <c r="E240" s="68"/>
      <c r="F240" s="68"/>
      <c r="G240" s="68"/>
      <c r="M240" s="68"/>
    </row>
    <row r="241" ht="15.75" customHeight="1">
      <c r="C241" s="68"/>
      <c r="E241" s="68"/>
      <c r="F241" s="68"/>
      <c r="G241" s="68"/>
      <c r="M241" s="68"/>
    </row>
    <row r="242" ht="15.75" customHeight="1">
      <c r="C242" s="68"/>
      <c r="E242" s="68"/>
      <c r="F242" s="68"/>
      <c r="G242" s="68"/>
      <c r="M242" s="68"/>
    </row>
    <row r="243" ht="15.75" customHeight="1">
      <c r="C243" s="68"/>
      <c r="E243" s="68"/>
      <c r="F243" s="68"/>
      <c r="G243" s="68"/>
      <c r="M243" s="68"/>
    </row>
    <row r="244" ht="15.75" customHeight="1">
      <c r="C244" s="68"/>
      <c r="E244" s="68"/>
      <c r="F244" s="68"/>
      <c r="G244" s="68"/>
      <c r="M244" s="68"/>
    </row>
    <row r="245" ht="15.75" customHeight="1">
      <c r="C245" s="68"/>
      <c r="E245" s="68"/>
      <c r="F245" s="68"/>
      <c r="G245" s="68"/>
      <c r="M245" s="68"/>
    </row>
    <row r="246" ht="15.75" customHeight="1">
      <c r="C246" s="68"/>
      <c r="E246" s="68"/>
      <c r="F246" s="68"/>
      <c r="G246" s="68"/>
      <c r="M246" s="68"/>
    </row>
    <row r="247" ht="15.75" customHeight="1">
      <c r="C247" s="68"/>
      <c r="E247" s="68"/>
      <c r="F247" s="68"/>
      <c r="G247" s="68"/>
      <c r="M247" s="68"/>
    </row>
    <row r="248" ht="15.75" customHeight="1">
      <c r="C248" s="68"/>
      <c r="E248" s="68"/>
      <c r="F248" s="68"/>
      <c r="G248" s="68"/>
      <c r="M248" s="68"/>
    </row>
    <row r="249" ht="15.75" customHeight="1">
      <c r="C249" s="68"/>
      <c r="E249" s="68"/>
      <c r="F249" s="68"/>
      <c r="G249" s="68"/>
      <c r="M249" s="68"/>
    </row>
    <row r="250" ht="15.75" customHeight="1">
      <c r="C250" s="68"/>
      <c r="E250" s="68"/>
      <c r="F250" s="68"/>
      <c r="G250" s="68"/>
      <c r="M250" s="68"/>
    </row>
    <row r="251" ht="15.75" customHeight="1">
      <c r="C251" s="68"/>
      <c r="E251" s="68"/>
      <c r="F251" s="68"/>
      <c r="G251" s="68"/>
      <c r="M251" s="68"/>
    </row>
    <row r="252" ht="15.75" customHeight="1">
      <c r="C252" s="68"/>
      <c r="E252" s="68"/>
      <c r="F252" s="68"/>
      <c r="G252" s="68"/>
      <c r="M252" s="68"/>
    </row>
    <row r="253" ht="15.75" customHeight="1">
      <c r="C253" s="68"/>
      <c r="E253" s="68"/>
      <c r="F253" s="68"/>
      <c r="G253" s="68"/>
      <c r="M253" s="68"/>
    </row>
    <row r="254" ht="15.75" customHeight="1">
      <c r="C254" s="68"/>
      <c r="E254" s="68"/>
      <c r="F254" s="68"/>
      <c r="G254" s="68"/>
      <c r="M254" s="68"/>
    </row>
    <row r="255" ht="15.75" customHeight="1">
      <c r="C255" s="68"/>
      <c r="E255" s="68"/>
      <c r="F255" s="68"/>
      <c r="G255" s="68"/>
      <c r="M255" s="68"/>
    </row>
    <row r="256" ht="15.75" customHeight="1">
      <c r="C256" s="68"/>
      <c r="E256" s="68"/>
      <c r="F256" s="68"/>
      <c r="G256" s="68"/>
      <c r="M256" s="68"/>
    </row>
    <row r="257" ht="15.75" customHeight="1">
      <c r="C257" s="68"/>
      <c r="E257" s="68"/>
      <c r="F257" s="68"/>
      <c r="G257" s="68"/>
      <c r="M257" s="68"/>
    </row>
    <row r="258" ht="15.75" customHeight="1">
      <c r="C258" s="68"/>
      <c r="E258" s="68"/>
      <c r="F258" s="68"/>
      <c r="G258" s="68"/>
      <c r="M258" s="68"/>
    </row>
    <row r="259" ht="15.75" customHeight="1">
      <c r="C259" s="68"/>
      <c r="E259" s="68"/>
      <c r="F259" s="68"/>
      <c r="G259" s="68"/>
      <c r="M259" s="68"/>
    </row>
    <row r="260" ht="15.75" customHeight="1">
      <c r="C260" s="68"/>
      <c r="E260" s="68"/>
      <c r="F260" s="68"/>
      <c r="G260" s="68"/>
      <c r="M260" s="68"/>
    </row>
    <row r="261" ht="15.75" customHeight="1">
      <c r="C261" s="68"/>
      <c r="E261" s="68"/>
      <c r="F261" s="68"/>
      <c r="G261" s="68"/>
      <c r="M261" s="68"/>
    </row>
    <row r="262" ht="15.75" customHeight="1">
      <c r="C262" s="68"/>
      <c r="E262" s="68"/>
      <c r="F262" s="68"/>
      <c r="G262" s="68"/>
      <c r="M262" s="68"/>
    </row>
    <row r="263" ht="15.75" customHeight="1">
      <c r="C263" s="68"/>
      <c r="E263" s="68"/>
      <c r="F263" s="68"/>
      <c r="G263" s="68"/>
      <c r="M263" s="68"/>
    </row>
    <row r="264" ht="15.75" customHeight="1">
      <c r="C264" s="68"/>
      <c r="E264" s="68"/>
      <c r="F264" s="68"/>
      <c r="G264" s="68"/>
      <c r="M264" s="68"/>
    </row>
    <row r="265" ht="15.75" customHeight="1">
      <c r="C265" s="68"/>
      <c r="E265" s="68"/>
      <c r="F265" s="68"/>
      <c r="G265" s="68"/>
      <c r="M265" s="68"/>
    </row>
    <row r="266" ht="15.75" customHeight="1">
      <c r="C266" s="68"/>
      <c r="E266" s="68"/>
      <c r="F266" s="68"/>
      <c r="G266" s="68"/>
      <c r="M266" s="68"/>
    </row>
    <row r="267" ht="15.75" customHeight="1">
      <c r="C267" s="68"/>
      <c r="E267" s="68"/>
      <c r="F267" s="68"/>
      <c r="G267" s="68"/>
      <c r="M267" s="68"/>
    </row>
    <row r="268" ht="15.75" customHeight="1">
      <c r="C268" s="68"/>
      <c r="E268" s="68"/>
      <c r="F268" s="68"/>
      <c r="G268" s="68"/>
      <c r="M268" s="68"/>
    </row>
    <row r="269" ht="15.75" customHeight="1">
      <c r="C269" s="68"/>
      <c r="E269" s="68"/>
      <c r="F269" s="68"/>
      <c r="G269" s="68"/>
      <c r="M269" s="68"/>
    </row>
    <row r="270" ht="15.75" customHeight="1">
      <c r="C270" s="68"/>
      <c r="E270" s="68"/>
      <c r="F270" s="68"/>
      <c r="G270" s="68"/>
      <c r="M270" s="68"/>
    </row>
    <row r="271" ht="15.75" customHeight="1">
      <c r="C271" s="68"/>
      <c r="E271" s="68"/>
      <c r="F271" s="68"/>
      <c r="G271" s="68"/>
      <c r="M271" s="68"/>
    </row>
    <row r="272" ht="15.75" customHeight="1">
      <c r="C272" s="68"/>
      <c r="E272" s="68"/>
      <c r="F272" s="68"/>
      <c r="G272" s="68"/>
      <c r="M272" s="68"/>
    </row>
    <row r="273" ht="15.75" customHeight="1">
      <c r="C273" s="68"/>
      <c r="E273" s="68"/>
      <c r="F273" s="68"/>
      <c r="G273" s="68"/>
      <c r="M273" s="68"/>
    </row>
    <row r="274" ht="15.75" customHeight="1">
      <c r="C274" s="68"/>
      <c r="E274" s="68"/>
      <c r="F274" s="68"/>
      <c r="G274" s="68"/>
      <c r="M274" s="68"/>
    </row>
    <row r="275" ht="15.75" customHeight="1">
      <c r="C275" s="68"/>
      <c r="E275" s="68"/>
      <c r="F275" s="68"/>
      <c r="G275" s="68"/>
      <c r="M275" s="68"/>
    </row>
    <row r="276" ht="15.75" customHeight="1">
      <c r="C276" s="68"/>
      <c r="E276" s="68"/>
      <c r="F276" s="68"/>
      <c r="G276" s="68"/>
      <c r="M276" s="68"/>
    </row>
    <row r="277" ht="15.75" customHeight="1">
      <c r="C277" s="68"/>
      <c r="E277" s="68"/>
      <c r="F277" s="68"/>
      <c r="G277" s="68"/>
      <c r="M277" s="68"/>
    </row>
    <row r="278" ht="15.75" customHeight="1">
      <c r="C278" s="68"/>
      <c r="E278" s="68"/>
      <c r="F278" s="68"/>
      <c r="G278" s="68"/>
      <c r="M278" s="68"/>
    </row>
    <row r="279" ht="15.75" customHeight="1">
      <c r="C279" s="68"/>
      <c r="E279" s="68"/>
      <c r="F279" s="68"/>
      <c r="G279" s="68"/>
      <c r="M279" s="68"/>
    </row>
    <row r="280" ht="15.75" customHeight="1">
      <c r="C280" s="68"/>
      <c r="E280" s="68"/>
      <c r="F280" s="68"/>
      <c r="G280" s="68"/>
      <c r="M280" s="68"/>
    </row>
    <row r="281" ht="15.75" customHeight="1">
      <c r="C281" s="68"/>
      <c r="E281" s="68"/>
      <c r="F281" s="68"/>
      <c r="G281" s="68"/>
      <c r="M281" s="68"/>
    </row>
    <row r="282" ht="15.75" customHeight="1">
      <c r="C282" s="68"/>
      <c r="E282" s="68"/>
      <c r="F282" s="68"/>
      <c r="G282" s="68"/>
      <c r="M282" s="68"/>
    </row>
    <row r="283" ht="15.75" customHeight="1">
      <c r="C283" s="68"/>
      <c r="E283" s="68"/>
      <c r="F283" s="68"/>
      <c r="G283" s="68"/>
      <c r="M283" s="68"/>
    </row>
    <row r="284" ht="15.75" customHeight="1">
      <c r="C284" s="68"/>
      <c r="E284" s="68"/>
      <c r="F284" s="68"/>
      <c r="G284" s="68"/>
      <c r="M284" s="68"/>
    </row>
    <row r="285" ht="15.75" customHeight="1">
      <c r="C285" s="68"/>
      <c r="E285" s="68"/>
      <c r="F285" s="68"/>
      <c r="G285" s="68"/>
      <c r="M285" s="68"/>
    </row>
    <row r="286" ht="15.75" customHeight="1">
      <c r="C286" s="68"/>
      <c r="E286" s="68"/>
      <c r="F286" s="68"/>
      <c r="G286" s="68"/>
      <c r="M286" s="68"/>
    </row>
    <row r="287" ht="15.75" customHeight="1">
      <c r="C287" s="68"/>
      <c r="E287" s="68"/>
      <c r="F287" s="68"/>
      <c r="G287" s="68"/>
      <c r="M287" s="68"/>
    </row>
    <row r="288" ht="15.75" customHeight="1">
      <c r="C288" s="68"/>
      <c r="E288" s="68"/>
      <c r="F288" s="68"/>
      <c r="G288" s="68"/>
      <c r="M288" s="68"/>
    </row>
    <row r="289" ht="15.75" customHeight="1">
      <c r="C289" s="68"/>
      <c r="E289" s="68"/>
      <c r="F289" s="68"/>
      <c r="G289" s="68"/>
      <c r="M289" s="68"/>
    </row>
    <row r="290" ht="15.75" customHeight="1">
      <c r="C290" s="68"/>
      <c r="E290" s="68"/>
      <c r="F290" s="68"/>
      <c r="G290" s="68"/>
      <c r="M290" s="68"/>
    </row>
    <row r="291" ht="15.75" customHeight="1">
      <c r="C291" s="68"/>
      <c r="E291" s="68"/>
      <c r="F291" s="68"/>
      <c r="G291" s="68"/>
      <c r="M291" s="68"/>
    </row>
    <row r="292" ht="15.75" customHeight="1">
      <c r="C292" s="68"/>
      <c r="E292" s="68"/>
      <c r="F292" s="68"/>
      <c r="G292" s="68"/>
      <c r="M292" s="68"/>
    </row>
    <row r="293" ht="15.75" customHeight="1">
      <c r="C293" s="68"/>
      <c r="E293" s="68"/>
      <c r="F293" s="68"/>
      <c r="G293" s="68"/>
      <c r="M293" s="68"/>
    </row>
    <row r="294" ht="15.75" customHeight="1">
      <c r="C294" s="68"/>
      <c r="E294" s="68"/>
      <c r="F294" s="68"/>
      <c r="G294" s="68"/>
      <c r="M294" s="68"/>
    </row>
    <row r="295" ht="15.75" customHeight="1">
      <c r="C295" s="68"/>
      <c r="E295" s="68"/>
      <c r="F295" s="68"/>
      <c r="G295" s="68"/>
      <c r="M295" s="68"/>
    </row>
    <row r="296" ht="15.75" customHeight="1">
      <c r="C296" s="68"/>
      <c r="E296" s="68"/>
      <c r="F296" s="68"/>
      <c r="G296" s="68"/>
      <c r="M296" s="68"/>
    </row>
    <row r="297" ht="15.75" customHeight="1">
      <c r="C297" s="68"/>
      <c r="E297" s="68"/>
      <c r="F297" s="68"/>
      <c r="G297" s="68"/>
      <c r="M297" s="68"/>
    </row>
    <row r="298" ht="15.75" customHeight="1">
      <c r="C298" s="68"/>
      <c r="E298" s="68"/>
      <c r="F298" s="68"/>
      <c r="G298" s="68"/>
      <c r="M298" s="68"/>
    </row>
    <row r="299" ht="15.75" customHeight="1">
      <c r="C299" s="68"/>
      <c r="E299" s="68"/>
      <c r="F299" s="68"/>
      <c r="G299" s="68"/>
      <c r="M299" s="68"/>
    </row>
    <row r="300" ht="15.75" customHeight="1">
      <c r="C300" s="68"/>
      <c r="E300" s="68"/>
      <c r="F300" s="68"/>
      <c r="G300" s="68"/>
      <c r="M300" s="68"/>
    </row>
    <row r="301" ht="15.75" customHeight="1">
      <c r="C301" s="68"/>
      <c r="E301" s="68"/>
      <c r="F301" s="68"/>
      <c r="G301" s="68"/>
      <c r="M301" s="68"/>
    </row>
    <row r="302" ht="15.75" customHeight="1">
      <c r="C302" s="68"/>
      <c r="E302" s="68"/>
      <c r="F302" s="68"/>
      <c r="G302" s="68"/>
      <c r="M302" s="68"/>
    </row>
    <row r="303" ht="15.75" customHeight="1">
      <c r="C303" s="68"/>
      <c r="E303" s="68"/>
      <c r="F303" s="68"/>
      <c r="G303" s="68"/>
      <c r="M303" s="68"/>
    </row>
    <row r="304" ht="15.75" customHeight="1">
      <c r="C304" s="68"/>
      <c r="E304" s="68"/>
      <c r="F304" s="68"/>
      <c r="G304" s="68"/>
      <c r="M304" s="68"/>
    </row>
    <row r="305" ht="15.75" customHeight="1">
      <c r="C305" s="68"/>
      <c r="E305" s="68"/>
      <c r="F305" s="68"/>
      <c r="G305" s="68"/>
      <c r="M305" s="68"/>
    </row>
    <row r="306" ht="15.75" customHeight="1">
      <c r="C306" s="68"/>
      <c r="E306" s="68"/>
      <c r="F306" s="68"/>
      <c r="G306" s="68"/>
      <c r="M306" s="68"/>
    </row>
    <row r="307" ht="15.75" customHeight="1">
      <c r="C307" s="68"/>
      <c r="E307" s="68"/>
      <c r="F307" s="68"/>
      <c r="G307" s="68"/>
      <c r="M307" s="68"/>
    </row>
    <row r="308" ht="15.75" customHeight="1">
      <c r="C308" s="68"/>
      <c r="E308" s="68"/>
      <c r="F308" s="68"/>
      <c r="G308" s="68"/>
      <c r="M308" s="68"/>
    </row>
    <row r="309" ht="15.75" customHeight="1">
      <c r="C309" s="68"/>
      <c r="E309" s="68"/>
      <c r="F309" s="68"/>
      <c r="G309" s="68"/>
      <c r="M309" s="68"/>
    </row>
    <row r="310" ht="15.75" customHeight="1">
      <c r="C310" s="68"/>
      <c r="E310" s="68"/>
      <c r="F310" s="68"/>
      <c r="G310" s="68"/>
      <c r="M310" s="68"/>
    </row>
    <row r="311" ht="15.75" customHeight="1">
      <c r="C311" s="68"/>
      <c r="E311" s="68"/>
      <c r="F311" s="68"/>
      <c r="G311" s="68"/>
      <c r="M311" s="68"/>
    </row>
    <row r="312" ht="15.75" customHeight="1">
      <c r="C312" s="68"/>
      <c r="E312" s="68"/>
      <c r="F312" s="68"/>
      <c r="G312" s="68"/>
      <c r="M312" s="68"/>
    </row>
    <row r="313" ht="15.75" customHeight="1">
      <c r="C313" s="68"/>
      <c r="E313" s="68"/>
      <c r="F313" s="68"/>
      <c r="G313" s="68"/>
      <c r="M313" s="68"/>
    </row>
    <row r="314" ht="15.75" customHeight="1">
      <c r="C314" s="68"/>
      <c r="E314" s="68"/>
      <c r="F314" s="68"/>
      <c r="G314" s="68"/>
      <c r="M314" s="68"/>
    </row>
    <row r="315" ht="15.75" customHeight="1">
      <c r="C315" s="68"/>
      <c r="E315" s="68"/>
      <c r="F315" s="68"/>
      <c r="G315" s="68"/>
      <c r="M315" s="68"/>
    </row>
    <row r="316" ht="15.75" customHeight="1">
      <c r="C316" s="68"/>
      <c r="E316" s="68"/>
      <c r="F316" s="68"/>
      <c r="G316" s="68"/>
      <c r="M316" s="68"/>
    </row>
    <row r="317" ht="15.75" customHeight="1">
      <c r="C317" s="68"/>
      <c r="E317" s="68"/>
      <c r="F317" s="68"/>
      <c r="G317" s="68"/>
      <c r="M317" s="68"/>
    </row>
    <row r="318" ht="15.75" customHeight="1">
      <c r="C318" s="68"/>
      <c r="E318" s="68"/>
      <c r="F318" s="68"/>
      <c r="G318" s="68"/>
      <c r="M318" s="68"/>
    </row>
    <row r="319" ht="15.75" customHeight="1">
      <c r="C319" s="68"/>
      <c r="E319" s="68"/>
      <c r="F319" s="68"/>
      <c r="G319" s="68"/>
      <c r="M319" s="68"/>
    </row>
    <row r="320" ht="15.75" customHeight="1">
      <c r="C320" s="68"/>
      <c r="E320" s="68"/>
      <c r="F320" s="68"/>
      <c r="G320" s="68"/>
      <c r="M320" s="68"/>
    </row>
    <row r="321" ht="15.75" customHeight="1">
      <c r="C321" s="68"/>
      <c r="E321" s="68"/>
      <c r="F321" s="68"/>
      <c r="G321" s="68"/>
      <c r="M321" s="68"/>
    </row>
    <row r="322" ht="15.75" customHeight="1">
      <c r="C322" s="68"/>
      <c r="E322" s="68"/>
      <c r="F322" s="68"/>
      <c r="G322" s="68"/>
      <c r="M322" s="68"/>
    </row>
    <row r="323" ht="15.75" customHeight="1">
      <c r="C323" s="68"/>
      <c r="E323" s="68"/>
      <c r="F323" s="68"/>
      <c r="G323" s="68"/>
      <c r="M323" s="68"/>
    </row>
    <row r="324" ht="15.75" customHeight="1">
      <c r="C324" s="68"/>
      <c r="E324" s="68"/>
      <c r="F324" s="68"/>
      <c r="G324" s="68"/>
      <c r="M324" s="68"/>
    </row>
    <row r="325" ht="15.75" customHeight="1">
      <c r="C325" s="68"/>
      <c r="E325" s="68"/>
      <c r="F325" s="68"/>
      <c r="G325" s="68"/>
      <c r="M325" s="68"/>
    </row>
    <row r="326" ht="15.75" customHeight="1">
      <c r="C326" s="68"/>
      <c r="E326" s="68"/>
      <c r="F326" s="68"/>
      <c r="G326" s="68"/>
      <c r="M326" s="68"/>
    </row>
    <row r="327" ht="15.75" customHeight="1">
      <c r="C327" s="68"/>
      <c r="E327" s="68"/>
      <c r="F327" s="68"/>
      <c r="G327" s="68"/>
      <c r="M327" s="68"/>
    </row>
    <row r="328" ht="15.75" customHeight="1">
      <c r="C328" s="68"/>
      <c r="E328" s="68"/>
      <c r="F328" s="68"/>
      <c r="G328" s="68"/>
      <c r="M328" s="68"/>
    </row>
    <row r="329" ht="15.75" customHeight="1">
      <c r="C329" s="68"/>
      <c r="E329" s="68"/>
      <c r="F329" s="68"/>
      <c r="G329" s="68"/>
      <c r="M329" s="68"/>
    </row>
    <row r="330" ht="15.75" customHeight="1">
      <c r="C330" s="68"/>
      <c r="E330" s="68"/>
      <c r="F330" s="68"/>
      <c r="G330" s="68"/>
      <c r="M330" s="68"/>
    </row>
    <row r="331" ht="15.75" customHeight="1">
      <c r="C331" s="68"/>
      <c r="E331" s="68"/>
      <c r="F331" s="68"/>
      <c r="G331" s="68"/>
      <c r="M331" s="68"/>
    </row>
    <row r="332" ht="15.75" customHeight="1">
      <c r="C332" s="68"/>
      <c r="E332" s="68"/>
      <c r="F332" s="68"/>
      <c r="G332" s="68"/>
      <c r="M332" s="68"/>
    </row>
    <row r="333" ht="15.75" customHeight="1">
      <c r="C333" s="68"/>
      <c r="E333" s="68"/>
      <c r="F333" s="68"/>
      <c r="G333" s="68"/>
      <c r="M333" s="68"/>
    </row>
    <row r="334" ht="15.75" customHeight="1">
      <c r="C334" s="68"/>
      <c r="E334" s="68"/>
      <c r="F334" s="68"/>
      <c r="G334" s="68"/>
      <c r="M334" s="68"/>
    </row>
    <row r="335" ht="15.75" customHeight="1">
      <c r="C335" s="68"/>
      <c r="E335" s="68"/>
      <c r="F335" s="68"/>
      <c r="G335" s="68"/>
      <c r="M335" s="68"/>
    </row>
    <row r="336" ht="15.75" customHeight="1">
      <c r="C336" s="68"/>
      <c r="E336" s="68"/>
      <c r="F336" s="68"/>
      <c r="G336" s="68"/>
      <c r="M336" s="68"/>
    </row>
    <row r="337" ht="15.75" customHeight="1">
      <c r="C337" s="68"/>
      <c r="E337" s="68"/>
      <c r="F337" s="68"/>
      <c r="G337" s="68"/>
      <c r="M337" s="68"/>
    </row>
    <row r="338" ht="15.75" customHeight="1">
      <c r="C338" s="68"/>
      <c r="E338" s="68"/>
      <c r="F338" s="68"/>
      <c r="G338" s="68"/>
      <c r="M338" s="68"/>
    </row>
    <row r="339" ht="15.75" customHeight="1">
      <c r="C339" s="68"/>
      <c r="E339" s="68"/>
      <c r="F339" s="68"/>
      <c r="G339" s="68"/>
      <c r="M339" s="68"/>
    </row>
    <row r="340" ht="15.75" customHeight="1">
      <c r="C340" s="68"/>
      <c r="E340" s="68"/>
      <c r="F340" s="68"/>
      <c r="G340" s="68"/>
      <c r="M340" s="68"/>
    </row>
    <row r="341" ht="15.75" customHeight="1">
      <c r="C341" s="68"/>
      <c r="E341" s="68"/>
      <c r="F341" s="68"/>
      <c r="G341" s="68"/>
      <c r="M341" s="68"/>
    </row>
    <row r="342" ht="15.75" customHeight="1">
      <c r="C342" s="68"/>
      <c r="E342" s="68"/>
      <c r="F342" s="68"/>
      <c r="G342" s="68"/>
      <c r="M342" s="68"/>
    </row>
    <row r="343" ht="15.75" customHeight="1">
      <c r="C343" s="68"/>
      <c r="E343" s="68"/>
      <c r="F343" s="68"/>
      <c r="G343" s="68"/>
      <c r="M343" s="68"/>
    </row>
    <row r="344" ht="15.75" customHeight="1">
      <c r="C344" s="68"/>
      <c r="E344" s="68"/>
      <c r="F344" s="68"/>
      <c r="G344" s="68"/>
      <c r="M344" s="68"/>
    </row>
    <row r="345" ht="15.75" customHeight="1">
      <c r="C345" s="68"/>
      <c r="E345" s="68"/>
      <c r="F345" s="68"/>
      <c r="G345" s="68"/>
      <c r="M345" s="68"/>
    </row>
    <row r="346" ht="15.75" customHeight="1">
      <c r="C346" s="68"/>
      <c r="E346" s="68"/>
      <c r="F346" s="68"/>
      <c r="G346" s="68"/>
      <c r="M346" s="68"/>
    </row>
    <row r="347" ht="15.75" customHeight="1">
      <c r="C347" s="68"/>
      <c r="E347" s="68"/>
      <c r="F347" s="68"/>
      <c r="G347" s="68"/>
      <c r="M347" s="68"/>
    </row>
    <row r="348" ht="15.75" customHeight="1">
      <c r="C348" s="68"/>
      <c r="E348" s="68"/>
      <c r="F348" s="68"/>
      <c r="G348" s="68"/>
      <c r="M348" s="68"/>
    </row>
    <row r="349" ht="15.75" customHeight="1">
      <c r="C349" s="68"/>
      <c r="E349" s="68"/>
      <c r="F349" s="68"/>
      <c r="G349" s="68"/>
      <c r="M349" s="68"/>
    </row>
    <row r="350" ht="15.75" customHeight="1">
      <c r="C350" s="68"/>
      <c r="E350" s="68"/>
      <c r="F350" s="68"/>
      <c r="G350" s="68"/>
      <c r="M350" s="68"/>
    </row>
    <row r="351" ht="15.75" customHeight="1">
      <c r="C351" s="68"/>
      <c r="E351" s="68"/>
      <c r="F351" s="68"/>
      <c r="G351" s="68"/>
      <c r="M351" s="68"/>
    </row>
    <row r="352" ht="15.75" customHeight="1">
      <c r="C352" s="68"/>
      <c r="E352" s="68"/>
      <c r="F352" s="68"/>
      <c r="G352" s="68"/>
      <c r="M352" s="68"/>
    </row>
    <row r="353" ht="15.75" customHeight="1">
      <c r="C353" s="68"/>
      <c r="E353" s="68"/>
      <c r="F353" s="68"/>
      <c r="G353" s="68"/>
      <c r="M353" s="68"/>
    </row>
    <row r="354" ht="15.75" customHeight="1">
      <c r="C354" s="68"/>
      <c r="E354" s="68"/>
      <c r="F354" s="68"/>
      <c r="G354" s="68"/>
      <c r="M354" s="68"/>
    </row>
    <row r="355" ht="15.75" customHeight="1">
      <c r="C355" s="68"/>
      <c r="E355" s="68"/>
      <c r="F355" s="68"/>
      <c r="G355" s="68"/>
      <c r="M355" s="68"/>
    </row>
    <row r="356" ht="15.75" customHeight="1">
      <c r="C356" s="68"/>
      <c r="E356" s="68"/>
      <c r="F356" s="68"/>
      <c r="G356" s="68"/>
      <c r="M356" s="68"/>
    </row>
    <row r="357" ht="15.75" customHeight="1">
      <c r="C357" s="68"/>
      <c r="E357" s="68"/>
      <c r="F357" s="68"/>
      <c r="G357" s="68"/>
      <c r="M357" s="68"/>
    </row>
    <row r="358" ht="15.75" customHeight="1">
      <c r="C358" s="68"/>
      <c r="E358" s="68"/>
      <c r="F358" s="68"/>
      <c r="G358" s="68"/>
      <c r="M358" s="68"/>
    </row>
    <row r="359" ht="15.75" customHeight="1">
      <c r="C359" s="68"/>
      <c r="E359" s="68"/>
      <c r="F359" s="68"/>
      <c r="G359" s="68"/>
      <c r="M359" s="68"/>
    </row>
    <row r="360" ht="15.75" customHeight="1">
      <c r="C360" s="68"/>
      <c r="E360" s="68"/>
      <c r="F360" s="68"/>
      <c r="G360" s="68"/>
      <c r="M360" s="68"/>
    </row>
    <row r="361" ht="15.75" customHeight="1">
      <c r="C361" s="68"/>
      <c r="E361" s="68"/>
      <c r="F361" s="68"/>
      <c r="G361" s="68"/>
      <c r="M361" s="68"/>
    </row>
    <row r="362" ht="15.75" customHeight="1">
      <c r="C362" s="68"/>
      <c r="E362" s="68"/>
      <c r="F362" s="68"/>
      <c r="G362" s="68"/>
      <c r="M362" s="68"/>
    </row>
    <row r="363" ht="15.75" customHeight="1">
      <c r="C363" s="68"/>
      <c r="E363" s="68"/>
      <c r="F363" s="68"/>
      <c r="G363" s="68"/>
      <c r="M363" s="68"/>
    </row>
    <row r="364" ht="15.75" customHeight="1">
      <c r="C364" s="68"/>
      <c r="E364" s="68"/>
      <c r="F364" s="68"/>
      <c r="G364" s="68"/>
      <c r="M364" s="68"/>
    </row>
    <row r="365" ht="15.75" customHeight="1">
      <c r="C365" s="68"/>
      <c r="E365" s="68"/>
      <c r="F365" s="68"/>
      <c r="G365" s="68"/>
      <c r="M365" s="68"/>
    </row>
    <row r="366" ht="15.75" customHeight="1">
      <c r="C366" s="68"/>
      <c r="E366" s="68"/>
      <c r="F366" s="68"/>
      <c r="G366" s="68"/>
      <c r="M366" s="68"/>
    </row>
    <row r="367" ht="15.75" customHeight="1">
      <c r="C367" s="68"/>
      <c r="E367" s="68"/>
      <c r="F367" s="68"/>
      <c r="G367" s="68"/>
      <c r="M367" s="68"/>
    </row>
    <row r="368" ht="15.75" customHeight="1">
      <c r="C368" s="68"/>
      <c r="E368" s="68"/>
      <c r="F368" s="68"/>
      <c r="G368" s="68"/>
      <c r="M368" s="68"/>
    </row>
    <row r="369" ht="15.75" customHeight="1">
      <c r="C369" s="68"/>
      <c r="E369" s="68"/>
      <c r="F369" s="68"/>
      <c r="G369" s="68"/>
      <c r="M369" s="68"/>
    </row>
    <row r="370" ht="15.75" customHeight="1">
      <c r="C370" s="68"/>
      <c r="E370" s="68"/>
      <c r="F370" s="68"/>
      <c r="G370" s="68"/>
      <c r="M370" s="68"/>
    </row>
    <row r="371" ht="15.75" customHeight="1">
      <c r="C371" s="68"/>
      <c r="E371" s="68"/>
      <c r="F371" s="68"/>
      <c r="G371" s="68"/>
      <c r="M371" s="68"/>
    </row>
    <row r="372" ht="15.75" customHeight="1">
      <c r="C372" s="68"/>
      <c r="E372" s="68"/>
      <c r="F372" s="68"/>
      <c r="G372" s="68"/>
      <c r="M372" s="68"/>
    </row>
    <row r="373" ht="15.75" customHeight="1">
      <c r="C373" s="68"/>
      <c r="E373" s="68"/>
      <c r="F373" s="68"/>
      <c r="G373" s="68"/>
      <c r="M373" s="68"/>
    </row>
    <row r="374" ht="15.75" customHeight="1">
      <c r="C374" s="68"/>
      <c r="E374" s="68"/>
      <c r="F374" s="68"/>
      <c r="G374" s="68"/>
      <c r="M374" s="68"/>
    </row>
    <row r="375" ht="15.75" customHeight="1">
      <c r="C375" s="68"/>
      <c r="E375" s="68"/>
      <c r="F375" s="68"/>
      <c r="G375" s="68"/>
      <c r="M375" s="68"/>
    </row>
    <row r="376" ht="15.75" customHeight="1">
      <c r="C376" s="68"/>
      <c r="E376" s="68"/>
      <c r="F376" s="68"/>
      <c r="G376" s="68"/>
      <c r="M376" s="68"/>
    </row>
    <row r="377" ht="15.75" customHeight="1">
      <c r="C377" s="68"/>
      <c r="E377" s="68"/>
      <c r="F377" s="68"/>
      <c r="G377" s="68"/>
      <c r="M377" s="68"/>
    </row>
    <row r="378" ht="15.75" customHeight="1">
      <c r="C378" s="68"/>
      <c r="E378" s="68"/>
      <c r="F378" s="68"/>
      <c r="G378" s="68"/>
      <c r="M378" s="68"/>
    </row>
    <row r="379" ht="15.75" customHeight="1">
      <c r="C379" s="68"/>
      <c r="E379" s="68"/>
      <c r="F379" s="68"/>
      <c r="G379" s="68"/>
      <c r="M379" s="68"/>
    </row>
    <row r="380" ht="15.75" customHeight="1">
      <c r="C380" s="68"/>
      <c r="E380" s="68"/>
      <c r="F380" s="68"/>
      <c r="G380" s="68"/>
      <c r="M380" s="68"/>
    </row>
    <row r="381" ht="15.75" customHeight="1">
      <c r="C381" s="68"/>
      <c r="E381" s="68"/>
      <c r="F381" s="68"/>
      <c r="G381" s="68"/>
      <c r="M381" s="68"/>
    </row>
    <row r="382" ht="15.75" customHeight="1">
      <c r="C382" s="68"/>
      <c r="E382" s="68"/>
      <c r="F382" s="68"/>
      <c r="G382" s="68"/>
      <c r="M382" s="68"/>
    </row>
    <row r="383" ht="15.75" customHeight="1">
      <c r="C383" s="68"/>
      <c r="E383" s="68"/>
      <c r="F383" s="68"/>
      <c r="G383" s="68"/>
      <c r="M383" s="68"/>
    </row>
    <row r="384" ht="15.75" customHeight="1">
      <c r="C384" s="68"/>
      <c r="E384" s="68"/>
      <c r="F384" s="68"/>
      <c r="G384" s="68"/>
      <c r="M384" s="68"/>
    </row>
    <row r="385" ht="15.75" customHeight="1">
      <c r="C385" s="68"/>
      <c r="E385" s="68"/>
      <c r="F385" s="68"/>
      <c r="G385" s="68"/>
      <c r="M385" s="68"/>
    </row>
    <row r="386" ht="15.75" customHeight="1">
      <c r="C386" s="68"/>
      <c r="E386" s="68"/>
      <c r="F386" s="68"/>
      <c r="G386" s="68"/>
      <c r="M386" s="68"/>
    </row>
    <row r="387" ht="15.75" customHeight="1">
      <c r="C387" s="68"/>
      <c r="E387" s="68"/>
      <c r="F387" s="68"/>
      <c r="G387" s="68"/>
      <c r="M387" s="68"/>
    </row>
    <row r="388" ht="15.75" customHeight="1">
      <c r="C388" s="68"/>
      <c r="E388" s="68"/>
      <c r="F388" s="68"/>
      <c r="G388" s="68"/>
      <c r="M388" s="68"/>
    </row>
    <row r="389" ht="15.75" customHeight="1">
      <c r="C389" s="68"/>
      <c r="E389" s="68"/>
      <c r="F389" s="68"/>
      <c r="G389" s="68"/>
      <c r="M389" s="68"/>
    </row>
    <row r="390" ht="15.75" customHeight="1">
      <c r="C390" s="68"/>
      <c r="E390" s="68"/>
      <c r="F390" s="68"/>
      <c r="G390" s="68"/>
      <c r="M390" s="68"/>
    </row>
    <row r="391" ht="15.75" customHeight="1">
      <c r="C391" s="68"/>
      <c r="E391" s="68"/>
      <c r="F391" s="68"/>
      <c r="G391" s="68"/>
      <c r="M391" s="68"/>
    </row>
    <row r="392" ht="15.75" customHeight="1">
      <c r="C392" s="68"/>
      <c r="E392" s="68"/>
      <c r="F392" s="68"/>
      <c r="G392" s="68"/>
      <c r="M392" s="68"/>
    </row>
    <row r="393" ht="15.75" customHeight="1">
      <c r="C393" s="68"/>
      <c r="E393" s="68"/>
      <c r="F393" s="68"/>
      <c r="G393" s="68"/>
      <c r="M393" s="68"/>
    </row>
    <row r="394" ht="15.75" customHeight="1">
      <c r="C394" s="68"/>
      <c r="E394" s="68"/>
      <c r="F394" s="68"/>
      <c r="G394" s="68"/>
      <c r="M394" s="68"/>
    </row>
    <row r="395" ht="15.75" customHeight="1">
      <c r="C395" s="68"/>
      <c r="E395" s="68"/>
      <c r="F395" s="68"/>
      <c r="G395" s="68"/>
      <c r="M395" s="68"/>
    </row>
    <row r="396" ht="15.75" customHeight="1">
      <c r="C396" s="68"/>
      <c r="E396" s="68"/>
      <c r="F396" s="68"/>
      <c r="G396" s="68"/>
      <c r="M396" s="68"/>
    </row>
    <row r="397" ht="15.75" customHeight="1">
      <c r="C397" s="68"/>
      <c r="E397" s="68"/>
      <c r="F397" s="68"/>
      <c r="G397" s="68"/>
      <c r="M397" s="68"/>
    </row>
    <row r="398" ht="15.75" customHeight="1">
      <c r="C398" s="68"/>
      <c r="E398" s="68"/>
      <c r="F398" s="68"/>
      <c r="G398" s="68"/>
      <c r="M398" s="68"/>
    </row>
    <row r="399" ht="15.75" customHeight="1">
      <c r="C399" s="68"/>
      <c r="E399" s="68"/>
      <c r="F399" s="68"/>
      <c r="G399" s="68"/>
      <c r="M399" s="68"/>
    </row>
    <row r="400" ht="15.75" customHeight="1">
      <c r="C400" s="68"/>
      <c r="E400" s="68"/>
      <c r="F400" s="68"/>
      <c r="G400" s="68"/>
      <c r="M400" s="68"/>
    </row>
    <row r="401" ht="15.75" customHeight="1">
      <c r="C401" s="68"/>
      <c r="E401" s="68"/>
      <c r="F401" s="68"/>
      <c r="G401" s="68"/>
      <c r="M401" s="68"/>
    </row>
    <row r="402" ht="15.75" customHeight="1">
      <c r="C402" s="68"/>
      <c r="E402" s="68"/>
      <c r="F402" s="68"/>
      <c r="G402" s="68"/>
      <c r="M402" s="68"/>
    </row>
    <row r="403" ht="15.75" customHeight="1">
      <c r="C403" s="68"/>
      <c r="E403" s="68"/>
      <c r="F403" s="68"/>
      <c r="G403" s="68"/>
      <c r="M403" s="68"/>
    </row>
    <row r="404" ht="15.75" customHeight="1">
      <c r="C404" s="68"/>
      <c r="E404" s="68"/>
      <c r="F404" s="68"/>
      <c r="G404" s="68"/>
      <c r="M404" s="68"/>
    </row>
    <row r="405" ht="15.75" customHeight="1">
      <c r="C405" s="68"/>
      <c r="E405" s="68"/>
      <c r="F405" s="68"/>
      <c r="G405" s="68"/>
      <c r="M405" s="68"/>
    </row>
    <row r="406" ht="15.75" customHeight="1">
      <c r="C406" s="68"/>
      <c r="E406" s="68"/>
      <c r="F406" s="68"/>
      <c r="G406" s="68"/>
      <c r="M406" s="68"/>
    </row>
    <row r="407" ht="15.75" customHeight="1">
      <c r="C407" s="68"/>
      <c r="E407" s="68"/>
      <c r="F407" s="68"/>
      <c r="G407" s="68"/>
      <c r="M407" s="68"/>
    </row>
    <row r="408" ht="15.75" customHeight="1">
      <c r="C408" s="68"/>
      <c r="E408" s="68"/>
      <c r="F408" s="68"/>
      <c r="G408" s="68"/>
      <c r="M408" s="68"/>
    </row>
    <row r="409" ht="15.75" customHeight="1">
      <c r="C409" s="68"/>
      <c r="E409" s="68"/>
      <c r="F409" s="68"/>
      <c r="G409" s="68"/>
      <c r="M409" s="68"/>
    </row>
    <row r="410" ht="15.75" customHeight="1">
      <c r="C410" s="68"/>
      <c r="E410" s="68"/>
      <c r="F410" s="68"/>
      <c r="G410" s="68"/>
      <c r="M410" s="68"/>
    </row>
    <row r="411" ht="15.75" customHeight="1">
      <c r="C411" s="68"/>
      <c r="E411" s="68"/>
      <c r="F411" s="68"/>
      <c r="G411" s="68"/>
      <c r="M411" s="68"/>
    </row>
    <row r="412" ht="15.75" customHeight="1">
      <c r="C412" s="68"/>
      <c r="E412" s="68"/>
      <c r="F412" s="68"/>
      <c r="G412" s="68"/>
      <c r="M412" s="68"/>
    </row>
    <row r="413" ht="15.75" customHeight="1">
      <c r="C413" s="68"/>
      <c r="E413" s="68"/>
      <c r="F413" s="68"/>
      <c r="G413" s="68"/>
      <c r="M413" s="68"/>
    </row>
    <row r="414" ht="15.75" customHeight="1">
      <c r="C414" s="68"/>
      <c r="E414" s="68"/>
      <c r="F414" s="68"/>
      <c r="G414" s="68"/>
      <c r="M414" s="68"/>
    </row>
    <row r="415" ht="15.75" customHeight="1">
      <c r="C415" s="68"/>
      <c r="E415" s="68"/>
      <c r="F415" s="68"/>
      <c r="G415" s="68"/>
      <c r="M415" s="68"/>
    </row>
    <row r="416" ht="15.75" customHeight="1">
      <c r="C416" s="68"/>
      <c r="E416" s="68"/>
      <c r="F416" s="68"/>
      <c r="G416" s="68"/>
      <c r="M416" s="68"/>
    </row>
    <row r="417" ht="15.75" customHeight="1">
      <c r="C417" s="68"/>
      <c r="E417" s="68"/>
      <c r="F417" s="68"/>
      <c r="G417" s="68"/>
      <c r="M417" s="68"/>
    </row>
    <row r="418" ht="15.75" customHeight="1">
      <c r="C418" s="68"/>
      <c r="E418" s="68"/>
      <c r="F418" s="68"/>
      <c r="G418" s="68"/>
      <c r="M418" s="68"/>
    </row>
    <row r="419" ht="15.75" customHeight="1">
      <c r="C419" s="68"/>
      <c r="E419" s="68"/>
      <c r="F419" s="68"/>
      <c r="G419" s="68"/>
      <c r="M419" s="68"/>
    </row>
    <row r="420" ht="15.75" customHeight="1">
      <c r="C420" s="68"/>
      <c r="E420" s="68"/>
      <c r="F420" s="68"/>
      <c r="G420" s="68"/>
      <c r="M420" s="68"/>
    </row>
    <row r="421" ht="15.75" customHeight="1">
      <c r="C421" s="68"/>
      <c r="E421" s="68"/>
      <c r="F421" s="68"/>
      <c r="G421" s="68"/>
      <c r="M421" s="68"/>
    </row>
    <row r="422" ht="15.75" customHeight="1">
      <c r="C422" s="68"/>
      <c r="E422" s="68"/>
      <c r="F422" s="68"/>
      <c r="G422" s="68"/>
      <c r="M422" s="68"/>
    </row>
    <row r="423" ht="15.75" customHeight="1">
      <c r="C423" s="68"/>
      <c r="E423" s="68"/>
      <c r="F423" s="68"/>
      <c r="G423" s="68"/>
      <c r="M423" s="68"/>
    </row>
    <row r="424" ht="15.75" customHeight="1">
      <c r="C424" s="68"/>
      <c r="E424" s="68"/>
      <c r="F424" s="68"/>
      <c r="G424" s="68"/>
      <c r="M424" s="68"/>
    </row>
    <row r="425" ht="15.75" customHeight="1">
      <c r="C425" s="68"/>
      <c r="E425" s="68"/>
      <c r="F425" s="68"/>
      <c r="G425" s="68"/>
      <c r="M425" s="68"/>
    </row>
    <row r="426" ht="15.75" customHeight="1">
      <c r="C426" s="68"/>
      <c r="E426" s="68"/>
      <c r="F426" s="68"/>
      <c r="G426" s="68"/>
      <c r="M426" s="68"/>
    </row>
    <row r="427" ht="15.75" customHeight="1">
      <c r="C427" s="68"/>
      <c r="E427" s="68"/>
      <c r="F427" s="68"/>
      <c r="G427" s="68"/>
      <c r="M427" s="68"/>
    </row>
    <row r="428" ht="15.75" customHeight="1">
      <c r="C428" s="68"/>
      <c r="E428" s="68"/>
      <c r="F428" s="68"/>
      <c r="G428" s="68"/>
      <c r="M428" s="68"/>
    </row>
    <row r="429" ht="15.75" customHeight="1">
      <c r="C429" s="68"/>
      <c r="E429" s="68"/>
      <c r="F429" s="68"/>
      <c r="G429" s="68"/>
      <c r="M429" s="68"/>
    </row>
    <row r="430" ht="15.75" customHeight="1">
      <c r="C430" s="68"/>
      <c r="E430" s="68"/>
      <c r="F430" s="68"/>
      <c r="G430" s="68"/>
      <c r="M430" s="68"/>
    </row>
    <row r="431" ht="15.75" customHeight="1">
      <c r="C431" s="68"/>
      <c r="E431" s="68"/>
      <c r="F431" s="68"/>
      <c r="G431" s="68"/>
      <c r="M431" s="68"/>
    </row>
    <row r="432" ht="15.75" customHeight="1">
      <c r="C432" s="68"/>
      <c r="E432" s="68"/>
      <c r="F432" s="68"/>
      <c r="G432" s="68"/>
      <c r="M432" s="68"/>
    </row>
    <row r="433" ht="15.75" customHeight="1">
      <c r="C433" s="68"/>
      <c r="E433" s="68"/>
      <c r="F433" s="68"/>
      <c r="G433" s="68"/>
      <c r="M433" s="68"/>
    </row>
    <row r="434" ht="15.75" customHeight="1">
      <c r="C434" s="68"/>
      <c r="E434" s="68"/>
      <c r="F434" s="68"/>
      <c r="G434" s="68"/>
      <c r="M434" s="68"/>
    </row>
    <row r="435" ht="15.75" customHeight="1">
      <c r="C435" s="68"/>
      <c r="E435" s="68"/>
      <c r="F435" s="68"/>
      <c r="G435" s="68"/>
      <c r="M435" s="68"/>
    </row>
    <row r="436" ht="15.75" customHeight="1">
      <c r="C436" s="68"/>
      <c r="E436" s="68"/>
      <c r="F436" s="68"/>
      <c r="G436" s="68"/>
      <c r="M436" s="68"/>
    </row>
    <row r="437" ht="15.75" customHeight="1">
      <c r="C437" s="68"/>
      <c r="E437" s="68"/>
      <c r="F437" s="68"/>
      <c r="G437" s="68"/>
      <c r="M437" s="68"/>
    </row>
    <row r="438" ht="15.75" customHeight="1">
      <c r="C438" s="68"/>
      <c r="E438" s="68"/>
      <c r="F438" s="68"/>
      <c r="G438" s="68"/>
      <c r="M438" s="68"/>
    </row>
    <row r="439" ht="15.75" customHeight="1">
      <c r="C439" s="68"/>
      <c r="E439" s="68"/>
      <c r="F439" s="68"/>
      <c r="G439" s="68"/>
      <c r="M439" s="68"/>
    </row>
    <row r="440" ht="15.75" customHeight="1">
      <c r="C440" s="68"/>
      <c r="E440" s="68"/>
      <c r="F440" s="68"/>
      <c r="G440" s="68"/>
      <c r="M440" s="68"/>
    </row>
    <row r="441" ht="15.75" customHeight="1">
      <c r="C441" s="68"/>
      <c r="E441" s="68"/>
      <c r="F441" s="68"/>
      <c r="G441" s="68"/>
      <c r="M441" s="68"/>
    </row>
    <row r="442" ht="15.75" customHeight="1">
      <c r="C442" s="68"/>
      <c r="E442" s="68"/>
      <c r="F442" s="68"/>
      <c r="G442" s="68"/>
      <c r="M442" s="68"/>
    </row>
    <row r="443" ht="15.75" customHeight="1">
      <c r="C443" s="68"/>
      <c r="E443" s="68"/>
      <c r="F443" s="68"/>
      <c r="G443" s="68"/>
      <c r="M443" s="68"/>
    </row>
    <row r="444" ht="15.75" customHeight="1">
      <c r="C444" s="68"/>
      <c r="E444" s="68"/>
      <c r="F444" s="68"/>
      <c r="G444" s="68"/>
      <c r="M444" s="68"/>
    </row>
    <row r="445" ht="15.75" customHeight="1">
      <c r="C445" s="68"/>
      <c r="E445" s="68"/>
      <c r="F445" s="68"/>
      <c r="G445" s="68"/>
      <c r="M445" s="68"/>
    </row>
    <row r="446" ht="15.75" customHeight="1">
      <c r="C446" s="68"/>
      <c r="E446" s="68"/>
      <c r="F446" s="68"/>
      <c r="G446" s="68"/>
      <c r="M446" s="68"/>
    </row>
    <row r="447" ht="15.75" customHeight="1">
      <c r="C447" s="68"/>
      <c r="E447" s="68"/>
      <c r="F447" s="68"/>
      <c r="G447" s="68"/>
      <c r="M447" s="68"/>
    </row>
    <row r="448" ht="15.75" customHeight="1">
      <c r="C448" s="68"/>
      <c r="E448" s="68"/>
      <c r="F448" s="68"/>
      <c r="G448" s="68"/>
      <c r="M448" s="68"/>
    </row>
    <row r="449" ht="15.75" customHeight="1">
      <c r="C449" s="68"/>
      <c r="E449" s="68"/>
      <c r="F449" s="68"/>
      <c r="G449" s="68"/>
      <c r="M449" s="68"/>
    </row>
    <row r="450" ht="15.75" customHeight="1">
      <c r="C450" s="68"/>
      <c r="E450" s="68"/>
      <c r="F450" s="68"/>
      <c r="G450" s="68"/>
      <c r="M450" s="68"/>
    </row>
    <row r="451" ht="15.75" customHeight="1">
      <c r="C451" s="68"/>
      <c r="E451" s="68"/>
      <c r="F451" s="68"/>
      <c r="G451" s="68"/>
      <c r="M451" s="68"/>
    </row>
    <row r="452" ht="15.75" customHeight="1">
      <c r="C452" s="68"/>
      <c r="E452" s="68"/>
      <c r="F452" s="68"/>
      <c r="G452" s="68"/>
      <c r="M452" s="68"/>
    </row>
    <row r="453" ht="15.75" customHeight="1">
      <c r="C453" s="68"/>
      <c r="E453" s="68"/>
      <c r="F453" s="68"/>
      <c r="G453" s="68"/>
      <c r="M453" s="68"/>
    </row>
    <row r="454" ht="15.75" customHeight="1">
      <c r="C454" s="68"/>
      <c r="E454" s="68"/>
      <c r="F454" s="68"/>
      <c r="G454" s="68"/>
      <c r="M454" s="68"/>
    </row>
    <row r="455" ht="15.75" customHeight="1">
      <c r="C455" s="68"/>
      <c r="E455" s="68"/>
      <c r="F455" s="68"/>
      <c r="G455" s="68"/>
      <c r="M455" s="68"/>
    </row>
    <row r="456" ht="15.75" customHeight="1">
      <c r="C456" s="68"/>
      <c r="E456" s="68"/>
      <c r="F456" s="68"/>
      <c r="G456" s="68"/>
      <c r="M456" s="68"/>
    </row>
    <row r="457" ht="15.75" customHeight="1">
      <c r="C457" s="68"/>
      <c r="E457" s="68"/>
      <c r="F457" s="68"/>
      <c r="G457" s="68"/>
      <c r="M457" s="68"/>
    </row>
    <row r="458" ht="15.75" customHeight="1">
      <c r="C458" s="68"/>
      <c r="E458" s="68"/>
      <c r="F458" s="68"/>
      <c r="G458" s="68"/>
      <c r="M458" s="68"/>
    </row>
    <row r="459" ht="15.75" customHeight="1">
      <c r="C459" s="68"/>
      <c r="E459" s="68"/>
      <c r="F459" s="68"/>
      <c r="G459" s="68"/>
      <c r="M459" s="68"/>
    </row>
    <row r="460" ht="15.75" customHeight="1">
      <c r="C460" s="68"/>
      <c r="E460" s="68"/>
      <c r="F460" s="68"/>
      <c r="G460" s="68"/>
      <c r="M460" s="68"/>
    </row>
    <row r="461" ht="15.75" customHeight="1">
      <c r="C461" s="68"/>
      <c r="E461" s="68"/>
      <c r="F461" s="68"/>
      <c r="G461" s="68"/>
      <c r="M461" s="68"/>
    </row>
    <row r="462" ht="15.75" customHeight="1">
      <c r="C462" s="68"/>
      <c r="E462" s="68"/>
      <c r="F462" s="68"/>
      <c r="G462" s="68"/>
      <c r="M462" s="68"/>
    </row>
    <row r="463" ht="15.75" customHeight="1">
      <c r="C463" s="68"/>
      <c r="E463" s="68"/>
      <c r="F463" s="68"/>
      <c r="G463" s="68"/>
      <c r="M463" s="68"/>
    </row>
    <row r="464" ht="15.75" customHeight="1">
      <c r="C464" s="68"/>
      <c r="E464" s="68"/>
      <c r="F464" s="68"/>
      <c r="G464" s="68"/>
      <c r="M464" s="68"/>
    </row>
    <row r="465" ht="15.75" customHeight="1">
      <c r="C465" s="68"/>
      <c r="E465" s="68"/>
      <c r="F465" s="68"/>
      <c r="G465" s="68"/>
      <c r="M465" s="68"/>
    </row>
    <row r="466" ht="15.75" customHeight="1">
      <c r="C466" s="68"/>
      <c r="E466" s="68"/>
      <c r="F466" s="68"/>
      <c r="G466" s="68"/>
      <c r="M466" s="68"/>
    </row>
    <row r="467" ht="15.75" customHeight="1">
      <c r="C467" s="68"/>
      <c r="E467" s="68"/>
      <c r="F467" s="68"/>
      <c r="G467" s="68"/>
      <c r="M467" s="68"/>
    </row>
    <row r="468" ht="15.75" customHeight="1">
      <c r="C468" s="68"/>
      <c r="E468" s="68"/>
      <c r="F468" s="68"/>
      <c r="G468" s="68"/>
      <c r="M468" s="68"/>
    </row>
    <row r="469" ht="15.75" customHeight="1">
      <c r="C469" s="68"/>
      <c r="E469" s="68"/>
      <c r="F469" s="68"/>
      <c r="G469" s="68"/>
      <c r="M469" s="68"/>
    </row>
    <row r="470" ht="15.75" customHeight="1">
      <c r="C470" s="68"/>
      <c r="E470" s="68"/>
      <c r="F470" s="68"/>
      <c r="G470" s="68"/>
      <c r="M470" s="68"/>
    </row>
    <row r="471" ht="15.75" customHeight="1">
      <c r="C471" s="68"/>
      <c r="E471" s="68"/>
      <c r="F471" s="68"/>
      <c r="G471" s="68"/>
      <c r="M471" s="68"/>
    </row>
    <row r="472" ht="15.75" customHeight="1">
      <c r="C472" s="68"/>
      <c r="E472" s="68"/>
      <c r="F472" s="68"/>
      <c r="G472" s="68"/>
      <c r="M472" s="68"/>
    </row>
    <row r="473" ht="15.75" customHeight="1">
      <c r="C473" s="68"/>
      <c r="E473" s="68"/>
      <c r="F473" s="68"/>
      <c r="G473" s="68"/>
      <c r="M473" s="68"/>
    </row>
    <row r="474" ht="15.75" customHeight="1">
      <c r="C474" s="68"/>
      <c r="E474" s="68"/>
      <c r="F474" s="68"/>
      <c r="G474" s="68"/>
      <c r="M474" s="68"/>
    </row>
    <row r="475" ht="15.75" customHeight="1">
      <c r="C475" s="68"/>
      <c r="E475" s="68"/>
      <c r="F475" s="68"/>
      <c r="G475" s="68"/>
      <c r="M475" s="68"/>
    </row>
    <row r="476" ht="15.75" customHeight="1">
      <c r="C476" s="68"/>
      <c r="E476" s="68"/>
      <c r="F476" s="68"/>
      <c r="G476" s="68"/>
      <c r="M476" s="68"/>
    </row>
    <row r="477" ht="15.75" customHeight="1">
      <c r="C477" s="68"/>
      <c r="E477" s="68"/>
      <c r="F477" s="68"/>
      <c r="G477" s="68"/>
      <c r="M477" s="68"/>
    </row>
    <row r="478" ht="15.75" customHeight="1">
      <c r="C478" s="68"/>
      <c r="E478" s="68"/>
      <c r="F478" s="68"/>
      <c r="G478" s="68"/>
      <c r="M478" s="68"/>
    </row>
    <row r="479" ht="15.75" customHeight="1">
      <c r="C479" s="68"/>
      <c r="E479" s="68"/>
      <c r="F479" s="68"/>
      <c r="G479" s="68"/>
      <c r="M479" s="68"/>
    </row>
    <row r="480" ht="15.75" customHeight="1">
      <c r="C480" s="68"/>
      <c r="E480" s="68"/>
      <c r="F480" s="68"/>
      <c r="G480" s="68"/>
      <c r="M480" s="68"/>
    </row>
    <row r="481" ht="15.75" customHeight="1">
      <c r="C481" s="68"/>
      <c r="E481" s="68"/>
      <c r="F481" s="68"/>
      <c r="G481" s="68"/>
      <c r="M481" s="68"/>
    </row>
    <row r="482" ht="15.75" customHeight="1">
      <c r="C482" s="68"/>
      <c r="E482" s="68"/>
      <c r="F482" s="68"/>
      <c r="G482" s="68"/>
      <c r="M482" s="68"/>
    </row>
    <row r="483" ht="15.75" customHeight="1">
      <c r="C483" s="68"/>
      <c r="E483" s="68"/>
      <c r="F483" s="68"/>
      <c r="G483" s="68"/>
      <c r="M483" s="68"/>
    </row>
    <row r="484" ht="15.75" customHeight="1">
      <c r="C484" s="68"/>
      <c r="E484" s="68"/>
      <c r="F484" s="68"/>
      <c r="G484" s="68"/>
      <c r="M484" s="68"/>
    </row>
    <row r="485" ht="15.75" customHeight="1">
      <c r="C485" s="68"/>
      <c r="E485" s="68"/>
      <c r="F485" s="68"/>
      <c r="G485" s="68"/>
      <c r="M485" s="68"/>
    </row>
    <row r="486" ht="15.75" customHeight="1">
      <c r="C486" s="68"/>
      <c r="E486" s="68"/>
      <c r="F486" s="68"/>
      <c r="G486" s="68"/>
      <c r="M486" s="68"/>
    </row>
    <row r="487" ht="15.75" customHeight="1">
      <c r="C487" s="68"/>
      <c r="E487" s="68"/>
      <c r="F487" s="68"/>
      <c r="G487" s="68"/>
      <c r="M487" s="68"/>
    </row>
    <row r="488" ht="15.75" customHeight="1">
      <c r="C488" s="68"/>
      <c r="E488" s="68"/>
      <c r="F488" s="68"/>
      <c r="G488" s="68"/>
      <c r="M488" s="68"/>
    </row>
    <row r="489" ht="15.75" customHeight="1">
      <c r="C489" s="68"/>
      <c r="E489" s="68"/>
      <c r="F489" s="68"/>
      <c r="G489" s="68"/>
      <c r="M489" s="68"/>
    </row>
    <row r="490" ht="15.75" customHeight="1">
      <c r="C490" s="68"/>
      <c r="E490" s="68"/>
      <c r="F490" s="68"/>
      <c r="G490" s="68"/>
      <c r="M490" s="68"/>
    </row>
    <row r="491" ht="15.75" customHeight="1">
      <c r="C491" s="68"/>
      <c r="E491" s="68"/>
      <c r="F491" s="68"/>
      <c r="G491" s="68"/>
      <c r="M491" s="68"/>
    </row>
    <row r="492" ht="15.75" customHeight="1">
      <c r="C492" s="68"/>
      <c r="E492" s="68"/>
      <c r="F492" s="68"/>
      <c r="G492" s="68"/>
      <c r="M492" s="68"/>
    </row>
    <row r="493" ht="15.75" customHeight="1">
      <c r="C493" s="68"/>
      <c r="E493" s="68"/>
      <c r="F493" s="68"/>
      <c r="G493" s="68"/>
      <c r="M493" s="68"/>
    </row>
    <row r="494" ht="15.75" customHeight="1">
      <c r="C494" s="68"/>
      <c r="E494" s="68"/>
      <c r="F494" s="68"/>
      <c r="G494" s="68"/>
      <c r="M494" s="68"/>
    </row>
    <row r="495" ht="15.75" customHeight="1">
      <c r="C495" s="68"/>
      <c r="E495" s="68"/>
      <c r="F495" s="68"/>
      <c r="G495" s="68"/>
      <c r="M495" s="68"/>
    </row>
    <row r="496" ht="15.75" customHeight="1">
      <c r="C496" s="68"/>
      <c r="E496" s="68"/>
      <c r="F496" s="68"/>
      <c r="G496" s="68"/>
      <c r="M496" s="68"/>
    </row>
    <row r="497" ht="15.75" customHeight="1">
      <c r="C497" s="68"/>
      <c r="E497" s="68"/>
      <c r="F497" s="68"/>
      <c r="G497" s="68"/>
      <c r="M497" s="68"/>
    </row>
    <row r="498" ht="15.75" customHeight="1">
      <c r="C498" s="68"/>
      <c r="E498" s="68"/>
      <c r="F498" s="68"/>
      <c r="G498" s="68"/>
      <c r="M498" s="68"/>
    </row>
    <row r="499" ht="15.75" customHeight="1">
      <c r="C499" s="68"/>
      <c r="E499" s="68"/>
      <c r="F499" s="68"/>
      <c r="G499" s="68"/>
      <c r="M499" s="68"/>
    </row>
    <row r="500" ht="15.75" customHeight="1">
      <c r="C500" s="68"/>
      <c r="E500" s="68"/>
      <c r="F500" s="68"/>
      <c r="G500" s="68"/>
      <c r="M500" s="68"/>
    </row>
    <row r="501" ht="15.75" customHeight="1">
      <c r="C501" s="68"/>
      <c r="E501" s="68"/>
      <c r="F501" s="68"/>
      <c r="G501" s="68"/>
      <c r="M501" s="68"/>
    </row>
    <row r="502" ht="15.75" customHeight="1">
      <c r="C502" s="68"/>
      <c r="E502" s="68"/>
      <c r="F502" s="68"/>
      <c r="G502" s="68"/>
      <c r="M502" s="68"/>
    </row>
    <row r="503" ht="15.75" customHeight="1">
      <c r="C503" s="68"/>
      <c r="E503" s="68"/>
      <c r="F503" s="68"/>
      <c r="G503" s="68"/>
      <c r="M503" s="68"/>
    </row>
    <row r="504" ht="15.75" customHeight="1">
      <c r="C504" s="68"/>
      <c r="E504" s="68"/>
      <c r="F504" s="68"/>
      <c r="G504" s="68"/>
      <c r="M504" s="68"/>
    </row>
    <row r="505" ht="15.75" customHeight="1">
      <c r="C505" s="68"/>
      <c r="E505" s="68"/>
      <c r="F505" s="68"/>
      <c r="G505" s="68"/>
      <c r="M505" s="68"/>
    </row>
    <row r="506" ht="15.75" customHeight="1">
      <c r="C506" s="68"/>
      <c r="E506" s="68"/>
      <c r="F506" s="68"/>
      <c r="G506" s="68"/>
      <c r="M506" s="68"/>
    </row>
    <row r="507" ht="15.75" customHeight="1">
      <c r="C507" s="68"/>
      <c r="E507" s="68"/>
      <c r="F507" s="68"/>
      <c r="G507" s="68"/>
      <c r="M507" s="68"/>
    </row>
    <row r="508" ht="15.75" customHeight="1">
      <c r="C508" s="68"/>
      <c r="E508" s="68"/>
      <c r="F508" s="68"/>
      <c r="G508" s="68"/>
      <c r="M508" s="68"/>
    </row>
    <row r="509" ht="15.75" customHeight="1">
      <c r="C509" s="68"/>
      <c r="E509" s="68"/>
      <c r="F509" s="68"/>
      <c r="G509" s="68"/>
      <c r="M509" s="68"/>
    </row>
    <row r="510" ht="15.75" customHeight="1">
      <c r="C510" s="68"/>
      <c r="E510" s="68"/>
      <c r="F510" s="68"/>
      <c r="G510" s="68"/>
      <c r="M510" s="68"/>
    </row>
    <row r="511" ht="15.75" customHeight="1">
      <c r="C511" s="68"/>
      <c r="E511" s="68"/>
      <c r="F511" s="68"/>
      <c r="G511" s="68"/>
      <c r="M511" s="68"/>
    </row>
    <row r="512" ht="15.75" customHeight="1">
      <c r="C512" s="68"/>
      <c r="E512" s="68"/>
      <c r="F512" s="68"/>
      <c r="G512" s="68"/>
      <c r="M512" s="68"/>
    </row>
    <row r="513" ht="15.75" customHeight="1">
      <c r="C513" s="68"/>
      <c r="E513" s="68"/>
      <c r="F513" s="68"/>
      <c r="G513" s="68"/>
      <c r="M513" s="68"/>
    </row>
    <row r="514" ht="15.75" customHeight="1">
      <c r="C514" s="68"/>
      <c r="E514" s="68"/>
      <c r="F514" s="68"/>
      <c r="G514" s="68"/>
      <c r="M514" s="68"/>
    </row>
    <row r="515" ht="15.75" customHeight="1">
      <c r="C515" s="68"/>
      <c r="E515" s="68"/>
      <c r="F515" s="68"/>
      <c r="G515" s="68"/>
      <c r="M515" s="68"/>
    </row>
    <row r="516" ht="15.75" customHeight="1">
      <c r="C516" s="68"/>
      <c r="E516" s="68"/>
      <c r="F516" s="68"/>
      <c r="G516" s="68"/>
      <c r="M516" s="68"/>
    </row>
    <row r="517" ht="15.75" customHeight="1">
      <c r="C517" s="68"/>
      <c r="E517" s="68"/>
      <c r="F517" s="68"/>
      <c r="G517" s="68"/>
      <c r="M517" s="68"/>
    </row>
    <row r="518" ht="15.75" customHeight="1">
      <c r="C518" s="68"/>
      <c r="E518" s="68"/>
      <c r="F518" s="68"/>
      <c r="G518" s="68"/>
      <c r="M518" s="68"/>
    </row>
    <row r="519" ht="15.75" customHeight="1">
      <c r="C519" s="68"/>
      <c r="E519" s="68"/>
      <c r="F519" s="68"/>
      <c r="G519" s="68"/>
      <c r="M519" s="68"/>
    </row>
    <row r="520" ht="15.75" customHeight="1">
      <c r="C520" s="68"/>
      <c r="E520" s="68"/>
      <c r="F520" s="68"/>
      <c r="G520" s="68"/>
      <c r="M520" s="68"/>
    </row>
    <row r="521" ht="15.75" customHeight="1">
      <c r="C521" s="68"/>
      <c r="E521" s="68"/>
      <c r="F521" s="68"/>
      <c r="G521" s="68"/>
      <c r="M521" s="68"/>
    </row>
    <row r="522" ht="15.75" customHeight="1">
      <c r="C522" s="68"/>
      <c r="E522" s="68"/>
      <c r="F522" s="68"/>
      <c r="G522" s="68"/>
      <c r="M522" s="68"/>
    </row>
    <row r="523" ht="15.75" customHeight="1">
      <c r="C523" s="68"/>
      <c r="E523" s="68"/>
      <c r="F523" s="68"/>
      <c r="G523" s="68"/>
      <c r="M523" s="68"/>
    </row>
    <row r="524" ht="15.75" customHeight="1">
      <c r="C524" s="68"/>
      <c r="E524" s="68"/>
      <c r="F524" s="68"/>
      <c r="G524" s="68"/>
      <c r="M524" s="68"/>
    </row>
    <row r="525" ht="15.75" customHeight="1">
      <c r="C525" s="68"/>
      <c r="E525" s="68"/>
      <c r="F525" s="68"/>
      <c r="G525" s="68"/>
      <c r="M525" s="68"/>
    </row>
    <row r="526" ht="15.75" customHeight="1">
      <c r="C526" s="68"/>
      <c r="E526" s="68"/>
      <c r="F526" s="68"/>
      <c r="G526" s="68"/>
      <c r="M526" s="68"/>
    </row>
    <row r="527" ht="15.75" customHeight="1">
      <c r="C527" s="68"/>
      <c r="E527" s="68"/>
      <c r="F527" s="68"/>
      <c r="G527" s="68"/>
      <c r="M527" s="68"/>
    </row>
    <row r="528" ht="15.75" customHeight="1">
      <c r="C528" s="68"/>
      <c r="E528" s="68"/>
      <c r="F528" s="68"/>
      <c r="G528" s="68"/>
      <c r="M528" s="68"/>
    </row>
    <row r="529" ht="15.75" customHeight="1">
      <c r="C529" s="68"/>
      <c r="E529" s="68"/>
      <c r="F529" s="68"/>
      <c r="G529" s="68"/>
      <c r="M529" s="68"/>
    </row>
    <row r="530" ht="15.75" customHeight="1">
      <c r="C530" s="68"/>
      <c r="E530" s="68"/>
      <c r="F530" s="68"/>
      <c r="G530" s="68"/>
      <c r="M530" s="68"/>
    </row>
    <row r="531" ht="15.75" customHeight="1">
      <c r="C531" s="68"/>
      <c r="E531" s="68"/>
      <c r="F531" s="68"/>
      <c r="G531" s="68"/>
      <c r="M531" s="68"/>
    </row>
    <row r="532" ht="15.75" customHeight="1">
      <c r="C532" s="68"/>
      <c r="E532" s="68"/>
      <c r="F532" s="68"/>
      <c r="G532" s="68"/>
      <c r="M532" s="68"/>
    </row>
    <row r="533" ht="15.75" customHeight="1">
      <c r="C533" s="68"/>
      <c r="E533" s="68"/>
      <c r="F533" s="68"/>
      <c r="G533" s="68"/>
      <c r="M533" s="68"/>
    </row>
    <row r="534" ht="15.75" customHeight="1">
      <c r="C534" s="68"/>
      <c r="E534" s="68"/>
      <c r="F534" s="68"/>
      <c r="G534" s="68"/>
      <c r="M534" s="68"/>
    </row>
    <row r="535" ht="15.75" customHeight="1">
      <c r="C535" s="68"/>
      <c r="E535" s="68"/>
      <c r="F535" s="68"/>
      <c r="G535" s="68"/>
      <c r="M535" s="68"/>
    </row>
    <row r="536" ht="15.75" customHeight="1">
      <c r="C536" s="68"/>
      <c r="E536" s="68"/>
      <c r="F536" s="68"/>
      <c r="G536" s="68"/>
      <c r="M536" s="68"/>
    </row>
    <row r="537" ht="15.75" customHeight="1">
      <c r="C537" s="68"/>
      <c r="E537" s="68"/>
      <c r="F537" s="68"/>
      <c r="G537" s="68"/>
      <c r="M537" s="68"/>
    </row>
    <row r="538" ht="15.75" customHeight="1">
      <c r="C538" s="68"/>
      <c r="E538" s="68"/>
      <c r="F538" s="68"/>
      <c r="G538" s="68"/>
      <c r="M538" s="68"/>
    </row>
    <row r="539" ht="15.75" customHeight="1">
      <c r="C539" s="68"/>
      <c r="E539" s="68"/>
      <c r="F539" s="68"/>
      <c r="G539" s="68"/>
      <c r="M539" s="68"/>
    </row>
    <row r="540" ht="15.75" customHeight="1">
      <c r="C540" s="68"/>
      <c r="E540" s="68"/>
      <c r="F540" s="68"/>
      <c r="G540" s="68"/>
      <c r="M540" s="68"/>
    </row>
    <row r="541" ht="15.75" customHeight="1">
      <c r="C541" s="68"/>
      <c r="E541" s="68"/>
      <c r="F541" s="68"/>
      <c r="G541" s="68"/>
      <c r="M541" s="68"/>
    </row>
    <row r="542" ht="15.75" customHeight="1">
      <c r="C542" s="68"/>
      <c r="E542" s="68"/>
      <c r="F542" s="68"/>
      <c r="G542" s="68"/>
      <c r="M542" s="68"/>
    </row>
    <row r="543" ht="15.75" customHeight="1">
      <c r="C543" s="68"/>
      <c r="E543" s="68"/>
      <c r="F543" s="68"/>
      <c r="G543" s="68"/>
      <c r="M543" s="68"/>
    </row>
    <row r="544" ht="15.75" customHeight="1">
      <c r="C544" s="68"/>
      <c r="E544" s="68"/>
      <c r="F544" s="68"/>
      <c r="G544" s="68"/>
      <c r="M544" s="68"/>
    </row>
    <row r="545" ht="15.75" customHeight="1">
      <c r="C545" s="68"/>
      <c r="E545" s="68"/>
      <c r="F545" s="68"/>
      <c r="G545" s="68"/>
      <c r="M545" s="68"/>
    </row>
    <row r="546" ht="15.75" customHeight="1">
      <c r="C546" s="68"/>
      <c r="E546" s="68"/>
      <c r="F546" s="68"/>
      <c r="G546" s="68"/>
      <c r="M546" s="68"/>
    </row>
    <row r="547" ht="15.75" customHeight="1">
      <c r="C547" s="68"/>
      <c r="E547" s="68"/>
      <c r="F547" s="68"/>
      <c r="G547" s="68"/>
      <c r="M547" s="68"/>
    </row>
    <row r="548" ht="15.75" customHeight="1">
      <c r="C548" s="68"/>
      <c r="E548" s="68"/>
      <c r="F548" s="68"/>
      <c r="G548" s="68"/>
      <c r="M548" s="68"/>
    </row>
    <row r="549" ht="15.75" customHeight="1">
      <c r="C549" s="68"/>
      <c r="E549" s="68"/>
      <c r="F549" s="68"/>
      <c r="G549" s="68"/>
      <c r="M549" s="68"/>
    </row>
    <row r="550" ht="15.75" customHeight="1">
      <c r="C550" s="68"/>
      <c r="E550" s="68"/>
      <c r="F550" s="68"/>
      <c r="G550" s="68"/>
      <c r="M550" s="68"/>
    </row>
    <row r="551" ht="15.75" customHeight="1">
      <c r="C551" s="68"/>
      <c r="E551" s="68"/>
      <c r="F551" s="68"/>
      <c r="G551" s="68"/>
      <c r="M551" s="68"/>
    </row>
    <row r="552" ht="15.75" customHeight="1">
      <c r="C552" s="68"/>
      <c r="E552" s="68"/>
      <c r="F552" s="68"/>
      <c r="G552" s="68"/>
      <c r="M552" s="68"/>
    </row>
    <row r="553" ht="15.75" customHeight="1">
      <c r="C553" s="68"/>
      <c r="E553" s="68"/>
      <c r="F553" s="68"/>
      <c r="G553" s="68"/>
      <c r="M553" s="68"/>
    </row>
    <row r="554" ht="15.75" customHeight="1">
      <c r="C554" s="68"/>
      <c r="E554" s="68"/>
      <c r="F554" s="68"/>
      <c r="G554" s="68"/>
      <c r="M554" s="68"/>
    </row>
    <row r="555" ht="15.75" customHeight="1">
      <c r="C555" s="68"/>
      <c r="E555" s="68"/>
      <c r="F555" s="68"/>
      <c r="G555" s="68"/>
      <c r="M555" s="68"/>
    </row>
    <row r="556" ht="15.75" customHeight="1">
      <c r="C556" s="68"/>
      <c r="E556" s="68"/>
      <c r="F556" s="68"/>
      <c r="G556" s="68"/>
      <c r="M556" s="68"/>
    </row>
    <row r="557" ht="15.75" customHeight="1">
      <c r="C557" s="68"/>
      <c r="E557" s="68"/>
      <c r="F557" s="68"/>
      <c r="G557" s="68"/>
      <c r="M557" s="68"/>
    </row>
    <row r="558" ht="15.75" customHeight="1">
      <c r="C558" s="68"/>
      <c r="E558" s="68"/>
      <c r="F558" s="68"/>
      <c r="G558" s="68"/>
      <c r="M558" s="68"/>
    </row>
    <row r="559" ht="15.75" customHeight="1">
      <c r="C559" s="68"/>
      <c r="E559" s="68"/>
      <c r="F559" s="68"/>
      <c r="G559" s="68"/>
      <c r="M559" s="68"/>
    </row>
    <row r="560" ht="15.75" customHeight="1">
      <c r="C560" s="68"/>
      <c r="E560" s="68"/>
      <c r="F560" s="68"/>
      <c r="G560" s="68"/>
      <c r="M560" s="68"/>
    </row>
    <row r="561" ht="15.75" customHeight="1">
      <c r="C561" s="68"/>
      <c r="E561" s="68"/>
      <c r="F561" s="68"/>
      <c r="G561" s="68"/>
      <c r="M561" s="68"/>
    </row>
    <row r="562" ht="15.75" customHeight="1">
      <c r="C562" s="68"/>
      <c r="E562" s="68"/>
      <c r="F562" s="68"/>
      <c r="G562" s="68"/>
      <c r="M562" s="68"/>
    </row>
    <row r="563" ht="15.75" customHeight="1">
      <c r="C563" s="68"/>
      <c r="E563" s="68"/>
      <c r="F563" s="68"/>
      <c r="G563" s="68"/>
      <c r="M563" s="68"/>
    </row>
    <row r="564" ht="15.75" customHeight="1">
      <c r="C564" s="68"/>
      <c r="E564" s="68"/>
      <c r="F564" s="68"/>
      <c r="G564" s="68"/>
      <c r="M564" s="68"/>
    </row>
    <row r="565" ht="15.75" customHeight="1">
      <c r="C565" s="68"/>
      <c r="E565" s="68"/>
      <c r="F565" s="68"/>
      <c r="G565" s="68"/>
      <c r="M565" s="68"/>
    </row>
    <row r="566" ht="15.75" customHeight="1">
      <c r="C566" s="68"/>
      <c r="E566" s="68"/>
      <c r="F566" s="68"/>
      <c r="G566" s="68"/>
      <c r="M566" s="68"/>
    </row>
    <row r="567" ht="15.75" customHeight="1">
      <c r="C567" s="68"/>
      <c r="E567" s="68"/>
      <c r="F567" s="68"/>
      <c r="G567" s="68"/>
      <c r="M567" s="68"/>
    </row>
    <row r="568" ht="15.75" customHeight="1">
      <c r="C568" s="68"/>
      <c r="E568" s="68"/>
      <c r="F568" s="68"/>
      <c r="G568" s="68"/>
      <c r="M568" s="68"/>
    </row>
    <row r="569" ht="15.75" customHeight="1">
      <c r="C569" s="68"/>
      <c r="E569" s="68"/>
      <c r="F569" s="68"/>
      <c r="G569" s="68"/>
      <c r="M569" s="68"/>
    </row>
    <row r="570" ht="15.75" customHeight="1">
      <c r="C570" s="68"/>
      <c r="E570" s="68"/>
      <c r="F570" s="68"/>
      <c r="G570" s="68"/>
      <c r="M570" s="68"/>
    </row>
    <row r="571" ht="15.75" customHeight="1">
      <c r="C571" s="68"/>
      <c r="E571" s="68"/>
      <c r="F571" s="68"/>
      <c r="G571" s="68"/>
      <c r="M571" s="68"/>
    </row>
    <row r="572" ht="15.75" customHeight="1">
      <c r="C572" s="68"/>
      <c r="E572" s="68"/>
      <c r="F572" s="68"/>
      <c r="G572" s="68"/>
      <c r="M572" s="68"/>
    </row>
    <row r="573" ht="15.75" customHeight="1">
      <c r="C573" s="68"/>
      <c r="E573" s="68"/>
      <c r="F573" s="68"/>
      <c r="G573" s="68"/>
      <c r="M573" s="68"/>
    </row>
    <row r="574" ht="15.75" customHeight="1">
      <c r="C574" s="68"/>
      <c r="E574" s="68"/>
      <c r="F574" s="68"/>
      <c r="G574" s="68"/>
      <c r="M574" s="68"/>
    </row>
    <row r="575" ht="15.75" customHeight="1">
      <c r="C575" s="68"/>
      <c r="E575" s="68"/>
      <c r="F575" s="68"/>
      <c r="G575" s="68"/>
      <c r="M575" s="68"/>
    </row>
    <row r="576" ht="15.75" customHeight="1">
      <c r="C576" s="68"/>
      <c r="E576" s="68"/>
      <c r="F576" s="68"/>
      <c r="G576" s="68"/>
      <c r="M576" s="68"/>
    </row>
    <row r="577" ht="15.75" customHeight="1">
      <c r="C577" s="68"/>
      <c r="E577" s="68"/>
      <c r="F577" s="68"/>
      <c r="G577" s="68"/>
      <c r="M577" s="68"/>
    </row>
    <row r="578" ht="15.75" customHeight="1">
      <c r="C578" s="68"/>
      <c r="E578" s="68"/>
      <c r="F578" s="68"/>
      <c r="G578" s="68"/>
      <c r="M578" s="68"/>
    </row>
    <row r="579" ht="15.75" customHeight="1">
      <c r="C579" s="68"/>
      <c r="E579" s="68"/>
      <c r="F579" s="68"/>
      <c r="G579" s="68"/>
      <c r="M579" s="68"/>
    </row>
    <row r="580" ht="15.75" customHeight="1">
      <c r="C580" s="68"/>
      <c r="E580" s="68"/>
      <c r="F580" s="68"/>
      <c r="G580" s="68"/>
      <c r="M580" s="68"/>
    </row>
    <row r="581" ht="15.75" customHeight="1">
      <c r="C581" s="68"/>
      <c r="E581" s="68"/>
      <c r="F581" s="68"/>
      <c r="G581" s="68"/>
      <c r="M581" s="68"/>
    </row>
    <row r="582" ht="15.75" customHeight="1">
      <c r="C582" s="68"/>
      <c r="E582" s="68"/>
      <c r="F582" s="68"/>
      <c r="G582" s="68"/>
      <c r="M582" s="68"/>
    </row>
    <row r="583" ht="15.75" customHeight="1">
      <c r="C583" s="68"/>
      <c r="E583" s="68"/>
      <c r="F583" s="68"/>
      <c r="G583" s="68"/>
      <c r="M583" s="68"/>
    </row>
    <row r="584" ht="15.75" customHeight="1">
      <c r="C584" s="68"/>
      <c r="E584" s="68"/>
      <c r="F584" s="68"/>
      <c r="G584" s="68"/>
      <c r="M584" s="68"/>
    </row>
    <row r="585" ht="15.75" customHeight="1">
      <c r="C585" s="68"/>
      <c r="E585" s="68"/>
      <c r="F585" s="68"/>
      <c r="G585" s="68"/>
      <c r="M585" s="68"/>
    </row>
    <row r="586" ht="15.75" customHeight="1">
      <c r="C586" s="68"/>
      <c r="E586" s="68"/>
      <c r="F586" s="68"/>
      <c r="G586" s="68"/>
      <c r="M586" s="68"/>
    </row>
    <row r="587" ht="15.75" customHeight="1">
      <c r="C587" s="68"/>
      <c r="E587" s="68"/>
      <c r="F587" s="68"/>
      <c r="G587" s="68"/>
      <c r="M587" s="68"/>
    </row>
    <row r="588" ht="15.75" customHeight="1">
      <c r="C588" s="68"/>
      <c r="E588" s="68"/>
      <c r="F588" s="68"/>
      <c r="G588" s="68"/>
      <c r="M588" s="68"/>
    </row>
    <row r="589" ht="15.75" customHeight="1">
      <c r="C589" s="68"/>
      <c r="E589" s="68"/>
      <c r="F589" s="68"/>
      <c r="G589" s="68"/>
      <c r="M589" s="68"/>
    </row>
    <row r="590" ht="15.75" customHeight="1">
      <c r="C590" s="68"/>
      <c r="E590" s="68"/>
      <c r="F590" s="68"/>
      <c r="G590" s="68"/>
      <c r="M590" s="68"/>
    </row>
    <row r="591" ht="15.75" customHeight="1">
      <c r="C591" s="68"/>
      <c r="E591" s="68"/>
      <c r="F591" s="68"/>
      <c r="G591" s="68"/>
      <c r="M591" s="68"/>
    </row>
    <row r="592" ht="15.75" customHeight="1">
      <c r="C592" s="68"/>
      <c r="E592" s="68"/>
      <c r="F592" s="68"/>
      <c r="G592" s="68"/>
      <c r="M592" s="68"/>
    </row>
    <row r="593" ht="15.75" customHeight="1">
      <c r="C593" s="68"/>
      <c r="E593" s="68"/>
      <c r="F593" s="68"/>
      <c r="G593" s="68"/>
      <c r="M593" s="68"/>
    </row>
    <row r="594" ht="15.75" customHeight="1">
      <c r="C594" s="68"/>
      <c r="E594" s="68"/>
      <c r="F594" s="68"/>
      <c r="G594" s="68"/>
      <c r="M594" s="68"/>
    </row>
    <row r="595" ht="15.75" customHeight="1">
      <c r="C595" s="68"/>
      <c r="E595" s="68"/>
      <c r="F595" s="68"/>
      <c r="G595" s="68"/>
      <c r="M595" s="68"/>
    </row>
    <row r="596" ht="15.75" customHeight="1">
      <c r="C596" s="68"/>
      <c r="E596" s="68"/>
      <c r="F596" s="68"/>
      <c r="G596" s="68"/>
      <c r="M596" s="68"/>
    </row>
    <row r="597" ht="15.75" customHeight="1">
      <c r="C597" s="68"/>
      <c r="E597" s="68"/>
      <c r="F597" s="68"/>
      <c r="G597" s="68"/>
      <c r="M597" s="68"/>
    </row>
    <row r="598" ht="15.75" customHeight="1">
      <c r="C598" s="68"/>
      <c r="E598" s="68"/>
      <c r="F598" s="68"/>
      <c r="G598" s="68"/>
      <c r="M598" s="68"/>
    </row>
    <row r="599" ht="15.75" customHeight="1">
      <c r="C599" s="68"/>
      <c r="E599" s="68"/>
      <c r="F599" s="68"/>
      <c r="G599" s="68"/>
      <c r="M599" s="68"/>
    </row>
    <row r="600" ht="15.75" customHeight="1">
      <c r="C600" s="68"/>
      <c r="E600" s="68"/>
      <c r="F600" s="68"/>
      <c r="G600" s="68"/>
      <c r="M600" s="68"/>
    </row>
    <row r="601" ht="15.75" customHeight="1">
      <c r="C601" s="68"/>
      <c r="E601" s="68"/>
      <c r="F601" s="68"/>
      <c r="G601" s="68"/>
      <c r="M601" s="68"/>
    </row>
    <row r="602" ht="15.75" customHeight="1">
      <c r="C602" s="68"/>
      <c r="E602" s="68"/>
      <c r="F602" s="68"/>
      <c r="G602" s="68"/>
      <c r="M602" s="68"/>
    </row>
    <row r="603" ht="15.75" customHeight="1">
      <c r="C603" s="68"/>
      <c r="E603" s="68"/>
      <c r="F603" s="68"/>
      <c r="G603" s="68"/>
      <c r="M603" s="68"/>
    </row>
    <row r="604" ht="15.75" customHeight="1">
      <c r="C604" s="68"/>
      <c r="E604" s="68"/>
      <c r="F604" s="68"/>
      <c r="G604" s="68"/>
      <c r="M604" s="68"/>
    </row>
    <row r="605" ht="15.75" customHeight="1">
      <c r="C605" s="68"/>
      <c r="E605" s="68"/>
      <c r="F605" s="68"/>
      <c r="G605" s="68"/>
      <c r="M605" s="68"/>
    </row>
    <row r="606" ht="15.75" customHeight="1">
      <c r="C606" s="68"/>
      <c r="E606" s="68"/>
      <c r="F606" s="68"/>
      <c r="G606" s="68"/>
      <c r="M606" s="68"/>
    </row>
    <row r="607" ht="15.75" customHeight="1">
      <c r="C607" s="68"/>
      <c r="E607" s="68"/>
      <c r="F607" s="68"/>
      <c r="G607" s="68"/>
      <c r="M607" s="68"/>
    </row>
    <row r="608" ht="15.75" customHeight="1">
      <c r="C608" s="68"/>
      <c r="E608" s="68"/>
      <c r="F608" s="68"/>
      <c r="G608" s="68"/>
      <c r="M608" s="68"/>
    </row>
    <row r="609" ht="15.75" customHeight="1">
      <c r="C609" s="68"/>
      <c r="E609" s="68"/>
      <c r="F609" s="68"/>
      <c r="G609" s="68"/>
      <c r="M609" s="68"/>
    </row>
    <row r="610" ht="15.75" customHeight="1">
      <c r="C610" s="68"/>
      <c r="E610" s="68"/>
      <c r="F610" s="68"/>
      <c r="G610" s="68"/>
      <c r="M610" s="68"/>
    </row>
    <row r="611" ht="15.75" customHeight="1">
      <c r="C611" s="68"/>
      <c r="E611" s="68"/>
      <c r="F611" s="68"/>
      <c r="G611" s="68"/>
      <c r="M611" s="68"/>
    </row>
    <row r="612" ht="15.75" customHeight="1">
      <c r="C612" s="68"/>
      <c r="E612" s="68"/>
      <c r="F612" s="68"/>
      <c r="G612" s="68"/>
      <c r="M612" s="68"/>
    </row>
    <row r="613" ht="15.75" customHeight="1">
      <c r="C613" s="68"/>
      <c r="E613" s="68"/>
      <c r="F613" s="68"/>
      <c r="G613" s="68"/>
      <c r="M613" s="68"/>
    </row>
    <row r="614" ht="15.75" customHeight="1">
      <c r="C614" s="68"/>
      <c r="E614" s="68"/>
      <c r="F614" s="68"/>
      <c r="G614" s="68"/>
      <c r="M614" s="68"/>
    </row>
    <row r="615" ht="15.75" customHeight="1">
      <c r="C615" s="68"/>
      <c r="E615" s="68"/>
      <c r="F615" s="68"/>
      <c r="G615" s="68"/>
      <c r="M615" s="68"/>
    </row>
    <row r="616" ht="15.75" customHeight="1">
      <c r="C616" s="68"/>
      <c r="E616" s="68"/>
      <c r="F616" s="68"/>
      <c r="G616" s="68"/>
      <c r="M616" s="68"/>
    </row>
    <row r="617" ht="15.75" customHeight="1">
      <c r="C617" s="68"/>
      <c r="E617" s="68"/>
      <c r="F617" s="68"/>
      <c r="G617" s="68"/>
      <c r="M617" s="68"/>
    </row>
    <row r="618" ht="15.75" customHeight="1">
      <c r="C618" s="68"/>
      <c r="E618" s="68"/>
      <c r="F618" s="68"/>
      <c r="G618" s="68"/>
      <c r="M618" s="68"/>
    </row>
    <row r="619" ht="15.75" customHeight="1">
      <c r="C619" s="68"/>
      <c r="E619" s="68"/>
      <c r="F619" s="68"/>
      <c r="G619" s="68"/>
      <c r="M619" s="68"/>
    </row>
    <row r="620" ht="15.75" customHeight="1">
      <c r="C620" s="68"/>
      <c r="E620" s="68"/>
      <c r="F620" s="68"/>
      <c r="G620" s="68"/>
      <c r="M620" s="68"/>
    </row>
    <row r="621" ht="15.75" customHeight="1">
      <c r="C621" s="68"/>
      <c r="E621" s="68"/>
      <c r="F621" s="68"/>
      <c r="G621" s="68"/>
      <c r="M621" s="68"/>
    </row>
    <row r="622" ht="15.75" customHeight="1">
      <c r="C622" s="68"/>
      <c r="E622" s="68"/>
      <c r="F622" s="68"/>
      <c r="G622" s="68"/>
      <c r="M622" s="68"/>
    </row>
    <row r="623" ht="15.75" customHeight="1">
      <c r="C623" s="68"/>
      <c r="E623" s="68"/>
      <c r="F623" s="68"/>
      <c r="G623" s="68"/>
      <c r="M623" s="68"/>
    </row>
    <row r="624" ht="15.75" customHeight="1">
      <c r="C624" s="68"/>
      <c r="E624" s="68"/>
      <c r="F624" s="68"/>
      <c r="G624" s="68"/>
      <c r="M624" s="68"/>
    </row>
    <row r="625" ht="15.75" customHeight="1">
      <c r="C625" s="68"/>
      <c r="E625" s="68"/>
      <c r="F625" s="68"/>
      <c r="G625" s="68"/>
      <c r="M625" s="68"/>
    </row>
    <row r="626" ht="15.75" customHeight="1">
      <c r="C626" s="68"/>
      <c r="E626" s="68"/>
      <c r="F626" s="68"/>
      <c r="G626" s="68"/>
      <c r="M626" s="68"/>
    </row>
    <row r="627" ht="15.75" customHeight="1">
      <c r="C627" s="68"/>
      <c r="E627" s="68"/>
      <c r="F627" s="68"/>
      <c r="G627" s="68"/>
      <c r="M627" s="68"/>
    </row>
    <row r="628" ht="15.75" customHeight="1">
      <c r="C628" s="68"/>
      <c r="E628" s="68"/>
      <c r="F628" s="68"/>
      <c r="G628" s="68"/>
      <c r="M628" s="68"/>
    </row>
    <row r="629" ht="15.75" customHeight="1">
      <c r="C629" s="68"/>
      <c r="E629" s="68"/>
      <c r="F629" s="68"/>
      <c r="G629" s="68"/>
      <c r="M629" s="68"/>
    </row>
    <row r="630" ht="15.75" customHeight="1">
      <c r="C630" s="68"/>
      <c r="E630" s="68"/>
      <c r="F630" s="68"/>
      <c r="G630" s="68"/>
      <c r="M630" s="68"/>
    </row>
    <row r="631" ht="15.75" customHeight="1">
      <c r="C631" s="68"/>
      <c r="E631" s="68"/>
      <c r="F631" s="68"/>
      <c r="G631" s="68"/>
      <c r="M631" s="68"/>
    </row>
    <row r="632" ht="15.75" customHeight="1">
      <c r="C632" s="68"/>
      <c r="E632" s="68"/>
      <c r="F632" s="68"/>
      <c r="G632" s="68"/>
      <c r="M632" s="68"/>
    </row>
    <row r="633" ht="15.75" customHeight="1">
      <c r="C633" s="68"/>
      <c r="E633" s="68"/>
      <c r="F633" s="68"/>
      <c r="G633" s="68"/>
      <c r="M633" s="68"/>
    </row>
    <row r="634" ht="15.75" customHeight="1">
      <c r="C634" s="68"/>
      <c r="E634" s="68"/>
      <c r="F634" s="68"/>
      <c r="G634" s="68"/>
      <c r="M634" s="68"/>
    </row>
    <row r="635" ht="15.75" customHeight="1">
      <c r="C635" s="68"/>
      <c r="E635" s="68"/>
      <c r="F635" s="68"/>
      <c r="G635" s="68"/>
      <c r="M635" s="68"/>
    </row>
    <row r="636" ht="15.75" customHeight="1">
      <c r="C636" s="68"/>
      <c r="E636" s="68"/>
      <c r="F636" s="68"/>
      <c r="G636" s="68"/>
      <c r="M636" s="68"/>
    </row>
    <row r="637" ht="15.75" customHeight="1">
      <c r="C637" s="68"/>
      <c r="E637" s="68"/>
      <c r="F637" s="68"/>
      <c r="G637" s="68"/>
      <c r="M637" s="68"/>
    </row>
    <row r="638" ht="15.75" customHeight="1">
      <c r="C638" s="68"/>
      <c r="E638" s="68"/>
      <c r="F638" s="68"/>
      <c r="G638" s="68"/>
      <c r="M638" s="68"/>
    </row>
    <row r="639" ht="15.75" customHeight="1">
      <c r="C639" s="68"/>
      <c r="E639" s="68"/>
      <c r="F639" s="68"/>
      <c r="G639" s="68"/>
      <c r="M639" s="68"/>
    </row>
    <row r="640" ht="15.75" customHeight="1">
      <c r="C640" s="68"/>
      <c r="E640" s="68"/>
      <c r="F640" s="68"/>
      <c r="G640" s="68"/>
      <c r="M640" s="68"/>
    </row>
    <row r="641" ht="15.75" customHeight="1">
      <c r="C641" s="68"/>
      <c r="E641" s="68"/>
      <c r="F641" s="68"/>
      <c r="G641" s="68"/>
      <c r="M641" s="68"/>
    </row>
    <row r="642" ht="15.75" customHeight="1">
      <c r="C642" s="68"/>
      <c r="E642" s="68"/>
      <c r="F642" s="68"/>
      <c r="G642" s="68"/>
      <c r="M642" s="68"/>
    </row>
    <row r="643" ht="15.75" customHeight="1">
      <c r="C643" s="68"/>
      <c r="E643" s="68"/>
      <c r="F643" s="68"/>
      <c r="G643" s="68"/>
      <c r="M643" s="68"/>
    </row>
    <row r="644" ht="15.75" customHeight="1">
      <c r="C644" s="68"/>
      <c r="E644" s="68"/>
      <c r="F644" s="68"/>
      <c r="G644" s="68"/>
      <c r="M644" s="68"/>
    </row>
    <row r="645" ht="15.75" customHeight="1">
      <c r="C645" s="68"/>
      <c r="E645" s="68"/>
      <c r="F645" s="68"/>
      <c r="G645" s="68"/>
      <c r="M645" s="68"/>
    </row>
    <row r="646" ht="15.75" customHeight="1">
      <c r="C646" s="68"/>
      <c r="E646" s="68"/>
      <c r="F646" s="68"/>
      <c r="G646" s="68"/>
      <c r="M646" s="68"/>
    </row>
    <row r="647" ht="15.75" customHeight="1">
      <c r="C647" s="68"/>
      <c r="E647" s="68"/>
      <c r="F647" s="68"/>
      <c r="G647" s="68"/>
      <c r="M647" s="68"/>
    </row>
    <row r="648" ht="15.75" customHeight="1">
      <c r="C648" s="68"/>
      <c r="E648" s="68"/>
      <c r="F648" s="68"/>
      <c r="G648" s="68"/>
      <c r="M648" s="68"/>
    </row>
    <row r="649" ht="15.75" customHeight="1">
      <c r="C649" s="68"/>
      <c r="E649" s="68"/>
      <c r="F649" s="68"/>
      <c r="G649" s="68"/>
      <c r="M649" s="68"/>
    </row>
    <row r="650" ht="15.75" customHeight="1">
      <c r="C650" s="68"/>
      <c r="E650" s="68"/>
      <c r="F650" s="68"/>
      <c r="G650" s="68"/>
      <c r="M650" s="68"/>
    </row>
    <row r="651" ht="15.75" customHeight="1">
      <c r="C651" s="68"/>
      <c r="E651" s="68"/>
      <c r="F651" s="68"/>
      <c r="G651" s="68"/>
      <c r="M651" s="68"/>
    </row>
    <row r="652" ht="15.75" customHeight="1">
      <c r="C652" s="68"/>
      <c r="E652" s="68"/>
      <c r="F652" s="68"/>
      <c r="G652" s="68"/>
      <c r="M652" s="68"/>
    </row>
    <row r="653" ht="15.75" customHeight="1">
      <c r="C653" s="68"/>
      <c r="E653" s="68"/>
      <c r="F653" s="68"/>
      <c r="G653" s="68"/>
      <c r="M653" s="68"/>
    </row>
    <row r="654" ht="15.75" customHeight="1">
      <c r="C654" s="68"/>
      <c r="E654" s="68"/>
      <c r="F654" s="68"/>
      <c r="G654" s="68"/>
      <c r="M654" s="68"/>
    </row>
    <row r="655" ht="15.75" customHeight="1">
      <c r="C655" s="68"/>
      <c r="E655" s="68"/>
      <c r="F655" s="68"/>
      <c r="G655" s="68"/>
      <c r="M655" s="68"/>
    </row>
    <row r="656" ht="15.75" customHeight="1">
      <c r="C656" s="68"/>
      <c r="E656" s="68"/>
      <c r="F656" s="68"/>
      <c r="G656" s="68"/>
      <c r="M656" s="68"/>
    </row>
    <row r="657" ht="15.75" customHeight="1">
      <c r="C657" s="68"/>
      <c r="E657" s="68"/>
      <c r="F657" s="68"/>
      <c r="G657" s="68"/>
      <c r="M657" s="68"/>
    </row>
    <row r="658" ht="15.75" customHeight="1">
      <c r="C658" s="68"/>
      <c r="E658" s="68"/>
      <c r="F658" s="68"/>
      <c r="G658" s="68"/>
      <c r="M658" s="68"/>
    </row>
    <row r="659" ht="15.75" customHeight="1">
      <c r="C659" s="68"/>
      <c r="E659" s="68"/>
      <c r="F659" s="68"/>
      <c r="G659" s="68"/>
      <c r="M659" s="68"/>
    </row>
    <row r="660" ht="15.75" customHeight="1">
      <c r="C660" s="68"/>
      <c r="E660" s="68"/>
      <c r="F660" s="68"/>
      <c r="G660" s="68"/>
      <c r="M660" s="68"/>
    </row>
    <row r="661" ht="15.75" customHeight="1">
      <c r="C661" s="68"/>
      <c r="E661" s="68"/>
      <c r="F661" s="68"/>
      <c r="G661" s="68"/>
      <c r="M661" s="68"/>
    </row>
    <row r="662" ht="15.75" customHeight="1">
      <c r="C662" s="68"/>
      <c r="E662" s="68"/>
      <c r="F662" s="68"/>
      <c r="G662" s="68"/>
      <c r="M662" s="68"/>
    </row>
    <row r="663" ht="15.75" customHeight="1">
      <c r="C663" s="68"/>
      <c r="E663" s="68"/>
      <c r="F663" s="68"/>
      <c r="G663" s="68"/>
      <c r="M663" s="68"/>
    </row>
    <row r="664" ht="15.75" customHeight="1">
      <c r="C664" s="68"/>
      <c r="E664" s="68"/>
      <c r="F664" s="68"/>
      <c r="G664" s="68"/>
      <c r="M664" s="68"/>
    </row>
    <row r="665" ht="15.75" customHeight="1">
      <c r="C665" s="68"/>
      <c r="E665" s="68"/>
      <c r="F665" s="68"/>
      <c r="G665" s="68"/>
      <c r="M665" s="68"/>
    </row>
    <row r="666" ht="15.75" customHeight="1">
      <c r="C666" s="68"/>
      <c r="E666" s="68"/>
      <c r="F666" s="68"/>
      <c r="G666" s="68"/>
      <c r="M666" s="68"/>
    </row>
    <row r="667" ht="15.75" customHeight="1">
      <c r="C667" s="68"/>
      <c r="E667" s="68"/>
      <c r="F667" s="68"/>
      <c r="G667" s="68"/>
      <c r="M667" s="68"/>
    </row>
    <row r="668" ht="15.75" customHeight="1">
      <c r="C668" s="68"/>
      <c r="E668" s="68"/>
      <c r="F668" s="68"/>
      <c r="G668" s="68"/>
      <c r="M668" s="68"/>
    </row>
    <row r="669" ht="15.75" customHeight="1">
      <c r="C669" s="68"/>
      <c r="E669" s="68"/>
      <c r="F669" s="68"/>
      <c r="G669" s="68"/>
      <c r="M669" s="68"/>
    </row>
    <row r="670" ht="15.75" customHeight="1">
      <c r="C670" s="68"/>
      <c r="E670" s="68"/>
      <c r="F670" s="68"/>
      <c r="G670" s="68"/>
      <c r="M670" s="68"/>
    </row>
    <row r="671" ht="15.75" customHeight="1">
      <c r="C671" s="68"/>
      <c r="E671" s="68"/>
      <c r="F671" s="68"/>
      <c r="G671" s="68"/>
      <c r="M671" s="68"/>
    </row>
    <row r="672" ht="15.75" customHeight="1">
      <c r="C672" s="68"/>
      <c r="E672" s="68"/>
      <c r="F672" s="68"/>
      <c r="G672" s="68"/>
      <c r="M672" s="68"/>
    </row>
    <row r="673" ht="15.75" customHeight="1">
      <c r="C673" s="68"/>
      <c r="E673" s="68"/>
      <c r="F673" s="68"/>
      <c r="G673" s="68"/>
      <c r="M673" s="68"/>
    </row>
    <row r="674" ht="15.75" customHeight="1">
      <c r="C674" s="68"/>
      <c r="E674" s="68"/>
      <c r="F674" s="68"/>
      <c r="G674" s="68"/>
      <c r="M674" s="68"/>
    </row>
    <row r="675" ht="15.75" customHeight="1">
      <c r="C675" s="68"/>
      <c r="E675" s="68"/>
      <c r="F675" s="68"/>
      <c r="G675" s="68"/>
      <c r="M675" s="68"/>
    </row>
    <row r="676" ht="15.75" customHeight="1">
      <c r="C676" s="68"/>
      <c r="E676" s="68"/>
      <c r="F676" s="68"/>
      <c r="G676" s="68"/>
      <c r="M676" s="68"/>
    </row>
    <row r="677" ht="15.75" customHeight="1">
      <c r="C677" s="68"/>
      <c r="E677" s="68"/>
      <c r="F677" s="68"/>
      <c r="G677" s="68"/>
      <c r="M677" s="68"/>
    </row>
    <row r="678" ht="15.75" customHeight="1">
      <c r="C678" s="68"/>
      <c r="E678" s="68"/>
      <c r="F678" s="68"/>
      <c r="G678" s="68"/>
      <c r="M678" s="68"/>
    </row>
    <row r="679" ht="15.75" customHeight="1">
      <c r="C679" s="68"/>
      <c r="E679" s="68"/>
      <c r="F679" s="68"/>
      <c r="G679" s="68"/>
      <c r="M679" s="68"/>
    </row>
    <row r="680" ht="15.75" customHeight="1">
      <c r="C680" s="68"/>
      <c r="E680" s="68"/>
      <c r="F680" s="68"/>
      <c r="G680" s="68"/>
      <c r="M680" s="68"/>
    </row>
    <row r="681" ht="15.75" customHeight="1">
      <c r="C681" s="68"/>
      <c r="E681" s="68"/>
      <c r="F681" s="68"/>
      <c r="G681" s="68"/>
      <c r="M681" s="68"/>
    </row>
    <row r="682" ht="15.75" customHeight="1">
      <c r="C682" s="68"/>
      <c r="E682" s="68"/>
      <c r="F682" s="68"/>
      <c r="G682" s="68"/>
      <c r="M682" s="68"/>
    </row>
    <row r="683" ht="15.75" customHeight="1">
      <c r="C683" s="68"/>
      <c r="E683" s="68"/>
      <c r="F683" s="68"/>
      <c r="G683" s="68"/>
      <c r="M683" s="68"/>
    </row>
    <row r="684" ht="15.75" customHeight="1">
      <c r="C684" s="68"/>
      <c r="E684" s="68"/>
      <c r="F684" s="68"/>
      <c r="G684" s="68"/>
      <c r="M684" s="68"/>
    </row>
    <row r="685" ht="15.75" customHeight="1">
      <c r="C685" s="68"/>
      <c r="E685" s="68"/>
      <c r="F685" s="68"/>
      <c r="G685" s="68"/>
      <c r="M685" s="68"/>
    </row>
    <row r="686" ht="15.75" customHeight="1">
      <c r="C686" s="68"/>
      <c r="E686" s="68"/>
      <c r="F686" s="68"/>
      <c r="G686" s="68"/>
      <c r="M686" s="68"/>
    </row>
    <row r="687" ht="15.75" customHeight="1">
      <c r="C687" s="68"/>
      <c r="E687" s="68"/>
      <c r="F687" s="68"/>
      <c r="G687" s="68"/>
      <c r="M687" s="68"/>
    </row>
    <row r="688" ht="15.75" customHeight="1">
      <c r="C688" s="68"/>
      <c r="E688" s="68"/>
      <c r="F688" s="68"/>
      <c r="G688" s="68"/>
      <c r="M688" s="68"/>
    </row>
    <row r="689" ht="15.75" customHeight="1">
      <c r="C689" s="68"/>
      <c r="E689" s="68"/>
      <c r="F689" s="68"/>
      <c r="G689" s="68"/>
      <c r="M689" s="68"/>
    </row>
    <row r="690" ht="15.75" customHeight="1">
      <c r="C690" s="68"/>
      <c r="E690" s="68"/>
      <c r="F690" s="68"/>
      <c r="G690" s="68"/>
      <c r="M690" s="68"/>
    </row>
    <row r="691" ht="15.75" customHeight="1">
      <c r="C691" s="68"/>
      <c r="E691" s="68"/>
      <c r="F691" s="68"/>
      <c r="G691" s="68"/>
      <c r="M691" s="68"/>
    </row>
    <row r="692" ht="15.75" customHeight="1">
      <c r="C692" s="68"/>
      <c r="E692" s="68"/>
      <c r="F692" s="68"/>
      <c r="G692" s="68"/>
      <c r="M692" s="68"/>
    </row>
    <row r="693" ht="15.75" customHeight="1">
      <c r="C693" s="68"/>
      <c r="E693" s="68"/>
      <c r="F693" s="68"/>
      <c r="G693" s="68"/>
      <c r="M693" s="68"/>
    </row>
    <row r="694" ht="15.75" customHeight="1">
      <c r="C694" s="68"/>
      <c r="E694" s="68"/>
      <c r="F694" s="68"/>
      <c r="G694" s="68"/>
      <c r="M694" s="68"/>
    </row>
    <row r="695" ht="15.75" customHeight="1">
      <c r="C695" s="68"/>
      <c r="E695" s="68"/>
      <c r="F695" s="68"/>
      <c r="G695" s="68"/>
      <c r="M695" s="68"/>
    </row>
    <row r="696" ht="15.75" customHeight="1">
      <c r="C696" s="68"/>
      <c r="E696" s="68"/>
      <c r="F696" s="68"/>
      <c r="G696" s="68"/>
      <c r="M696" s="68"/>
    </row>
    <row r="697" ht="15.75" customHeight="1">
      <c r="C697" s="68"/>
      <c r="E697" s="68"/>
      <c r="F697" s="68"/>
      <c r="G697" s="68"/>
      <c r="M697" s="68"/>
    </row>
    <row r="698" ht="15.75" customHeight="1">
      <c r="C698" s="68"/>
      <c r="E698" s="68"/>
      <c r="F698" s="68"/>
      <c r="G698" s="68"/>
      <c r="M698" s="68"/>
    </row>
    <row r="699" ht="15.75" customHeight="1">
      <c r="C699" s="68"/>
      <c r="E699" s="68"/>
      <c r="F699" s="68"/>
      <c r="G699" s="68"/>
      <c r="M699" s="68"/>
    </row>
    <row r="700" ht="15.75" customHeight="1">
      <c r="C700" s="68"/>
      <c r="E700" s="68"/>
      <c r="F700" s="68"/>
      <c r="G700" s="68"/>
      <c r="M700" s="68"/>
    </row>
    <row r="701" ht="15.75" customHeight="1">
      <c r="C701" s="68"/>
      <c r="E701" s="68"/>
      <c r="F701" s="68"/>
      <c r="G701" s="68"/>
      <c r="M701" s="68"/>
    </row>
    <row r="702" ht="15.75" customHeight="1">
      <c r="C702" s="68"/>
      <c r="E702" s="68"/>
      <c r="F702" s="68"/>
      <c r="G702" s="68"/>
      <c r="M702" s="68"/>
    </row>
    <row r="703" ht="15.75" customHeight="1">
      <c r="C703" s="68"/>
      <c r="E703" s="68"/>
      <c r="F703" s="68"/>
      <c r="G703" s="68"/>
      <c r="M703" s="68"/>
    </row>
    <row r="704" ht="15.75" customHeight="1">
      <c r="C704" s="68"/>
      <c r="E704" s="68"/>
      <c r="F704" s="68"/>
      <c r="G704" s="68"/>
      <c r="M704" s="68"/>
    </row>
    <row r="705" ht="15.75" customHeight="1">
      <c r="C705" s="68"/>
      <c r="E705" s="68"/>
      <c r="F705" s="68"/>
      <c r="G705" s="68"/>
      <c r="M705" s="68"/>
    </row>
    <row r="706" ht="15.75" customHeight="1">
      <c r="C706" s="68"/>
      <c r="E706" s="68"/>
      <c r="F706" s="68"/>
      <c r="G706" s="68"/>
      <c r="M706" s="68"/>
    </row>
    <row r="707" ht="15.75" customHeight="1">
      <c r="C707" s="68"/>
      <c r="E707" s="68"/>
      <c r="F707" s="68"/>
      <c r="G707" s="68"/>
      <c r="M707" s="68"/>
    </row>
    <row r="708" ht="15.75" customHeight="1">
      <c r="C708" s="68"/>
      <c r="E708" s="68"/>
      <c r="F708" s="68"/>
      <c r="G708" s="68"/>
      <c r="M708" s="68"/>
    </row>
    <row r="709" ht="15.75" customHeight="1">
      <c r="C709" s="68"/>
      <c r="E709" s="68"/>
      <c r="F709" s="68"/>
      <c r="G709" s="68"/>
      <c r="M709" s="68"/>
    </row>
    <row r="710" ht="15.75" customHeight="1">
      <c r="C710" s="68"/>
      <c r="E710" s="68"/>
      <c r="F710" s="68"/>
      <c r="G710" s="68"/>
      <c r="M710" s="68"/>
    </row>
    <row r="711" ht="15.75" customHeight="1">
      <c r="C711" s="68"/>
      <c r="E711" s="68"/>
      <c r="F711" s="68"/>
      <c r="G711" s="68"/>
      <c r="M711" s="68"/>
    </row>
    <row r="712" ht="15.75" customHeight="1">
      <c r="C712" s="68"/>
      <c r="E712" s="68"/>
      <c r="F712" s="68"/>
      <c r="G712" s="68"/>
      <c r="M712" s="68"/>
    </row>
    <row r="713" ht="15.75" customHeight="1">
      <c r="C713" s="68"/>
      <c r="E713" s="68"/>
      <c r="F713" s="68"/>
      <c r="G713" s="68"/>
      <c r="M713" s="68"/>
    </row>
    <row r="714" ht="15.75" customHeight="1">
      <c r="C714" s="68"/>
      <c r="E714" s="68"/>
      <c r="F714" s="68"/>
      <c r="G714" s="68"/>
      <c r="M714" s="68"/>
    </row>
    <row r="715" ht="15.75" customHeight="1">
      <c r="C715" s="68"/>
      <c r="E715" s="68"/>
      <c r="F715" s="68"/>
      <c r="G715" s="68"/>
      <c r="M715" s="68"/>
    </row>
    <row r="716" ht="15.75" customHeight="1">
      <c r="C716" s="68"/>
      <c r="E716" s="68"/>
      <c r="F716" s="68"/>
      <c r="G716" s="68"/>
      <c r="M716" s="68"/>
    </row>
    <row r="717" ht="15.75" customHeight="1">
      <c r="C717" s="68"/>
      <c r="E717" s="68"/>
      <c r="F717" s="68"/>
      <c r="G717" s="68"/>
      <c r="M717" s="68"/>
    </row>
    <row r="718" ht="15.75" customHeight="1">
      <c r="C718" s="68"/>
      <c r="E718" s="68"/>
      <c r="F718" s="68"/>
      <c r="G718" s="68"/>
      <c r="M718" s="68"/>
    </row>
    <row r="719" ht="15.75" customHeight="1">
      <c r="C719" s="68"/>
      <c r="E719" s="68"/>
      <c r="F719" s="68"/>
      <c r="G719" s="68"/>
      <c r="M719" s="68"/>
    </row>
    <row r="720" ht="15.75" customHeight="1">
      <c r="C720" s="68"/>
      <c r="E720" s="68"/>
      <c r="F720" s="68"/>
      <c r="G720" s="68"/>
      <c r="M720" s="68"/>
    </row>
    <row r="721" ht="15.75" customHeight="1">
      <c r="C721" s="68"/>
      <c r="E721" s="68"/>
      <c r="F721" s="68"/>
      <c r="G721" s="68"/>
      <c r="M721" s="68"/>
    </row>
    <row r="722" ht="15.75" customHeight="1">
      <c r="C722" s="68"/>
      <c r="E722" s="68"/>
      <c r="F722" s="68"/>
      <c r="G722" s="68"/>
      <c r="M722" s="68"/>
    </row>
    <row r="723" ht="15.75" customHeight="1">
      <c r="C723" s="68"/>
      <c r="E723" s="68"/>
      <c r="F723" s="68"/>
      <c r="G723" s="68"/>
      <c r="M723" s="68"/>
    </row>
    <row r="724" ht="15.75" customHeight="1">
      <c r="C724" s="68"/>
      <c r="E724" s="68"/>
      <c r="F724" s="68"/>
      <c r="G724" s="68"/>
      <c r="M724" s="68"/>
    </row>
    <row r="725" ht="15.75" customHeight="1">
      <c r="C725" s="68"/>
      <c r="E725" s="68"/>
      <c r="F725" s="68"/>
      <c r="G725" s="68"/>
      <c r="M725" s="68"/>
    </row>
    <row r="726" ht="15.75" customHeight="1">
      <c r="C726" s="68"/>
      <c r="E726" s="68"/>
      <c r="F726" s="68"/>
      <c r="G726" s="68"/>
      <c r="M726" s="68"/>
    </row>
    <row r="727" ht="15.75" customHeight="1">
      <c r="C727" s="68"/>
      <c r="E727" s="68"/>
      <c r="F727" s="68"/>
      <c r="G727" s="68"/>
      <c r="M727" s="68"/>
    </row>
    <row r="728" ht="15.75" customHeight="1">
      <c r="C728" s="68"/>
      <c r="E728" s="68"/>
      <c r="F728" s="68"/>
      <c r="G728" s="68"/>
      <c r="M728" s="68"/>
    </row>
    <row r="729" ht="15.75" customHeight="1">
      <c r="C729" s="68"/>
      <c r="E729" s="68"/>
      <c r="F729" s="68"/>
      <c r="G729" s="68"/>
      <c r="M729" s="68"/>
    </row>
    <row r="730" ht="15.75" customHeight="1">
      <c r="C730" s="68"/>
      <c r="E730" s="68"/>
      <c r="F730" s="68"/>
      <c r="G730" s="68"/>
      <c r="M730" s="68"/>
    </row>
    <row r="731" ht="15.75" customHeight="1">
      <c r="C731" s="68"/>
      <c r="E731" s="68"/>
      <c r="F731" s="68"/>
      <c r="G731" s="68"/>
      <c r="M731" s="68"/>
    </row>
    <row r="732" ht="15.75" customHeight="1">
      <c r="C732" s="68"/>
      <c r="E732" s="68"/>
      <c r="F732" s="68"/>
      <c r="G732" s="68"/>
      <c r="M732" s="68"/>
    </row>
    <row r="733" ht="15.75" customHeight="1">
      <c r="C733" s="68"/>
      <c r="E733" s="68"/>
      <c r="F733" s="68"/>
      <c r="G733" s="68"/>
      <c r="M733" s="68"/>
    </row>
    <row r="734" ht="15.75" customHeight="1">
      <c r="C734" s="68"/>
      <c r="E734" s="68"/>
      <c r="F734" s="68"/>
      <c r="G734" s="68"/>
      <c r="M734" s="68"/>
    </row>
    <row r="735" ht="15.75" customHeight="1">
      <c r="C735" s="68"/>
      <c r="E735" s="68"/>
      <c r="F735" s="68"/>
      <c r="G735" s="68"/>
      <c r="M735" s="68"/>
    </row>
    <row r="736" ht="15.75" customHeight="1">
      <c r="C736" s="68"/>
      <c r="E736" s="68"/>
      <c r="F736" s="68"/>
      <c r="G736" s="68"/>
      <c r="M736" s="68"/>
    </row>
    <row r="737" ht="15.75" customHeight="1">
      <c r="C737" s="68"/>
      <c r="E737" s="68"/>
      <c r="F737" s="68"/>
      <c r="G737" s="68"/>
      <c r="M737" s="68"/>
    </row>
    <row r="738" ht="15.75" customHeight="1">
      <c r="C738" s="68"/>
      <c r="E738" s="68"/>
      <c r="F738" s="68"/>
      <c r="G738" s="68"/>
      <c r="M738" s="68"/>
    </row>
    <row r="739" ht="15.75" customHeight="1">
      <c r="C739" s="68"/>
      <c r="E739" s="68"/>
      <c r="F739" s="68"/>
      <c r="G739" s="68"/>
      <c r="M739" s="68"/>
    </row>
    <row r="740" ht="15.75" customHeight="1">
      <c r="C740" s="68"/>
      <c r="E740" s="68"/>
      <c r="F740" s="68"/>
      <c r="G740" s="68"/>
      <c r="M740" s="68"/>
    </row>
    <row r="741" ht="15.75" customHeight="1">
      <c r="C741" s="68"/>
      <c r="E741" s="68"/>
      <c r="F741" s="68"/>
      <c r="G741" s="68"/>
      <c r="M741" s="68"/>
    </row>
    <row r="742" ht="15.75" customHeight="1">
      <c r="C742" s="68"/>
      <c r="E742" s="68"/>
      <c r="F742" s="68"/>
      <c r="G742" s="68"/>
      <c r="M742" s="68"/>
    </row>
    <row r="743" ht="15.75" customHeight="1">
      <c r="C743" s="68"/>
      <c r="E743" s="68"/>
      <c r="F743" s="68"/>
      <c r="G743" s="68"/>
      <c r="M743" s="68"/>
    </row>
    <row r="744" ht="15.75" customHeight="1">
      <c r="C744" s="68"/>
      <c r="E744" s="68"/>
      <c r="F744" s="68"/>
      <c r="G744" s="68"/>
      <c r="M744" s="68"/>
    </row>
    <row r="745" ht="15.75" customHeight="1">
      <c r="C745" s="68"/>
      <c r="E745" s="68"/>
      <c r="F745" s="68"/>
      <c r="G745" s="68"/>
      <c r="M745" s="68"/>
    </row>
    <row r="746" ht="15.75" customHeight="1">
      <c r="C746" s="68"/>
      <c r="E746" s="68"/>
      <c r="F746" s="68"/>
      <c r="G746" s="68"/>
      <c r="M746" s="68"/>
    </row>
    <row r="747" ht="15.75" customHeight="1">
      <c r="C747" s="68"/>
      <c r="E747" s="68"/>
      <c r="F747" s="68"/>
      <c r="G747" s="68"/>
      <c r="M747" s="68"/>
    </row>
    <row r="748" ht="15.75" customHeight="1">
      <c r="C748" s="68"/>
      <c r="E748" s="68"/>
      <c r="F748" s="68"/>
      <c r="G748" s="68"/>
      <c r="M748" s="68"/>
    </row>
    <row r="749" ht="15.75" customHeight="1">
      <c r="C749" s="68"/>
      <c r="E749" s="68"/>
      <c r="F749" s="68"/>
      <c r="G749" s="68"/>
      <c r="M749" s="68"/>
    </row>
    <row r="750" ht="15.75" customHeight="1">
      <c r="C750" s="68"/>
      <c r="E750" s="68"/>
      <c r="F750" s="68"/>
      <c r="G750" s="68"/>
      <c r="M750" s="68"/>
    </row>
    <row r="751" ht="15.75" customHeight="1">
      <c r="C751" s="68"/>
      <c r="E751" s="68"/>
      <c r="F751" s="68"/>
      <c r="G751" s="68"/>
      <c r="M751" s="68"/>
    </row>
    <row r="752" ht="15.75" customHeight="1">
      <c r="C752" s="68"/>
      <c r="E752" s="68"/>
      <c r="F752" s="68"/>
      <c r="G752" s="68"/>
      <c r="M752" s="68"/>
    </row>
    <row r="753" ht="15.75" customHeight="1">
      <c r="C753" s="68"/>
      <c r="E753" s="68"/>
      <c r="F753" s="68"/>
      <c r="G753" s="68"/>
      <c r="M753" s="68"/>
    </row>
    <row r="754" ht="15.75" customHeight="1">
      <c r="C754" s="68"/>
      <c r="E754" s="68"/>
      <c r="F754" s="68"/>
      <c r="G754" s="68"/>
      <c r="M754" s="68"/>
    </row>
    <row r="755" ht="15.75" customHeight="1">
      <c r="C755" s="68"/>
      <c r="E755" s="68"/>
      <c r="F755" s="68"/>
      <c r="G755" s="68"/>
      <c r="M755" s="68"/>
    </row>
    <row r="756" ht="15.75" customHeight="1">
      <c r="C756" s="68"/>
      <c r="E756" s="68"/>
      <c r="F756" s="68"/>
      <c r="G756" s="68"/>
      <c r="M756" s="68"/>
    </row>
    <row r="757" ht="15.75" customHeight="1">
      <c r="C757" s="68"/>
      <c r="E757" s="68"/>
      <c r="F757" s="68"/>
      <c r="G757" s="68"/>
      <c r="M757" s="68"/>
    </row>
    <row r="758" ht="15.75" customHeight="1">
      <c r="C758" s="68"/>
      <c r="E758" s="68"/>
      <c r="F758" s="68"/>
      <c r="G758" s="68"/>
      <c r="M758" s="68"/>
    </row>
    <row r="759" ht="15.75" customHeight="1">
      <c r="C759" s="68"/>
      <c r="E759" s="68"/>
      <c r="F759" s="68"/>
      <c r="G759" s="68"/>
      <c r="M759" s="68"/>
    </row>
    <row r="760" ht="15.75" customHeight="1">
      <c r="C760" s="68"/>
      <c r="E760" s="68"/>
      <c r="F760" s="68"/>
      <c r="G760" s="68"/>
      <c r="M760" s="68"/>
    </row>
    <row r="761" ht="15.75" customHeight="1">
      <c r="C761" s="68"/>
      <c r="E761" s="68"/>
      <c r="F761" s="68"/>
      <c r="G761" s="68"/>
      <c r="M761" s="68"/>
    </row>
    <row r="762" ht="15.75" customHeight="1">
      <c r="C762" s="68"/>
      <c r="E762" s="68"/>
      <c r="F762" s="68"/>
      <c r="G762" s="68"/>
      <c r="M762" s="68"/>
    </row>
    <row r="763" ht="15.75" customHeight="1">
      <c r="C763" s="68"/>
      <c r="E763" s="68"/>
      <c r="F763" s="68"/>
      <c r="G763" s="68"/>
      <c r="M763" s="68"/>
    </row>
    <row r="764" ht="15.75" customHeight="1">
      <c r="C764" s="68"/>
      <c r="E764" s="68"/>
      <c r="F764" s="68"/>
      <c r="G764" s="68"/>
      <c r="M764" s="68"/>
    </row>
    <row r="765" ht="15.75" customHeight="1">
      <c r="C765" s="68"/>
      <c r="E765" s="68"/>
      <c r="F765" s="68"/>
      <c r="G765" s="68"/>
      <c r="M765" s="68"/>
    </row>
    <row r="766" ht="15.75" customHeight="1">
      <c r="C766" s="68"/>
      <c r="E766" s="68"/>
      <c r="F766" s="68"/>
      <c r="G766" s="68"/>
      <c r="M766" s="68"/>
    </row>
    <row r="767" ht="15.75" customHeight="1">
      <c r="C767" s="68"/>
      <c r="E767" s="68"/>
      <c r="F767" s="68"/>
      <c r="G767" s="68"/>
      <c r="M767" s="68"/>
    </row>
    <row r="768" ht="15.75" customHeight="1">
      <c r="C768" s="68"/>
      <c r="E768" s="68"/>
      <c r="F768" s="68"/>
      <c r="G768" s="68"/>
      <c r="M768" s="68"/>
    </row>
    <row r="769" ht="15.75" customHeight="1">
      <c r="C769" s="68"/>
      <c r="E769" s="68"/>
      <c r="F769" s="68"/>
      <c r="G769" s="68"/>
      <c r="M769" s="68"/>
    </row>
    <row r="770" ht="15.75" customHeight="1">
      <c r="C770" s="68"/>
      <c r="E770" s="68"/>
      <c r="F770" s="68"/>
      <c r="G770" s="68"/>
      <c r="M770" s="68"/>
    </row>
    <row r="771" ht="15.75" customHeight="1">
      <c r="C771" s="68"/>
      <c r="E771" s="68"/>
      <c r="F771" s="68"/>
      <c r="G771" s="68"/>
      <c r="M771" s="68"/>
    </row>
    <row r="772" ht="15.75" customHeight="1">
      <c r="C772" s="68"/>
      <c r="E772" s="68"/>
      <c r="F772" s="68"/>
      <c r="G772" s="68"/>
      <c r="M772" s="68"/>
    </row>
    <row r="773" ht="15.75" customHeight="1">
      <c r="C773" s="68"/>
      <c r="E773" s="68"/>
      <c r="F773" s="68"/>
      <c r="G773" s="68"/>
      <c r="M773" s="68"/>
    </row>
    <row r="774" ht="15.75" customHeight="1">
      <c r="C774" s="68"/>
      <c r="E774" s="68"/>
      <c r="F774" s="68"/>
      <c r="G774" s="68"/>
      <c r="M774" s="68"/>
    </row>
    <row r="775" ht="15.75" customHeight="1">
      <c r="C775" s="68"/>
      <c r="E775" s="68"/>
      <c r="F775" s="68"/>
      <c r="G775" s="68"/>
      <c r="M775" s="68"/>
    </row>
    <row r="776" ht="15.75" customHeight="1">
      <c r="C776" s="68"/>
      <c r="E776" s="68"/>
      <c r="F776" s="68"/>
      <c r="G776" s="68"/>
      <c r="M776" s="68"/>
    </row>
    <row r="777" ht="15.75" customHeight="1">
      <c r="C777" s="68"/>
      <c r="E777" s="68"/>
      <c r="F777" s="68"/>
      <c r="G777" s="68"/>
      <c r="M777" s="68"/>
    </row>
    <row r="778" ht="15.75" customHeight="1">
      <c r="C778" s="68"/>
      <c r="E778" s="68"/>
      <c r="F778" s="68"/>
      <c r="G778" s="68"/>
      <c r="M778" s="68"/>
    </row>
    <row r="779" ht="15.75" customHeight="1">
      <c r="C779" s="68"/>
      <c r="E779" s="68"/>
      <c r="F779" s="68"/>
      <c r="G779" s="68"/>
      <c r="M779" s="68"/>
    </row>
    <row r="780" ht="15.75" customHeight="1">
      <c r="C780" s="68"/>
      <c r="E780" s="68"/>
      <c r="F780" s="68"/>
      <c r="G780" s="68"/>
      <c r="M780" s="68"/>
    </row>
    <row r="781" ht="15.75" customHeight="1">
      <c r="C781" s="68"/>
      <c r="E781" s="68"/>
      <c r="F781" s="68"/>
      <c r="G781" s="68"/>
      <c r="M781" s="68"/>
    </row>
    <row r="782" ht="15.75" customHeight="1">
      <c r="C782" s="68"/>
      <c r="E782" s="68"/>
      <c r="F782" s="68"/>
      <c r="G782" s="68"/>
      <c r="M782" s="68"/>
    </row>
    <row r="783" ht="15.75" customHeight="1">
      <c r="C783" s="68"/>
      <c r="E783" s="68"/>
      <c r="F783" s="68"/>
      <c r="G783" s="68"/>
      <c r="M783" s="68"/>
    </row>
    <row r="784" ht="15.75" customHeight="1">
      <c r="C784" s="68"/>
      <c r="E784" s="68"/>
      <c r="F784" s="68"/>
      <c r="G784" s="68"/>
      <c r="M784" s="68"/>
    </row>
    <row r="785" ht="15.75" customHeight="1">
      <c r="C785" s="68"/>
      <c r="E785" s="68"/>
      <c r="F785" s="68"/>
      <c r="G785" s="68"/>
      <c r="M785" s="68"/>
    </row>
    <row r="786" ht="15.75" customHeight="1">
      <c r="C786" s="68"/>
      <c r="E786" s="68"/>
      <c r="F786" s="68"/>
      <c r="G786" s="68"/>
      <c r="M786" s="68"/>
    </row>
    <row r="787" ht="15.75" customHeight="1">
      <c r="C787" s="68"/>
      <c r="E787" s="68"/>
      <c r="F787" s="68"/>
      <c r="G787" s="68"/>
      <c r="M787" s="68"/>
    </row>
    <row r="788" ht="15.75" customHeight="1">
      <c r="C788" s="68"/>
      <c r="E788" s="68"/>
      <c r="F788" s="68"/>
      <c r="G788" s="68"/>
      <c r="M788" s="68"/>
    </row>
    <row r="789" ht="15.75" customHeight="1">
      <c r="C789" s="68"/>
      <c r="E789" s="68"/>
      <c r="F789" s="68"/>
      <c r="G789" s="68"/>
      <c r="M789" s="68"/>
    </row>
    <row r="790" ht="15.75" customHeight="1">
      <c r="C790" s="68"/>
      <c r="E790" s="68"/>
      <c r="F790" s="68"/>
      <c r="G790" s="68"/>
      <c r="M790" s="68"/>
    </row>
    <row r="791" ht="15.75" customHeight="1">
      <c r="C791" s="68"/>
      <c r="E791" s="68"/>
      <c r="F791" s="68"/>
      <c r="G791" s="68"/>
      <c r="M791" s="68"/>
    </row>
    <row r="792" ht="15.75" customHeight="1">
      <c r="C792" s="68"/>
      <c r="E792" s="68"/>
      <c r="F792" s="68"/>
      <c r="G792" s="68"/>
      <c r="M792" s="68"/>
    </row>
    <row r="793" ht="15.75" customHeight="1">
      <c r="C793" s="68"/>
      <c r="E793" s="68"/>
      <c r="F793" s="68"/>
      <c r="G793" s="68"/>
      <c r="M793" s="68"/>
    </row>
    <row r="794" ht="15.75" customHeight="1">
      <c r="C794" s="68"/>
      <c r="E794" s="68"/>
      <c r="F794" s="68"/>
      <c r="G794" s="68"/>
      <c r="M794" s="68"/>
    </row>
    <row r="795" ht="15.75" customHeight="1">
      <c r="C795" s="68"/>
      <c r="E795" s="68"/>
      <c r="F795" s="68"/>
      <c r="G795" s="68"/>
      <c r="M795" s="68"/>
    </row>
    <row r="796" ht="15.75" customHeight="1">
      <c r="C796" s="68"/>
      <c r="E796" s="68"/>
      <c r="F796" s="68"/>
      <c r="G796" s="68"/>
      <c r="M796" s="68"/>
    </row>
    <row r="797" ht="15.75" customHeight="1">
      <c r="C797" s="68"/>
      <c r="E797" s="68"/>
      <c r="F797" s="68"/>
      <c r="G797" s="68"/>
      <c r="M797" s="68"/>
    </row>
    <row r="798" ht="15.75" customHeight="1">
      <c r="C798" s="68"/>
      <c r="E798" s="68"/>
      <c r="F798" s="68"/>
      <c r="G798" s="68"/>
      <c r="M798" s="68"/>
    </row>
    <row r="799" ht="15.75" customHeight="1">
      <c r="C799" s="68"/>
      <c r="E799" s="68"/>
      <c r="F799" s="68"/>
      <c r="G799" s="68"/>
      <c r="M799" s="68"/>
    </row>
    <row r="800" ht="15.75" customHeight="1">
      <c r="C800" s="68"/>
      <c r="E800" s="68"/>
      <c r="F800" s="68"/>
      <c r="G800" s="68"/>
      <c r="M800" s="68"/>
    </row>
    <row r="801" ht="15.75" customHeight="1">
      <c r="C801" s="68"/>
      <c r="E801" s="68"/>
      <c r="F801" s="68"/>
      <c r="G801" s="68"/>
      <c r="M801" s="68"/>
    </row>
    <row r="802" ht="15.75" customHeight="1">
      <c r="C802" s="68"/>
      <c r="E802" s="68"/>
      <c r="F802" s="68"/>
      <c r="G802" s="68"/>
      <c r="M802" s="68"/>
    </row>
    <row r="803" ht="15.75" customHeight="1">
      <c r="C803" s="68"/>
      <c r="E803" s="68"/>
      <c r="F803" s="68"/>
      <c r="G803" s="68"/>
      <c r="M803" s="68"/>
    </row>
    <row r="804" ht="15.75" customHeight="1">
      <c r="C804" s="68"/>
      <c r="E804" s="68"/>
      <c r="F804" s="68"/>
      <c r="G804" s="68"/>
      <c r="M804" s="68"/>
    </row>
    <row r="805" ht="15.75" customHeight="1">
      <c r="C805" s="68"/>
      <c r="E805" s="68"/>
      <c r="F805" s="68"/>
      <c r="G805" s="68"/>
      <c r="M805" s="68"/>
    </row>
    <row r="806" ht="15.75" customHeight="1">
      <c r="C806" s="68"/>
      <c r="E806" s="68"/>
      <c r="F806" s="68"/>
      <c r="G806" s="68"/>
      <c r="M806" s="68"/>
    </row>
    <row r="807" ht="15.75" customHeight="1">
      <c r="C807" s="68"/>
      <c r="E807" s="68"/>
      <c r="F807" s="68"/>
      <c r="G807" s="68"/>
      <c r="M807" s="68"/>
    </row>
    <row r="808" ht="15.75" customHeight="1">
      <c r="C808" s="68"/>
      <c r="E808" s="68"/>
      <c r="F808" s="68"/>
      <c r="G808" s="68"/>
      <c r="M808" s="68"/>
    </row>
    <row r="809" ht="15.75" customHeight="1">
      <c r="C809" s="68"/>
      <c r="E809" s="68"/>
      <c r="F809" s="68"/>
      <c r="G809" s="68"/>
      <c r="M809" s="68"/>
    </row>
    <row r="810" ht="15.75" customHeight="1">
      <c r="C810" s="68"/>
      <c r="E810" s="68"/>
      <c r="F810" s="68"/>
      <c r="G810" s="68"/>
      <c r="M810" s="68"/>
    </row>
    <row r="811" ht="15.75" customHeight="1">
      <c r="C811" s="68"/>
      <c r="E811" s="68"/>
      <c r="F811" s="68"/>
      <c r="G811" s="68"/>
      <c r="M811" s="68"/>
    </row>
    <row r="812" ht="15.75" customHeight="1">
      <c r="C812" s="68"/>
      <c r="E812" s="68"/>
      <c r="F812" s="68"/>
      <c r="G812" s="68"/>
      <c r="M812" s="68"/>
    </row>
    <row r="813" ht="15.75" customHeight="1">
      <c r="C813" s="68"/>
      <c r="E813" s="68"/>
      <c r="F813" s="68"/>
      <c r="G813" s="68"/>
      <c r="M813" s="68"/>
    </row>
    <row r="814" ht="15.75" customHeight="1">
      <c r="C814" s="68"/>
      <c r="E814" s="68"/>
      <c r="F814" s="68"/>
      <c r="G814" s="68"/>
      <c r="M814" s="68"/>
    </row>
    <row r="815" ht="15.75" customHeight="1">
      <c r="C815" s="68"/>
      <c r="E815" s="68"/>
      <c r="F815" s="68"/>
      <c r="G815" s="68"/>
      <c r="M815" s="68"/>
    </row>
    <row r="816" ht="15.75" customHeight="1">
      <c r="C816" s="68"/>
      <c r="E816" s="68"/>
      <c r="F816" s="68"/>
      <c r="G816" s="68"/>
      <c r="M816" s="68"/>
    </row>
    <row r="817" ht="15.75" customHeight="1">
      <c r="C817" s="68"/>
      <c r="E817" s="68"/>
      <c r="F817" s="68"/>
      <c r="G817" s="68"/>
      <c r="M817" s="68"/>
    </row>
    <row r="818" ht="15.75" customHeight="1">
      <c r="C818" s="68"/>
      <c r="E818" s="68"/>
      <c r="F818" s="68"/>
      <c r="G818" s="68"/>
      <c r="M818" s="68"/>
    </row>
    <row r="819" ht="15.75" customHeight="1">
      <c r="C819" s="68"/>
      <c r="E819" s="68"/>
      <c r="F819" s="68"/>
      <c r="G819" s="68"/>
      <c r="M819" s="68"/>
    </row>
    <row r="820" ht="15.75" customHeight="1">
      <c r="C820" s="68"/>
      <c r="E820" s="68"/>
      <c r="F820" s="68"/>
      <c r="G820" s="68"/>
      <c r="M820" s="68"/>
    </row>
    <row r="821" ht="15.75" customHeight="1">
      <c r="C821" s="68"/>
      <c r="E821" s="68"/>
      <c r="F821" s="68"/>
      <c r="G821" s="68"/>
      <c r="M821" s="68"/>
    </row>
    <row r="822" ht="15.75" customHeight="1">
      <c r="C822" s="68"/>
      <c r="E822" s="68"/>
      <c r="F822" s="68"/>
      <c r="G822" s="68"/>
      <c r="M822" s="68"/>
    </row>
    <row r="823" ht="15.75" customHeight="1">
      <c r="C823" s="68"/>
      <c r="E823" s="68"/>
      <c r="F823" s="68"/>
      <c r="G823" s="68"/>
      <c r="M823" s="68"/>
    </row>
    <row r="824" ht="15.75" customHeight="1">
      <c r="C824" s="68"/>
      <c r="E824" s="68"/>
      <c r="F824" s="68"/>
      <c r="G824" s="68"/>
      <c r="M824" s="68"/>
    </row>
    <row r="825" ht="15.75" customHeight="1">
      <c r="C825" s="68"/>
      <c r="E825" s="68"/>
      <c r="F825" s="68"/>
      <c r="G825" s="68"/>
      <c r="M825" s="68"/>
    </row>
    <row r="826" ht="15.75" customHeight="1">
      <c r="C826" s="68"/>
      <c r="E826" s="68"/>
      <c r="F826" s="68"/>
      <c r="G826" s="68"/>
      <c r="M826" s="68"/>
    </row>
    <row r="827" ht="15.75" customHeight="1">
      <c r="C827" s="68"/>
      <c r="E827" s="68"/>
      <c r="F827" s="68"/>
      <c r="G827" s="68"/>
      <c r="M827" s="68"/>
    </row>
    <row r="828" ht="15.75" customHeight="1">
      <c r="C828" s="68"/>
      <c r="E828" s="68"/>
      <c r="F828" s="68"/>
      <c r="G828" s="68"/>
      <c r="M828" s="68"/>
    </row>
    <row r="829" ht="15.75" customHeight="1">
      <c r="C829" s="68"/>
      <c r="E829" s="68"/>
      <c r="F829" s="68"/>
      <c r="G829" s="68"/>
      <c r="M829" s="68"/>
    </row>
    <row r="830" ht="15.75" customHeight="1">
      <c r="C830" s="68"/>
      <c r="E830" s="68"/>
      <c r="F830" s="68"/>
      <c r="G830" s="68"/>
      <c r="M830" s="68"/>
    </row>
    <row r="831" ht="15.75" customHeight="1">
      <c r="C831" s="68"/>
      <c r="E831" s="68"/>
      <c r="F831" s="68"/>
      <c r="G831" s="68"/>
      <c r="M831" s="68"/>
    </row>
    <row r="832" ht="15.75" customHeight="1">
      <c r="C832" s="68"/>
      <c r="E832" s="68"/>
      <c r="F832" s="68"/>
      <c r="G832" s="68"/>
      <c r="M832" s="68"/>
    </row>
    <row r="833" ht="15.75" customHeight="1">
      <c r="C833" s="68"/>
      <c r="E833" s="68"/>
      <c r="F833" s="68"/>
      <c r="G833" s="68"/>
      <c r="M833" s="68"/>
    </row>
    <row r="834" ht="15.75" customHeight="1">
      <c r="C834" s="68"/>
      <c r="E834" s="68"/>
      <c r="F834" s="68"/>
      <c r="G834" s="68"/>
      <c r="M834" s="68"/>
    </row>
    <row r="835" ht="15.75" customHeight="1">
      <c r="C835" s="68"/>
      <c r="E835" s="68"/>
      <c r="F835" s="68"/>
      <c r="G835" s="68"/>
      <c r="M835" s="68"/>
    </row>
    <row r="836" ht="15.75" customHeight="1">
      <c r="C836" s="68"/>
      <c r="E836" s="68"/>
      <c r="F836" s="68"/>
      <c r="G836" s="68"/>
      <c r="M836" s="68"/>
    </row>
    <row r="837" ht="15.75" customHeight="1">
      <c r="C837" s="68"/>
      <c r="E837" s="68"/>
      <c r="F837" s="68"/>
      <c r="G837" s="68"/>
      <c r="M837" s="68"/>
    </row>
    <row r="838" ht="15.75" customHeight="1">
      <c r="C838" s="68"/>
      <c r="E838" s="68"/>
      <c r="F838" s="68"/>
      <c r="G838" s="68"/>
      <c r="M838" s="68"/>
    </row>
    <row r="839" ht="15.75" customHeight="1">
      <c r="C839" s="68"/>
      <c r="E839" s="68"/>
      <c r="F839" s="68"/>
      <c r="G839" s="68"/>
      <c r="M839" s="68"/>
    </row>
    <row r="840" ht="15.75" customHeight="1">
      <c r="C840" s="68"/>
      <c r="E840" s="68"/>
      <c r="F840" s="68"/>
      <c r="G840" s="68"/>
      <c r="M840" s="68"/>
    </row>
    <row r="841" ht="15.75" customHeight="1">
      <c r="C841" s="68"/>
      <c r="E841" s="68"/>
      <c r="F841" s="68"/>
      <c r="G841" s="68"/>
      <c r="M841" s="68"/>
    </row>
    <row r="842" ht="15.75" customHeight="1">
      <c r="C842" s="68"/>
      <c r="E842" s="68"/>
      <c r="F842" s="68"/>
      <c r="G842" s="68"/>
      <c r="M842" s="68"/>
    </row>
    <row r="843" ht="15.75" customHeight="1">
      <c r="C843" s="68"/>
      <c r="E843" s="68"/>
      <c r="F843" s="68"/>
      <c r="G843" s="68"/>
      <c r="M843" s="68"/>
    </row>
    <row r="844" ht="15.75" customHeight="1">
      <c r="C844" s="68"/>
      <c r="E844" s="68"/>
      <c r="F844" s="68"/>
      <c r="G844" s="68"/>
      <c r="M844" s="68"/>
    </row>
    <row r="845" ht="15.75" customHeight="1">
      <c r="C845" s="68"/>
      <c r="E845" s="68"/>
      <c r="F845" s="68"/>
      <c r="G845" s="68"/>
      <c r="M845" s="68"/>
    </row>
    <row r="846" ht="15.75" customHeight="1">
      <c r="C846" s="68"/>
      <c r="E846" s="68"/>
      <c r="F846" s="68"/>
      <c r="G846" s="68"/>
      <c r="M846" s="68"/>
    </row>
    <row r="847" ht="15.75" customHeight="1">
      <c r="C847" s="68"/>
      <c r="E847" s="68"/>
      <c r="F847" s="68"/>
      <c r="G847" s="68"/>
      <c r="M847" s="68"/>
    </row>
    <row r="848" ht="15.75" customHeight="1">
      <c r="C848" s="68"/>
      <c r="E848" s="68"/>
      <c r="F848" s="68"/>
      <c r="G848" s="68"/>
      <c r="M848" s="68"/>
    </row>
    <row r="849" ht="15.75" customHeight="1">
      <c r="C849" s="68"/>
      <c r="E849" s="68"/>
      <c r="F849" s="68"/>
      <c r="G849" s="68"/>
      <c r="M849" s="68"/>
    </row>
    <row r="850" ht="15.75" customHeight="1">
      <c r="C850" s="68"/>
      <c r="E850" s="68"/>
      <c r="F850" s="68"/>
      <c r="G850" s="68"/>
      <c r="M850" s="68"/>
    </row>
    <row r="851" ht="15.75" customHeight="1">
      <c r="C851" s="68"/>
      <c r="E851" s="68"/>
      <c r="F851" s="68"/>
      <c r="G851" s="68"/>
      <c r="M851" s="68"/>
    </row>
    <row r="852" ht="15.75" customHeight="1">
      <c r="C852" s="68"/>
      <c r="E852" s="68"/>
      <c r="F852" s="68"/>
      <c r="G852" s="68"/>
      <c r="M852" s="68"/>
    </row>
    <row r="853" ht="15.75" customHeight="1">
      <c r="C853" s="68"/>
      <c r="E853" s="68"/>
      <c r="F853" s="68"/>
      <c r="G853" s="68"/>
      <c r="M853" s="68"/>
    </row>
    <row r="854" ht="15.75" customHeight="1">
      <c r="C854" s="68"/>
      <c r="E854" s="68"/>
      <c r="F854" s="68"/>
      <c r="G854" s="68"/>
      <c r="M854" s="68"/>
    </row>
    <row r="855" ht="15.75" customHeight="1">
      <c r="C855" s="68"/>
      <c r="E855" s="68"/>
      <c r="F855" s="68"/>
      <c r="G855" s="68"/>
      <c r="M855" s="68"/>
    </row>
    <row r="856" ht="15.75" customHeight="1">
      <c r="C856" s="68"/>
      <c r="E856" s="68"/>
      <c r="F856" s="68"/>
      <c r="G856" s="68"/>
      <c r="M856" s="68"/>
    </row>
    <row r="857" ht="15.75" customHeight="1">
      <c r="C857" s="68"/>
      <c r="E857" s="68"/>
      <c r="F857" s="68"/>
      <c r="G857" s="68"/>
      <c r="M857" s="68"/>
    </row>
    <row r="858" ht="15.75" customHeight="1">
      <c r="C858" s="68"/>
      <c r="E858" s="68"/>
      <c r="F858" s="68"/>
      <c r="G858" s="68"/>
      <c r="M858" s="68"/>
    </row>
    <row r="859" ht="15.75" customHeight="1">
      <c r="C859" s="68"/>
      <c r="E859" s="68"/>
      <c r="F859" s="68"/>
      <c r="G859" s="68"/>
      <c r="M859" s="68"/>
    </row>
    <row r="860" ht="15.75" customHeight="1">
      <c r="C860" s="68"/>
      <c r="E860" s="68"/>
      <c r="F860" s="68"/>
      <c r="G860" s="68"/>
      <c r="M860" s="68"/>
    </row>
    <row r="861" ht="15.75" customHeight="1">
      <c r="C861" s="68"/>
      <c r="E861" s="68"/>
      <c r="F861" s="68"/>
      <c r="G861" s="68"/>
      <c r="M861" s="68"/>
    </row>
    <row r="862" ht="15.75" customHeight="1">
      <c r="C862" s="68"/>
      <c r="E862" s="68"/>
      <c r="F862" s="68"/>
      <c r="G862" s="68"/>
      <c r="M862" s="68"/>
    </row>
    <row r="863" ht="15.75" customHeight="1">
      <c r="C863" s="68"/>
      <c r="E863" s="68"/>
      <c r="F863" s="68"/>
      <c r="G863" s="68"/>
      <c r="M863" s="68"/>
    </row>
    <row r="864" ht="15.75" customHeight="1">
      <c r="C864" s="68"/>
      <c r="E864" s="68"/>
      <c r="F864" s="68"/>
      <c r="G864" s="68"/>
      <c r="M864" s="68"/>
    </row>
    <row r="865" ht="15.75" customHeight="1">
      <c r="C865" s="68"/>
      <c r="E865" s="68"/>
      <c r="F865" s="68"/>
      <c r="G865" s="68"/>
      <c r="M865" s="68"/>
    </row>
    <row r="866" ht="15.75" customHeight="1">
      <c r="C866" s="68"/>
      <c r="E866" s="68"/>
      <c r="F866" s="68"/>
      <c r="G866" s="68"/>
      <c r="M866" s="68"/>
    </row>
    <row r="867" ht="15.75" customHeight="1">
      <c r="C867" s="68"/>
      <c r="E867" s="68"/>
      <c r="F867" s="68"/>
      <c r="G867" s="68"/>
      <c r="M867" s="68"/>
    </row>
    <row r="868" ht="15.75" customHeight="1">
      <c r="C868" s="68"/>
      <c r="E868" s="68"/>
      <c r="F868" s="68"/>
      <c r="G868" s="68"/>
      <c r="M868" s="68"/>
    </row>
    <row r="869" ht="15.75" customHeight="1">
      <c r="C869" s="68"/>
      <c r="E869" s="68"/>
      <c r="F869" s="68"/>
      <c r="G869" s="68"/>
      <c r="M869" s="68"/>
    </row>
    <row r="870" ht="15.75" customHeight="1">
      <c r="C870" s="68"/>
      <c r="E870" s="68"/>
      <c r="F870" s="68"/>
      <c r="G870" s="68"/>
      <c r="M870" s="68"/>
    </row>
    <row r="871" ht="15.75" customHeight="1">
      <c r="C871" s="68"/>
      <c r="E871" s="68"/>
      <c r="F871" s="68"/>
      <c r="G871" s="68"/>
      <c r="M871" s="68"/>
    </row>
    <row r="872" ht="15.75" customHeight="1">
      <c r="C872" s="68"/>
      <c r="E872" s="68"/>
      <c r="F872" s="68"/>
      <c r="G872" s="68"/>
      <c r="M872" s="68"/>
    </row>
    <row r="873" ht="15.75" customHeight="1">
      <c r="C873" s="68"/>
      <c r="E873" s="68"/>
      <c r="F873" s="68"/>
      <c r="G873" s="68"/>
      <c r="M873" s="68"/>
    </row>
    <row r="874" ht="15.75" customHeight="1">
      <c r="C874" s="68"/>
      <c r="E874" s="68"/>
      <c r="F874" s="68"/>
      <c r="G874" s="68"/>
      <c r="M874" s="68"/>
    </row>
    <row r="875" ht="15.75" customHeight="1">
      <c r="C875" s="68"/>
      <c r="E875" s="68"/>
      <c r="F875" s="68"/>
      <c r="G875" s="68"/>
      <c r="M875" s="68"/>
    </row>
    <row r="876" ht="15.75" customHeight="1">
      <c r="C876" s="68"/>
      <c r="E876" s="68"/>
      <c r="F876" s="68"/>
      <c r="G876" s="68"/>
      <c r="M876" s="68"/>
    </row>
    <row r="877" ht="15.75" customHeight="1">
      <c r="C877" s="68"/>
      <c r="E877" s="68"/>
      <c r="F877" s="68"/>
      <c r="G877" s="68"/>
      <c r="M877" s="68"/>
    </row>
    <row r="878" ht="15.75" customHeight="1">
      <c r="C878" s="68"/>
      <c r="E878" s="68"/>
      <c r="F878" s="68"/>
      <c r="G878" s="68"/>
      <c r="M878" s="68"/>
    </row>
    <row r="879" ht="15.75" customHeight="1">
      <c r="C879" s="68"/>
      <c r="E879" s="68"/>
      <c r="F879" s="68"/>
      <c r="G879" s="68"/>
      <c r="M879" s="68"/>
    </row>
    <row r="880" ht="15.75" customHeight="1">
      <c r="C880" s="68"/>
      <c r="E880" s="68"/>
      <c r="F880" s="68"/>
      <c r="G880" s="68"/>
      <c r="M880" s="68"/>
    </row>
    <row r="881" ht="15.75" customHeight="1">
      <c r="C881" s="68"/>
      <c r="E881" s="68"/>
      <c r="F881" s="68"/>
      <c r="G881" s="68"/>
      <c r="M881" s="68"/>
    </row>
    <row r="882" ht="15.75" customHeight="1">
      <c r="C882" s="68"/>
      <c r="E882" s="68"/>
      <c r="F882" s="68"/>
      <c r="G882" s="68"/>
      <c r="M882" s="68"/>
    </row>
    <row r="883" ht="15.75" customHeight="1">
      <c r="C883" s="68"/>
      <c r="E883" s="68"/>
      <c r="F883" s="68"/>
      <c r="G883" s="68"/>
      <c r="M883" s="68"/>
    </row>
    <row r="884" ht="15.75" customHeight="1">
      <c r="C884" s="68"/>
      <c r="E884" s="68"/>
      <c r="F884" s="68"/>
      <c r="G884" s="68"/>
      <c r="M884" s="68"/>
    </row>
    <row r="885" ht="15.75" customHeight="1">
      <c r="C885" s="68"/>
      <c r="E885" s="68"/>
      <c r="F885" s="68"/>
      <c r="G885" s="68"/>
      <c r="M885" s="68"/>
    </row>
    <row r="886" ht="15.75" customHeight="1">
      <c r="C886" s="68"/>
      <c r="E886" s="68"/>
      <c r="F886" s="68"/>
      <c r="G886" s="68"/>
      <c r="M886" s="68"/>
    </row>
    <row r="887" ht="15.75" customHeight="1">
      <c r="C887" s="68"/>
      <c r="E887" s="68"/>
      <c r="F887" s="68"/>
      <c r="G887" s="68"/>
      <c r="M887" s="68"/>
    </row>
    <row r="888" ht="15.75" customHeight="1">
      <c r="C888" s="68"/>
      <c r="E888" s="68"/>
      <c r="F888" s="68"/>
      <c r="G888" s="68"/>
      <c r="M888" s="68"/>
    </row>
    <row r="889" ht="15.75" customHeight="1">
      <c r="C889" s="68"/>
      <c r="E889" s="68"/>
      <c r="F889" s="68"/>
      <c r="G889" s="68"/>
      <c r="M889" s="68"/>
    </row>
    <row r="890" ht="15.75" customHeight="1">
      <c r="C890" s="68"/>
      <c r="E890" s="68"/>
      <c r="F890" s="68"/>
      <c r="G890" s="68"/>
      <c r="M890" s="68"/>
    </row>
    <row r="891" ht="15.75" customHeight="1">
      <c r="C891" s="68"/>
      <c r="E891" s="68"/>
      <c r="F891" s="68"/>
      <c r="G891" s="68"/>
      <c r="M891" s="68"/>
    </row>
    <row r="892" ht="15.75" customHeight="1">
      <c r="C892" s="68"/>
      <c r="E892" s="68"/>
      <c r="F892" s="68"/>
      <c r="G892" s="68"/>
      <c r="M892" s="68"/>
    </row>
    <row r="893" ht="15.75" customHeight="1">
      <c r="C893" s="68"/>
      <c r="E893" s="68"/>
      <c r="F893" s="68"/>
      <c r="G893" s="68"/>
      <c r="M893" s="68"/>
    </row>
    <row r="894" ht="15.75" customHeight="1">
      <c r="C894" s="68"/>
      <c r="E894" s="68"/>
      <c r="F894" s="68"/>
      <c r="G894" s="68"/>
      <c r="M894" s="68"/>
    </row>
    <row r="895" ht="15.75" customHeight="1">
      <c r="C895" s="68"/>
      <c r="E895" s="68"/>
      <c r="F895" s="68"/>
      <c r="G895" s="68"/>
      <c r="M895" s="68"/>
    </row>
    <row r="896" ht="15.75" customHeight="1">
      <c r="C896" s="68"/>
      <c r="E896" s="68"/>
      <c r="F896" s="68"/>
      <c r="G896" s="68"/>
      <c r="M896" s="68"/>
    </row>
    <row r="897" ht="15.75" customHeight="1">
      <c r="C897" s="68"/>
      <c r="E897" s="68"/>
      <c r="F897" s="68"/>
      <c r="G897" s="68"/>
      <c r="M897" s="68"/>
    </row>
    <row r="898" ht="15.75" customHeight="1">
      <c r="C898" s="68"/>
      <c r="E898" s="68"/>
      <c r="F898" s="68"/>
      <c r="G898" s="68"/>
      <c r="M898" s="68"/>
    </row>
    <row r="899" ht="15.75" customHeight="1">
      <c r="C899" s="68"/>
      <c r="E899" s="68"/>
      <c r="F899" s="68"/>
      <c r="G899" s="68"/>
      <c r="M899" s="68"/>
    </row>
    <row r="900" ht="15.75" customHeight="1">
      <c r="C900" s="68"/>
      <c r="E900" s="68"/>
      <c r="F900" s="68"/>
      <c r="G900" s="68"/>
      <c r="M900" s="68"/>
    </row>
    <row r="901" ht="15.75" customHeight="1">
      <c r="C901" s="68"/>
      <c r="E901" s="68"/>
      <c r="F901" s="68"/>
      <c r="G901" s="68"/>
      <c r="M901" s="68"/>
    </row>
    <row r="902" ht="15.75" customHeight="1">
      <c r="C902" s="68"/>
      <c r="E902" s="68"/>
      <c r="F902" s="68"/>
      <c r="G902" s="68"/>
      <c r="M902" s="68"/>
    </row>
    <row r="903" ht="15.75" customHeight="1">
      <c r="C903" s="68"/>
      <c r="E903" s="68"/>
      <c r="F903" s="68"/>
      <c r="G903" s="68"/>
      <c r="M903" s="68"/>
    </row>
    <row r="904" ht="15.75" customHeight="1">
      <c r="C904" s="68"/>
      <c r="E904" s="68"/>
      <c r="F904" s="68"/>
      <c r="G904" s="68"/>
      <c r="M904" s="68"/>
    </row>
    <row r="905" ht="15.75" customHeight="1">
      <c r="C905" s="68"/>
      <c r="E905" s="68"/>
      <c r="F905" s="68"/>
      <c r="G905" s="68"/>
      <c r="M905" s="68"/>
    </row>
    <row r="906" ht="15.75" customHeight="1">
      <c r="C906" s="68"/>
      <c r="E906" s="68"/>
      <c r="F906" s="68"/>
      <c r="G906" s="68"/>
      <c r="M906" s="68"/>
    </row>
    <row r="907" ht="15.75" customHeight="1">
      <c r="C907" s="68"/>
      <c r="E907" s="68"/>
      <c r="F907" s="68"/>
      <c r="G907" s="68"/>
      <c r="M907" s="68"/>
    </row>
    <row r="908" ht="15.75" customHeight="1">
      <c r="C908" s="68"/>
      <c r="E908" s="68"/>
      <c r="F908" s="68"/>
      <c r="G908" s="68"/>
      <c r="M908" s="68"/>
    </row>
    <row r="909" ht="15.75" customHeight="1">
      <c r="C909" s="68"/>
      <c r="E909" s="68"/>
      <c r="F909" s="68"/>
      <c r="G909" s="68"/>
      <c r="M909" s="68"/>
    </row>
    <row r="910" ht="15.75" customHeight="1">
      <c r="C910" s="68"/>
      <c r="E910" s="68"/>
      <c r="F910" s="68"/>
      <c r="G910" s="68"/>
      <c r="M910" s="68"/>
    </row>
    <row r="911" ht="15.75" customHeight="1">
      <c r="C911" s="68"/>
      <c r="E911" s="68"/>
      <c r="F911" s="68"/>
      <c r="G911" s="68"/>
      <c r="M911" s="68"/>
    </row>
    <row r="912" ht="15.75" customHeight="1">
      <c r="C912" s="68"/>
      <c r="E912" s="68"/>
      <c r="F912" s="68"/>
      <c r="G912" s="68"/>
      <c r="M912" s="68"/>
    </row>
    <row r="913" ht="15.75" customHeight="1">
      <c r="C913" s="68"/>
      <c r="E913" s="68"/>
      <c r="F913" s="68"/>
      <c r="G913" s="68"/>
      <c r="M913" s="68"/>
    </row>
    <row r="914" ht="15.75" customHeight="1">
      <c r="C914" s="68"/>
      <c r="E914" s="68"/>
      <c r="F914" s="68"/>
      <c r="G914" s="68"/>
      <c r="M914" s="68"/>
    </row>
    <row r="915" ht="15.75" customHeight="1">
      <c r="C915" s="68"/>
      <c r="E915" s="68"/>
      <c r="F915" s="68"/>
      <c r="G915" s="68"/>
      <c r="M915" s="68"/>
    </row>
    <row r="916" ht="15.75" customHeight="1">
      <c r="C916" s="68"/>
      <c r="E916" s="68"/>
      <c r="F916" s="68"/>
      <c r="G916" s="68"/>
      <c r="M916" s="68"/>
    </row>
    <row r="917" ht="15.75" customHeight="1">
      <c r="C917" s="68"/>
      <c r="E917" s="68"/>
      <c r="F917" s="68"/>
      <c r="G917" s="68"/>
      <c r="M917" s="68"/>
    </row>
    <row r="918" ht="15.75" customHeight="1">
      <c r="C918" s="68"/>
      <c r="E918" s="68"/>
      <c r="F918" s="68"/>
      <c r="G918" s="68"/>
      <c r="M918" s="68"/>
    </row>
    <row r="919" ht="15.75" customHeight="1">
      <c r="C919" s="68"/>
      <c r="E919" s="68"/>
      <c r="F919" s="68"/>
      <c r="G919" s="68"/>
      <c r="M919" s="68"/>
    </row>
    <row r="920" ht="15.75" customHeight="1">
      <c r="C920" s="68"/>
      <c r="E920" s="68"/>
      <c r="F920" s="68"/>
      <c r="G920" s="68"/>
      <c r="M920" s="68"/>
    </row>
    <row r="921" ht="15.75" customHeight="1">
      <c r="C921" s="68"/>
      <c r="E921" s="68"/>
      <c r="F921" s="68"/>
      <c r="G921" s="68"/>
      <c r="M921" s="68"/>
    </row>
    <row r="922" ht="15.75" customHeight="1">
      <c r="C922" s="68"/>
      <c r="E922" s="68"/>
      <c r="F922" s="68"/>
      <c r="G922" s="68"/>
      <c r="M922" s="68"/>
    </row>
    <row r="923" ht="15.75" customHeight="1">
      <c r="C923" s="68"/>
      <c r="E923" s="68"/>
      <c r="F923" s="68"/>
      <c r="G923" s="68"/>
      <c r="M923" s="68"/>
    </row>
    <row r="924" ht="15.75" customHeight="1">
      <c r="C924" s="68"/>
      <c r="E924" s="68"/>
      <c r="F924" s="68"/>
      <c r="G924" s="68"/>
      <c r="M924" s="68"/>
    </row>
    <row r="925" ht="15.75" customHeight="1">
      <c r="C925" s="68"/>
      <c r="E925" s="68"/>
      <c r="F925" s="68"/>
      <c r="G925" s="68"/>
      <c r="M925" s="68"/>
    </row>
    <row r="926" ht="15.75" customHeight="1">
      <c r="C926" s="68"/>
      <c r="E926" s="68"/>
      <c r="F926" s="68"/>
      <c r="G926" s="68"/>
      <c r="M926" s="68"/>
    </row>
    <row r="927" ht="15.75" customHeight="1">
      <c r="C927" s="68"/>
      <c r="E927" s="68"/>
      <c r="F927" s="68"/>
      <c r="G927" s="68"/>
      <c r="M927" s="68"/>
    </row>
    <row r="928" ht="15.75" customHeight="1">
      <c r="C928" s="68"/>
      <c r="E928" s="68"/>
      <c r="F928" s="68"/>
      <c r="G928" s="68"/>
      <c r="M928" s="68"/>
    </row>
    <row r="929" ht="15.75" customHeight="1">
      <c r="C929" s="68"/>
      <c r="E929" s="68"/>
      <c r="F929" s="68"/>
      <c r="G929" s="68"/>
      <c r="M929" s="68"/>
    </row>
    <row r="930" ht="15.75" customHeight="1">
      <c r="C930" s="68"/>
      <c r="E930" s="68"/>
      <c r="F930" s="68"/>
      <c r="G930" s="68"/>
      <c r="M930" s="68"/>
    </row>
    <row r="931" ht="15.75" customHeight="1">
      <c r="C931" s="68"/>
      <c r="E931" s="68"/>
      <c r="F931" s="68"/>
      <c r="G931" s="68"/>
      <c r="M931" s="68"/>
    </row>
    <row r="932" ht="15.75" customHeight="1">
      <c r="C932" s="68"/>
      <c r="E932" s="68"/>
      <c r="F932" s="68"/>
      <c r="G932" s="68"/>
      <c r="M932" s="68"/>
    </row>
    <row r="933" ht="15.75" customHeight="1">
      <c r="C933" s="68"/>
      <c r="E933" s="68"/>
      <c r="F933" s="68"/>
      <c r="G933" s="68"/>
      <c r="M933" s="68"/>
    </row>
    <row r="934" ht="15.75" customHeight="1">
      <c r="C934" s="68"/>
      <c r="E934" s="68"/>
      <c r="F934" s="68"/>
      <c r="G934" s="68"/>
      <c r="M934" s="68"/>
    </row>
    <row r="935" ht="15.75" customHeight="1">
      <c r="C935" s="68"/>
      <c r="E935" s="68"/>
      <c r="F935" s="68"/>
      <c r="G935" s="68"/>
      <c r="M935" s="68"/>
    </row>
    <row r="936" ht="15.75" customHeight="1">
      <c r="C936" s="68"/>
      <c r="E936" s="68"/>
      <c r="F936" s="68"/>
      <c r="G936" s="68"/>
      <c r="M936" s="68"/>
    </row>
    <row r="937" ht="15.75" customHeight="1">
      <c r="C937" s="68"/>
      <c r="E937" s="68"/>
      <c r="F937" s="68"/>
      <c r="G937" s="68"/>
      <c r="M937" s="68"/>
    </row>
    <row r="938" ht="15.75" customHeight="1">
      <c r="C938" s="68"/>
      <c r="E938" s="68"/>
      <c r="F938" s="68"/>
      <c r="G938" s="68"/>
      <c r="M938" s="68"/>
    </row>
    <row r="939" ht="15.75" customHeight="1">
      <c r="C939" s="68"/>
      <c r="E939" s="68"/>
      <c r="F939" s="68"/>
      <c r="G939" s="68"/>
      <c r="M939" s="68"/>
    </row>
    <row r="940" ht="15.75" customHeight="1">
      <c r="C940" s="68"/>
      <c r="E940" s="68"/>
      <c r="F940" s="68"/>
      <c r="G940" s="68"/>
      <c r="M940" s="68"/>
    </row>
    <row r="941" ht="15.75" customHeight="1">
      <c r="C941" s="68"/>
      <c r="E941" s="68"/>
      <c r="F941" s="68"/>
      <c r="G941" s="68"/>
      <c r="M941" s="68"/>
    </row>
    <row r="942" ht="15.75" customHeight="1">
      <c r="C942" s="68"/>
      <c r="E942" s="68"/>
      <c r="F942" s="68"/>
      <c r="G942" s="68"/>
      <c r="M942" s="68"/>
    </row>
    <row r="943" ht="15.75" customHeight="1">
      <c r="C943" s="68"/>
      <c r="E943" s="68"/>
      <c r="F943" s="68"/>
      <c r="G943" s="68"/>
      <c r="M943" s="68"/>
    </row>
    <row r="944" ht="15.75" customHeight="1">
      <c r="C944" s="68"/>
      <c r="E944" s="68"/>
      <c r="F944" s="68"/>
      <c r="G944" s="68"/>
      <c r="M944" s="68"/>
    </row>
    <row r="945" ht="15.75" customHeight="1">
      <c r="C945" s="68"/>
      <c r="E945" s="68"/>
      <c r="F945" s="68"/>
      <c r="G945" s="68"/>
      <c r="M945" s="68"/>
    </row>
    <row r="946" ht="15.75" customHeight="1">
      <c r="C946" s="68"/>
      <c r="E946" s="68"/>
      <c r="F946" s="68"/>
      <c r="G946" s="68"/>
      <c r="M946" s="68"/>
    </row>
    <row r="947" ht="15.75" customHeight="1">
      <c r="C947" s="68"/>
      <c r="E947" s="68"/>
      <c r="F947" s="68"/>
      <c r="G947" s="68"/>
      <c r="M947" s="68"/>
    </row>
    <row r="948" ht="15.75" customHeight="1">
      <c r="C948" s="68"/>
      <c r="E948" s="68"/>
      <c r="F948" s="68"/>
      <c r="G948" s="68"/>
      <c r="M948" s="68"/>
    </row>
    <row r="949" ht="15.75" customHeight="1">
      <c r="C949" s="68"/>
      <c r="E949" s="68"/>
      <c r="F949" s="68"/>
      <c r="G949" s="68"/>
      <c r="M949" s="68"/>
    </row>
    <row r="950" ht="15.75" customHeight="1">
      <c r="C950" s="68"/>
      <c r="E950" s="68"/>
      <c r="F950" s="68"/>
      <c r="G950" s="68"/>
      <c r="M950" s="68"/>
    </row>
    <row r="951" ht="15.75" customHeight="1">
      <c r="C951" s="68"/>
      <c r="E951" s="68"/>
      <c r="F951" s="68"/>
      <c r="G951" s="68"/>
      <c r="M951" s="68"/>
    </row>
    <row r="952" ht="15.75" customHeight="1">
      <c r="C952" s="68"/>
      <c r="E952" s="68"/>
      <c r="F952" s="68"/>
      <c r="G952" s="68"/>
      <c r="M952" s="68"/>
    </row>
    <row r="953" ht="15.75" customHeight="1">
      <c r="C953" s="68"/>
      <c r="E953" s="68"/>
      <c r="F953" s="68"/>
      <c r="G953" s="68"/>
      <c r="M953" s="68"/>
    </row>
    <row r="954" ht="15.75" customHeight="1">
      <c r="C954" s="68"/>
      <c r="E954" s="68"/>
      <c r="F954" s="68"/>
      <c r="G954" s="68"/>
      <c r="M954" s="68"/>
    </row>
    <row r="955" ht="15.75" customHeight="1">
      <c r="C955" s="68"/>
      <c r="E955" s="68"/>
      <c r="F955" s="68"/>
      <c r="G955" s="68"/>
      <c r="M955" s="68"/>
    </row>
    <row r="956" ht="15.75" customHeight="1">
      <c r="C956" s="68"/>
      <c r="E956" s="68"/>
      <c r="F956" s="68"/>
      <c r="G956" s="68"/>
      <c r="M956" s="68"/>
    </row>
    <row r="957" ht="15.75" customHeight="1">
      <c r="C957" s="68"/>
      <c r="E957" s="68"/>
      <c r="F957" s="68"/>
      <c r="G957" s="68"/>
      <c r="M957" s="68"/>
    </row>
    <row r="958" ht="15.75" customHeight="1">
      <c r="C958" s="68"/>
      <c r="E958" s="68"/>
      <c r="F958" s="68"/>
      <c r="G958" s="68"/>
      <c r="M958" s="68"/>
    </row>
    <row r="959" ht="15.75" customHeight="1">
      <c r="C959" s="68"/>
      <c r="E959" s="68"/>
      <c r="F959" s="68"/>
      <c r="G959" s="68"/>
      <c r="M959" s="68"/>
    </row>
    <row r="960" ht="15.75" customHeight="1">
      <c r="C960" s="68"/>
      <c r="E960" s="68"/>
      <c r="F960" s="68"/>
      <c r="G960" s="68"/>
      <c r="M960" s="68"/>
    </row>
    <row r="961" ht="15.75" customHeight="1">
      <c r="C961" s="68"/>
      <c r="E961" s="68"/>
      <c r="F961" s="68"/>
      <c r="G961" s="68"/>
      <c r="M961" s="68"/>
    </row>
    <row r="962" ht="15.75" customHeight="1">
      <c r="C962" s="68"/>
      <c r="E962" s="68"/>
      <c r="F962" s="68"/>
      <c r="G962" s="68"/>
      <c r="M962" s="68"/>
    </row>
    <row r="963" ht="15.75" customHeight="1">
      <c r="C963" s="68"/>
      <c r="E963" s="68"/>
      <c r="F963" s="68"/>
      <c r="G963" s="68"/>
      <c r="M963" s="68"/>
    </row>
    <row r="964" ht="15.75" customHeight="1">
      <c r="C964" s="68"/>
      <c r="E964" s="68"/>
      <c r="F964" s="68"/>
      <c r="G964" s="68"/>
      <c r="M964" s="68"/>
    </row>
    <row r="965" ht="15.75" customHeight="1">
      <c r="C965" s="68"/>
      <c r="E965" s="68"/>
      <c r="F965" s="68"/>
      <c r="G965" s="68"/>
      <c r="M965" s="68"/>
    </row>
    <row r="966" ht="15.75" customHeight="1">
      <c r="C966" s="68"/>
      <c r="E966" s="68"/>
      <c r="F966" s="68"/>
      <c r="G966" s="68"/>
      <c r="M966" s="68"/>
    </row>
    <row r="967" ht="15.75" customHeight="1">
      <c r="C967" s="68"/>
      <c r="E967" s="68"/>
      <c r="F967" s="68"/>
      <c r="G967" s="68"/>
      <c r="M967" s="68"/>
    </row>
    <row r="968" ht="15.75" customHeight="1">
      <c r="C968" s="68"/>
      <c r="E968" s="68"/>
      <c r="F968" s="68"/>
      <c r="G968" s="68"/>
      <c r="M968" s="68"/>
    </row>
    <row r="969" ht="15.75" customHeight="1">
      <c r="C969" s="68"/>
      <c r="E969" s="68"/>
      <c r="F969" s="68"/>
      <c r="G969" s="68"/>
      <c r="M969" s="68"/>
    </row>
    <row r="970" ht="15.75" customHeight="1">
      <c r="C970" s="68"/>
      <c r="E970" s="68"/>
      <c r="F970" s="68"/>
      <c r="G970" s="68"/>
      <c r="M970" s="68"/>
    </row>
    <row r="971" ht="15.75" customHeight="1">
      <c r="C971" s="68"/>
      <c r="E971" s="68"/>
      <c r="F971" s="68"/>
      <c r="G971" s="68"/>
      <c r="M971" s="68"/>
    </row>
    <row r="972" ht="15.75" customHeight="1">
      <c r="C972" s="68"/>
      <c r="E972" s="68"/>
      <c r="F972" s="68"/>
      <c r="G972" s="68"/>
      <c r="M972" s="68"/>
    </row>
    <row r="973" ht="15.75" customHeight="1">
      <c r="C973" s="68"/>
      <c r="E973" s="68"/>
      <c r="F973" s="68"/>
      <c r="G973" s="68"/>
      <c r="M973" s="68"/>
    </row>
    <row r="974" ht="15.75" customHeight="1">
      <c r="C974" s="68"/>
      <c r="E974" s="68"/>
      <c r="F974" s="68"/>
      <c r="G974" s="68"/>
      <c r="M974" s="68"/>
    </row>
    <row r="975" ht="15.75" customHeight="1">
      <c r="C975" s="68"/>
      <c r="E975" s="68"/>
      <c r="F975" s="68"/>
      <c r="G975" s="68"/>
      <c r="M975" s="68"/>
    </row>
    <row r="976" ht="15.75" customHeight="1">
      <c r="C976" s="68"/>
      <c r="E976" s="68"/>
      <c r="F976" s="68"/>
      <c r="G976" s="68"/>
      <c r="M976" s="68"/>
    </row>
    <row r="977" ht="15.75" customHeight="1">
      <c r="C977" s="68"/>
      <c r="E977" s="68"/>
      <c r="F977" s="68"/>
      <c r="G977" s="68"/>
      <c r="M977" s="68"/>
    </row>
    <row r="978" ht="15.75" customHeight="1">
      <c r="C978" s="68"/>
      <c r="E978" s="68"/>
      <c r="F978" s="68"/>
      <c r="G978" s="68"/>
      <c r="M978" s="68"/>
    </row>
    <row r="979" ht="15.75" customHeight="1">
      <c r="C979" s="68"/>
      <c r="E979" s="68"/>
      <c r="F979" s="68"/>
      <c r="G979" s="68"/>
      <c r="M979" s="68"/>
    </row>
    <row r="980" ht="15.75" customHeight="1">
      <c r="C980" s="68"/>
      <c r="E980" s="68"/>
      <c r="F980" s="68"/>
      <c r="G980" s="68"/>
      <c r="M980" s="68"/>
    </row>
    <row r="981" ht="15.75" customHeight="1">
      <c r="C981" s="68"/>
      <c r="E981" s="68"/>
      <c r="F981" s="68"/>
      <c r="G981" s="68"/>
      <c r="M981" s="68"/>
    </row>
    <row r="982" ht="15.75" customHeight="1">
      <c r="C982" s="68"/>
      <c r="E982" s="68"/>
      <c r="F982" s="68"/>
      <c r="G982" s="68"/>
      <c r="M982" s="68"/>
    </row>
    <row r="983" ht="15.75" customHeight="1">
      <c r="C983" s="68"/>
      <c r="E983" s="68"/>
      <c r="F983" s="68"/>
      <c r="G983" s="68"/>
      <c r="M983" s="68"/>
    </row>
    <row r="984" ht="15.75" customHeight="1">
      <c r="C984" s="68"/>
      <c r="E984" s="68"/>
      <c r="F984" s="68"/>
      <c r="G984" s="68"/>
      <c r="M984" s="68"/>
    </row>
    <row r="985" ht="15.75" customHeight="1">
      <c r="C985" s="68"/>
      <c r="E985" s="68"/>
      <c r="F985" s="68"/>
      <c r="G985" s="68"/>
      <c r="M985" s="68"/>
    </row>
    <row r="986" ht="15.75" customHeight="1">
      <c r="C986" s="68"/>
      <c r="E986" s="68"/>
      <c r="F986" s="68"/>
      <c r="G986" s="68"/>
      <c r="M986" s="68"/>
    </row>
    <row r="987" ht="15.75" customHeight="1">
      <c r="C987" s="68"/>
      <c r="E987" s="68"/>
      <c r="F987" s="68"/>
      <c r="G987" s="68"/>
      <c r="M987" s="68"/>
    </row>
    <row r="988" ht="15.75" customHeight="1">
      <c r="C988" s="68"/>
      <c r="E988" s="68"/>
      <c r="F988" s="68"/>
      <c r="G988" s="68"/>
      <c r="M988" s="68"/>
    </row>
    <row r="989" ht="15.75" customHeight="1">
      <c r="C989" s="68"/>
      <c r="E989" s="68"/>
      <c r="F989" s="68"/>
      <c r="G989" s="68"/>
      <c r="M989" s="68"/>
    </row>
    <row r="990" ht="15.75" customHeight="1">
      <c r="C990" s="68"/>
      <c r="E990" s="68"/>
      <c r="F990" s="68"/>
      <c r="G990" s="68"/>
      <c r="M990" s="68"/>
    </row>
    <row r="991" ht="15.75" customHeight="1">
      <c r="C991" s="68"/>
      <c r="E991" s="68"/>
      <c r="F991" s="68"/>
      <c r="G991" s="68"/>
      <c r="M991" s="68"/>
    </row>
    <row r="992" ht="15.75" customHeight="1">
      <c r="C992" s="68"/>
      <c r="E992" s="68"/>
      <c r="F992" s="68"/>
      <c r="G992" s="68"/>
      <c r="M992" s="68"/>
    </row>
    <row r="993" ht="15.75" customHeight="1">
      <c r="C993" s="68"/>
      <c r="E993" s="68"/>
      <c r="F993" s="68"/>
      <c r="G993" s="68"/>
      <c r="M993" s="68"/>
    </row>
    <row r="994" ht="15.75" customHeight="1">
      <c r="C994" s="68"/>
      <c r="E994" s="68"/>
      <c r="F994" s="68"/>
      <c r="G994" s="68"/>
      <c r="M994" s="68"/>
    </row>
    <row r="995" ht="15.75" customHeight="1">
      <c r="C995" s="68"/>
      <c r="E995" s="68"/>
      <c r="F995" s="68"/>
      <c r="G995" s="68"/>
      <c r="M995" s="68"/>
    </row>
    <row r="996" ht="15.75" customHeight="1">
      <c r="C996" s="68"/>
      <c r="E996" s="68"/>
      <c r="F996" s="68"/>
      <c r="G996" s="68"/>
      <c r="M996" s="68"/>
    </row>
    <row r="997" ht="15.75" customHeight="1">
      <c r="C997" s="68"/>
      <c r="E997" s="68"/>
      <c r="F997" s="68"/>
      <c r="G997" s="68"/>
      <c r="M997" s="68"/>
    </row>
    <row r="998" ht="15.75" customHeight="1">
      <c r="C998" s="68"/>
      <c r="E998" s="68"/>
      <c r="F998" s="68"/>
      <c r="G998" s="68"/>
      <c r="M998" s="68"/>
    </row>
    <row r="999" ht="15.75" customHeight="1">
      <c r="C999" s="68"/>
      <c r="E999" s="68"/>
      <c r="F999" s="68"/>
      <c r="G999" s="68"/>
      <c r="M999" s="68"/>
    </row>
    <row r="1000" ht="15.75" customHeight="1">
      <c r="C1000" s="68"/>
      <c r="E1000" s="68"/>
      <c r="F1000" s="68"/>
      <c r="G1000" s="68"/>
      <c r="M1000" s="68"/>
    </row>
  </sheetData>
  <dataValidations>
    <dataValidation type="list" allowBlank="1" sqref="I3:I68">
      <formula1>"OK,NO OK,Sin implementar,Por probar"</formula1>
    </dataValidation>
    <dataValidation type="list" allowBlank="1" sqref="J3:J68">
      <formula1>"Critica,Alta,Media,Baja"</formula1>
    </dataValidation>
    <dataValidation type="list" allowBlank="1" sqref="K3:K68">
      <formula1>"Si,No"</formula1>
    </dataValidation>
    <dataValidation type="list" allowBlank="1" showErrorMessage="1" sqref="H3:H68">
      <formula1>"Integracion,Sistema,Stress,Seguridad,Unitaria"</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cols>
    <col customWidth="1" min="1" max="1" width="10.1"/>
    <col customWidth="1" min="2" max="2" width="13.7"/>
    <col customWidth="1" min="3" max="3" width="11.6"/>
    <col customWidth="1" min="4" max="4" width="7.3"/>
    <col customWidth="1" min="5" max="5" width="8.7"/>
    <col customWidth="1" min="6" max="6" width="13.1"/>
    <col customWidth="1" min="7" max="7" width="14.4"/>
    <col customWidth="1" min="8" max="8" width="15.8"/>
  </cols>
  <sheetData>
    <row r="1">
      <c r="A1" s="2"/>
      <c r="B1" s="3" t="s">
        <v>0</v>
      </c>
      <c r="D1" s="2"/>
      <c r="E1" s="2"/>
      <c r="F1" s="2"/>
      <c r="G1" s="2"/>
      <c r="H1" s="2"/>
    </row>
    <row r="2">
      <c r="A2" s="2"/>
      <c r="B2" s="4"/>
      <c r="C2" s="2"/>
      <c r="D2" s="4"/>
      <c r="E2" s="4"/>
      <c r="F2" s="4"/>
      <c r="G2" s="4"/>
      <c r="H2" s="4"/>
    </row>
    <row r="3">
      <c r="A3" s="2"/>
      <c r="B3" s="7" t="s">
        <v>1</v>
      </c>
      <c r="C3" s="7"/>
      <c r="D3" s="4"/>
      <c r="E3" s="4"/>
      <c r="F3" s="4"/>
      <c r="G3" s="4"/>
      <c r="H3" s="4"/>
    </row>
    <row r="4">
      <c r="A4" s="2"/>
      <c r="B4" s="9" t="s">
        <v>2</v>
      </c>
      <c r="C4" s="9" t="s">
        <v>4</v>
      </c>
      <c r="D4" s="9" t="s">
        <v>5</v>
      </c>
      <c r="E4" s="9" t="s">
        <v>6</v>
      </c>
      <c r="F4" s="9" t="s">
        <v>7</v>
      </c>
      <c r="G4" s="9" t="s">
        <v>8</v>
      </c>
      <c r="H4" s="9" t="s">
        <v>9</v>
      </c>
    </row>
    <row r="5">
      <c r="A5" s="2"/>
      <c r="B5" s="10" t="s">
        <v>10</v>
      </c>
      <c r="C5" s="17">
        <f>COUNTIF('casos prueba sprint 1'!$H$3:$H$66, "Sistema") + COUNTIF('casos prueba sprint 2'!$H$3:$H$68, "Sistema")
</f>
        <v>86</v>
      </c>
      <c r="D5" s="27">
        <f>COUNTIFS('casos prueba sprint 1'!$H$3:$H$66, "Sistema", 'casos prueba sprint 1'!$I$3:$I$66, "OK") + COUNTIFS('casos prueba sprint 2'!$H$3:$H$68, "Sistema", 'casos prueba sprint 2'!$I$3:$I$68, "OK")</f>
        <v>45</v>
      </c>
      <c r="E5" s="39">
        <f>COUNTIFS('casos prueba sprint 1'!$H$3:$H$66, "Sistema", 'casos prueba sprint 1'!$I$3:$I$66, "NO OK") + COUNTIFS('casos prueba sprint 2'!$H$3:$H$68, "Sistema", 'casos prueba sprint 2'!$I$3:$I$68, "NO OK")</f>
        <v>0</v>
      </c>
      <c r="F5" s="17">
        <f>COUNTIFS('casos prueba sprint 1'!$H$3:$H$66, "Sistema", 'casos prueba sprint 1'!$I$3:$I$66, "Sin implementar") + COUNTIFS('casos prueba sprint 2'!$H$3:$H$68, "Sistema", 'casos prueba sprint 2'!$I$3:$I$68, "Sin implementar")</f>
        <v>0</v>
      </c>
      <c r="G5" s="54">
        <f>COUNTIFS('casos prueba sprint 1'!$H$3:$H$66, "Sistema", 'casos prueba sprint 1'!$I$3:$I$66, "Por probar") + COUNTIFS('casos prueba sprint 2'!$H$3:$H$68, "Sistema", 'casos prueba sprint 2'!$I$3:$I$68, "Por probar")</f>
        <v>41</v>
      </c>
      <c r="H5" s="58">
        <f t="shared" ref="H5:H8" si="1">D5/C5</f>
        <v>0.523255814</v>
      </c>
    </row>
    <row r="6">
      <c r="A6" s="2"/>
      <c r="B6" s="10" t="s">
        <v>42</v>
      </c>
      <c r="C6" s="17">
        <f>COUNTIF('casos prueba sprint 1'!$H$3:$H$66, "Integracion") + COUNTIF('casos prueba sprint 2'!$H$3:$H$68, "Integracion")
</f>
        <v>16</v>
      </c>
      <c r="D6" s="27">
        <f>COUNTIFS('casos prueba sprint 1'!$H$3:$H$66, "Integracion", 'casos prueba sprint 1'!$I$3:$I$66, "OK") + COUNTIFS('casos prueba sprint 2'!$H$3:$H$68, "Integracion", 'casos prueba sprint 2'!$I$3:$I$68, "OK")</f>
        <v>5</v>
      </c>
      <c r="E6" s="39">
        <f>COUNTIFS('casos prueba sprint 1'!$H$3:$H$66, "Integracion", 'casos prueba sprint 1'!$I$3:$I$66, "NO OK") + COUNTIFS('casos prueba sprint 2'!$H$3:$H$68, "Integracion", 'casos prueba sprint 2'!$I$3:$I$68, "NO OK")</f>
        <v>0</v>
      </c>
      <c r="F6" s="17">
        <f>COUNTIFS('casos prueba sprint 1'!$H$3:$H$66, "Integracion", 'casos prueba sprint 1'!$I$3:$I$66, "Sin implementar") + COUNTIFS('casos prueba sprint 2'!$H$3:$H$68, "Integracion", 'casos prueba sprint 2'!$I$3:$I$68, "Sin implementar")</f>
        <v>0</v>
      </c>
      <c r="G6" s="54">
        <f>COUNTIFS('casos prueba sprint 1'!$H$3:$H$66, "Integracion", 'casos prueba sprint 1'!$I$3:$I$66, "Por probar") + COUNTIFS('casos prueba sprint 2'!$H$3:$H$68, "Integracion", 'casos prueba sprint 2'!$I$3:$I$68, "Por probar")</f>
        <v>11</v>
      </c>
      <c r="H6" s="58">
        <f t="shared" si="1"/>
        <v>0.3125</v>
      </c>
    </row>
    <row r="7">
      <c r="A7" s="2"/>
      <c r="B7" s="10" t="s">
        <v>67</v>
      </c>
      <c r="C7" s="17">
        <f>COUNTIF('casos prueba sprint 1'!$H$3:$H$66, "Seguridad") + COUNTIF('casos prueba sprint 2'!$H$3:$H$68, "Seguridad")
</f>
        <v>28</v>
      </c>
      <c r="D7" s="27">
        <f>COUNTIFS('casos prueba sprint 1'!$H$3:$H$66, "Seguridad", 'casos prueba sprint 1'!$I$3:$I$66, "OK") + COUNTIFS('casos prueba sprint 2'!$H$3:$H$68, "Seguridad", 'casos prueba sprint 2'!$I$3:$I$68, "OK")</f>
        <v>14</v>
      </c>
      <c r="E7" s="39">
        <f>COUNTIFS('casos prueba sprint 1'!$H$3:$H$66, "Seguridad", 'casos prueba sprint 1'!$I$3:$I$66, "NO OK") + COUNTIFS('casos prueba sprint 2'!$H$3:$H$68, "Seguridad", 'casos prueba sprint 2'!$I$3:$I$68, "NO OK")</f>
        <v>0</v>
      </c>
      <c r="F7" s="17">
        <f>COUNTIFS('casos prueba sprint 1'!$H$3:$H$66, "Seguridad", 'casos prueba sprint 1'!$I$3:$I$66, "Sin implementar") + COUNTIFS('casos prueba sprint 2'!$H$3:$H$68, "Seguridad", 'casos prueba sprint 2'!$I$3:$I$68, "Sin implementar")</f>
        <v>0</v>
      </c>
      <c r="G7" s="54">
        <f>COUNTIFS('casos prueba sprint 1'!$H$3:$H$66, "Seguridad", 'casos prueba sprint 1'!$I$3:$I$66, "Por probar") + COUNTIFS('casos prueba sprint 2'!$H$3:$H$68, "Seguridad", 'casos prueba sprint 2'!$I$3:$I$68, "Por probar")</f>
        <v>14</v>
      </c>
      <c r="H7" s="58">
        <f t="shared" si="1"/>
        <v>0.5</v>
      </c>
    </row>
    <row r="8">
      <c r="A8" s="2"/>
      <c r="B8" s="87" t="s">
        <v>88</v>
      </c>
      <c r="C8" s="88">
        <f t="shared" ref="C8:G8" si="2">SUM(C5:C7)</f>
        <v>130</v>
      </c>
      <c r="D8" s="89">
        <f t="shared" si="2"/>
        <v>64</v>
      </c>
      <c r="E8" s="90">
        <f t="shared" si="2"/>
        <v>0</v>
      </c>
      <c r="F8" s="88">
        <f t="shared" si="2"/>
        <v>0</v>
      </c>
      <c r="G8" s="91">
        <f t="shared" si="2"/>
        <v>66</v>
      </c>
      <c r="H8" s="58">
        <f t="shared" si="1"/>
        <v>0.4923076923</v>
      </c>
    </row>
    <row r="9">
      <c r="A9" s="2"/>
      <c r="B9" s="92"/>
      <c r="G9" s="2"/>
      <c r="H9" s="2"/>
    </row>
    <row r="10">
      <c r="A10" s="2"/>
      <c r="B10" s="2"/>
      <c r="C10" s="2"/>
      <c r="D10" s="2"/>
      <c r="E10" s="2"/>
      <c r="F10" s="2"/>
      <c r="G10" s="2"/>
      <c r="H10" s="2"/>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sheetData>
  <mergeCells count="2">
    <mergeCell ref="B1:C1"/>
    <mergeCell ref="B9:F9"/>
  </mergeCells>
  <conditionalFormatting sqref="H5:H8">
    <cfRule type="colorScale" priority="1">
      <colorScale>
        <cfvo type="percent" val="0"/>
        <cfvo type="percent" val="70"/>
        <cfvo type="percent" val="100"/>
        <color rgb="FFE06666"/>
        <color rgb="FFFF9900"/>
        <color rgb="FF57BB8A"/>
      </colorScale>
    </cfRule>
  </conditionalFormatting>
  <drawing r:id="rId1"/>
</worksheet>
</file>