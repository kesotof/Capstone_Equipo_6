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5"/>
  </sheets>
  <definedNames>
    <definedName name="Priority">#REF!</definedName>
    <definedName name="Status">#REF!</definedName>
    <definedName name="YesNo">#REF!</definedName>
  </definedNames>
  <calcPr/>
</workbook>
</file>

<file path=xl/sharedStrings.xml><?xml version="1.0" encoding="utf-8"?>
<sst xmlns="http://schemas.openxmlformats.org/spreadsheetml/2006/main" count="14" uniqueCount="14">
  <si>
    <t>BURNDOWN CHART</t>
  </si>
  <si>
    <t>Proyecto</t>
  </si>
  <si>
    <t>fecha actualización</t>
  </si>
  <si>
    <t>Sprint</t>
  </si>
  <si>
    <t>Sem.</t>
  </si>
  <si>
    <t>Fecha</t>
  </si>
  <si>
    <t>Objetivo (hrs)</t>
  </si>
  <si>
    <t>Completado</t>
  </si>
  <si>
    <t>Faltante Real</t>
  </si>
  <si>
    <t>Proyeccíon Ideal</t>
  </si>
  <si>
    <t>sprint 1</t>
  </si>
  <si>
    <t>sprint 2</t>
  </si>
  <si>
    <t>sprint 3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</si>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</sst>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dddd&quot;, &quot;d&quot;-&quot;mmmm&quot;- &quot;yy"/>
  </numFmts>
  <fonts count="12">
    <font>
      <sz val="12.0"/>
      <color theme="1"/>
      <name val="Calibri"/>
      <scheme val="minor"/>
    </font>
    <font>
      <sz val="10.0"/>
      <color theme="1"/>
      <name val="Century Gothic"/>
    </font>
    <font>
      <b/>
      <sz val="28.0"/>
      <color rgb="FF595959"/>
      <name val="Century Gothic"/>
    </font>
    <font/>
    <font>
      <sz val="10.0"/>
      <color rgb="FFFFFFFF"/>
      <name val="Century Gothic"/>
    </font>
    <font>
      <sz val="14.0"/>
      <color theme="1"/>
      <name val="Century Gothic"/>
    </font>
    <font>
      <sz val="11.0"/>
      <color theme="1"/>
      <name val="Century Gothic"/>
    </font>
    <font>
      <sz val="11.0"/>
      <color theme="0"/>
      <name val="Century Gothic"/>
    </font>
    <font>
      <sz val="11.0"/>
      <color rgb="FF000000"/>
      <name val="Century Gothic"/>
    </font>
    <font>
      <sz val="22.0"/>
      <color rgb="FF595959"/>
      <name val="Century Gothic"/>
    </font>
    <font>
      <sz val="12.0"/>
      <color theme="1"/>
      <name val="Century Gothic"/>
    </font>
    <font>
      <b/>
      <sz val="12.0"/>
      <color theme="1"/>
      <name val="Century Gothic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434343"/>
        <bgColor rgb="FF434343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FF7E4"/>
        <bgColor rgb="FFFFF7E4"/>
      </patternFill>
    </fill>
  </fills>
  <borders count="42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000000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n">
        <color rgb="FF000000"/>
      </top>
      <bottom style="thin">
        <color rgb="FFBFBFBF"/>
      </bottom>
    </border>
    <border>
      <left/>
      <right style="thin">
        <color rgb="FF000000"/>
      </right>
      <top style="thin">
        <color rgb="FF000000"/>
      </top>
      <bottom style="thin">
        <color rgb="FFBFBFBF"/>
      </bottom>
    </border>
    <border>
      <left style="thin">
        <color rgb="FF000000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medium">
        <color rgb="FFBFBFBF"/>
      </right>
      <bottom style="thin">
        <color rgb="FFBFBFBF"/>
      </bottom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000000"/>
      </bottom>
    </border>
    <border>
      <right/>
      <top/>
      <bottom/>
    </border>
    <border>
      <left/>
      <right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ill="1" applyFont="1">
      <alignment shrinkToFit="0" vertical="center" wrapText="1"/>
    </xf>
    <xf borderId="3" fillId="0" fontId="3" numFmtId="0" xfId="0" applyBorder="1" applyFont="1"/>
    <xf borderId="0" fillId="0" fontId="4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4" fillId="3" fontId="1" numFmtId="0" xfId="0" applyAlignment="1" applyBorder="1" applyFill="1" applyFont="1">
      <alignment horizontal="left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1" numFmtId="0" xfId="0" applyAlignment="1" applyBorder="1" applyFill="1" applyFont="1">
      <alignment horizontal="center" shrinkToFit="0" vertical="center" wrapText="1"/>
    </xf>
    <xf borderId="8" fillId="3" fontId="1" numFmtId="0" xfId="0" applyAlignment="1" applyBorder="1" applyFill="1" applyFont="1">
      <alignment horizontal="center" shrinkToFit="0" vertical="center" wrapText="1"/>
    </xf>
    <xf borderId="9" fillId="3" fontId="1" numFmtId="0" xfId="0" applyAlignment="1" applyBorder="1" applyFill="1" applyFont="1">
      <alignment horizontal="center" shrinkToFit="0" vertical="center" wrapText="1"/>
    </xf>
    <xf borderId="10" fillId="2" fontId="5" numFmtId="0" xfId="0" applyAlignment="1" applyBorder="1" applyFill="1" applyFont="1">
      <alignment horizontal="left"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2" fontId="6" numFmtId="0" xfId="0" applyAlignment="1" applyBorder="1" applyFill="1" applyFont="1">
      <alignment horizontal="center" shrinkToFit="0" vertical="center" wrapText="1"/>
    </xf>
    <xf borderId="14" fillId="4" fontId="6" numFmtId="164" xfId="0" applyAlignment="1" applyBorder="1" applyFill="1" applyFont="1" applyNumberFormat="1">
      <alignment horizontal="center" vertical="center"/>
    </xf>
    <xf borderId="13" fillId="4" fontId="6" numFmtId="49" xfId="0" applyAlignment="1" applyBorder="1" applyFill="1" applyFont="1" applyNumberFormat="1">
      <alignment horizontal="center" vertical="center"/>
    </xf>
    <xf borderId="15" fillId="4" fontId="6" numFmtId="49" xfId="0" applyAlignment="1" applyBorder="1" applyFill="1" applyFont="1" applyNumberFormat="1">
      <alignment horizontal="center" vertical="center"/>
    </xf>
    <xf borderId="16" fillId="5" fontId="7" numFmtId="0" xfId="0" applyAlignment="1" applyBorder="1" applyFill="1" applyFont="1">
      <alignment horizontal="left" shrinkToFit="0" vertical="center" wrapText="1"/>
    </xf>
    <xf borderId="17" fillId="5" fontId="7" numFmtId="0" xfId="0" applyAlignment="1" applyBorder="1" applyFill="1" applyFont="1">
      <alignment horizontal="left" readingOrder="0" shrinkToFit="0" vertical="center" wrapText="1"/>
    </xf>
    <xf borderId="18" fillId="5" fontId="7" numFmtId="0" xfId="0" applyAlignment="1" applyBorder="1" applyFill="1" applyFont="1">
      <alignment horizontal="left" shrinkToFit="0" vertical="center" wrapText="1"/>
    </xf>
    <xf borderId="19" fillId="6" fontId="8" numFmtId="0" xfId="0" applyAlignment="1" applyBorder="1" applyFill="1" applyFont="1">
      <alignment horizontal="left" readingOrder="0" shrinkToFit="0" vertical="center" wrapText="1"/>
    </xf>
    <xf borderId="20" fillId="7" fontId="6" numFmtId="0" xfId="0" applyAlignment="1" applyBorder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21" fillId="8" fontId="10" numFmtId="0" xfId="0" applyAlignment="1" applyBorder="1" applyFill="1" applyFont="1">
      <alignment horizontal="left" vertical="center"/>
    </xf>
    <xf borderId="22" fillId="8" fontId="10" numFmtId="0" xfId="0" applyAlignment="1" applyBorder="1" applyFill="1" applyFont="1">
      <alignment horizontal="left" vertical="center"/>
    </xf>
    <xf borderId="22" fillId="0" fontId="10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4" fillId="6" fontId="11" numFmtId="0" xfId="0" applyAlignment="1" applyBorder="1" applyFill="1" applyFont="1">
      <alignment horizontal="center" vertical="center"/>
    </xf>
    <xf borderId="25" fillId="7" fontId="11" numFmtId="0" xfId="0" applyAlignment="1" applyBorder="1" applyFill="1" applyFont="1">
      <alignment horizontal="center" vertical="center"/>
    </xf>
    <xf borderId="26" fillId="8" fontId="1" numFmtId="0" xfId="0" applyAlignment="1" applyBorder="1" applyFill="1" applyFont="1">
      <alignment horizontal="left" vertical="center"/>
    </xf>
    <xf borderId="7" fillId="8" fontId="1" numFmtId="0" xfId="0" applyAlignment="1" applyBorder="1" applyFill="1" applyFont="1">
      <alignment horizontal="left" vertical="center"/>
    </xf>
    <xf borderId="7" fillId="8" fontId="1" numFmtId="165" xfId="0" applyAlignment="1" applyBorder="1" applyFill="1" applyFont="1" applyNumberFormat="1">
      <alignment horizontal="left" readingOrder="0" vertical="center"/>
    </xf>
    <xf borderId="7" fillId="0" fontId="10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horizontal="center" readingOrder="0" vertical="center"/>
    </xf>
    <xf borderId="24" fillId="6" fontId="10" numFmtId="0" xfId="0" applyAlignment="1" applyBorder="1" applyFill="1" applyFont="1">
      <alignment horizontal="center" vertical="center"/>
    </xf>
    <xf borderId="25" fillId="7" fontId="10" numFmtId="0" xfId="0" applyAlignment="1" applyBorder="1" applyFill="1" applyFont="1">
      <alignment horizontal="center" vertical="center"/>
    </xf>
    <xf borderId="7" fillId="8" fontId="1" numFmtId="0" xfId="0" applyAlignment="1" applyBorder="1" applyFill="1" applyFont="1">
      <alignment horizontal="left" readingOrder="0" vertical="center"/>
    </xf>
    <xf borderId="26" fillId="8" fontId="1" numFmtId="0" xfId="0" applyAlignment="1" applyBorder="1" applyFill="1" applyFont="1">
      <alignment horizontal="left" readingOrder="0" vertical="center"/>
    </xf>
    <xf borderId="27" fillId="8" fontId="1" numFmtId="0" xfId="0" applyAlignment="1" applyBorder="1" applyFill="1" applyFont="1">
      <alignment horizontal="left" readingOrder="0" vertical="center"/>
    </xf>
    <xf borderId="28" fillId="8" fontId="1" numFmtId="0" xfId="0" applyAlignment="1" applyBorder="1" applyFill="1" applyFont="1">
      <alignment horizontal="left" readingOrder="0" vertical="center"/>
    </xf>
    <xf borderId="28" fillId="8" fontId="1" numFmtId="165" xfId="0" applyAlignment="1" applyBorder="1" applyFill="1" applyFont="1" applyNumberFormat="1">
      <alignment horizontal="left" readingOrder="0" vertical="center"/>
    </xf>
    <xf borderId="28" fillId="0" fontId="10" numFmtId="0" xfId="0" applyAlignment="1" applyBorder="1" applyFont="1">
      <alignment horizontal="center" readingOrder="0" vertical="center"/>
    </xf>
    <xf borderId="29" fillId="0" fontId="10" numFmtId="0" xfId="0" applyAlignment="1" applyBorder="1" applyFont="1">
      <alignment horizontal="center" readingOrder="0" vertical="center"/>
    </xf>
    <xf borderId="2" fillId="2" fontId="1" numFmtId="0" xfId="0" applyAlignment="1" applyBorder="1" applyFill="1" applyFont="1">
      <alignment shrinkToFit="0" wrapText="1"/>
    </xf>
    <xf borderId="30" fillId="2" fontId="1" numFmtId="0" xfId="0" applyAlignment="1" applyBorder="1" applyFill="1" applyFont="1">
      <alignment shrinkToFit="0" wrapText="1"/>
    </xf>
    <xf borderId="31" fillId="2" fontId="1" numFmtId="0" xfId="0" applyAlignment="1" applyBorder="1" applyFill="1" applyFont="1">
      <alignment shrinkToFit="0" wrapText="1"/>
    </xf>
    <xf borderId="1" fillId="2" fontId="1" numFmtId="165" xfId="0" applyAlignment="1" applyBorder="1" applyFill="1" applyFont="1" applyNumberFormat="1">
      <alignment readingOrder="0" shrinkToFit="0" wrapText="1"/>
    </xf>
    <xf borderId="32" fillId="0" fontId="1" numFmtId="0" xfId="0" applyAlignment="1" applyBorder="1" applyFont="1">
      <alignment shrinkToFit="0" wrapText="1"/>
    </xf>
    <xf borderId="33" fillId="0" fontId="1" numFmtId="0" xfId="0" applyAlignment="1" applyBorder="1" applyFont="1">
      <alignment shrinkToFit="0" wrapText="1"/>
    </xf>
    <xf borderId="34" fillId="0" fontId="1" numFmtId="0" xfId="0" applyAlignment="1" applyBorder="1" applyFont="1">
      <alignment shrinkToFit="0" wrapText="1"/>
    </xf>
    <xf borderId="35" fillId="0" fontId="1" numFmtId="0" xfId="0" applyAlignment="1" applyBorder="1" applyFont="1">
      <alignment shrinkToFit="0" wrapText="1"/>
    </xf>
    <xf borderId="36" fillId="0" fontId="1" numFmtId="0" xfId="0" applyAlignment="1" applyBorder="1" applyFont="1">
      <alignment shrinkToFit="0" wrapText="1"/>
    </xf>
    <xf borderId="37" fillId="2" fontId="1" numFmtId="0" xfId="0" applyAlignment="1" applyBorder="1" applyFill="1" applyFont="1">
      <alignment shrinkToFit="0" wrapText="1"/>
    </xf>
    <xf borderId="3" fillId="2" fontId="1" numFmtId="0" xfId="0" applyAlignment="1" applyBorder="1" applyFill="1" applyFont="1">
      <alignment shrinkToFit="0" wrapText="1"/>
    </xf>
    <xf borderId="38" fillId="2" fontId="1" numFmtId="0" xfId="0" applyAlignment="1" applyBorder="1" applyFill="1" applyFont="1">
      <alignment shrinkToFit="0" wrapText="1"/>
    </xf>
    <xf borderId="39" fillId="2" fontId="1" numFmtId="0" xfId="0" applyAlignment="1" applyBorder="1" applyFill="1" applyFont="1">
      <alignment shrinkToFit="0" wrapText="1"/>
    </xf>
    <xf borderId="40" fillId="2" fontId="1" numFmtId="0" xfId="0" applyAlignment="1" applyBorder="1" applyFill="1" applyFont="1">
      <alignment shrinkToFit="0" wrapText="1"/>
    </xf>
    <xf borderId="41" fillId="2" fontId="1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 Chart: Sprint 1</a:t>
            </a:r>
          </a:p>
        </c:rich>
      </c:tx>
      <c:layout>
        <c:manualLayout>
          <c:xMode val="edge"/>
          <c:yMode val="edge"/>
          <c:x val="0.024644800171787724"/>
          <c:y val="0.04148182980438085"/>
        </c:manualLayout>
      </c:layout>
      <c:overlay val="0"/>
    </c:title>
    <c:plotArea>
      <c:layout>
        <c:manualLayout>
          <c:xMode val="edge"/>
          <c:yMode val="edge"/>
          <c:x val="0.0864266440993941"/>
          <c:y val="0.13865546218487396"/>
          <c:w val="0.8964393995143131"/>
          <c:h val="0.734339228867736"/>
        </c:manualLayout>
      </c:layout>
      <c:lineChart>
        <c:ser>
          <c:idx val="0"/>
          <c:order val="0"/>
          <c:tx>
            <c:v>Burndown ideal</c:v>
          </c:tx>
          <c:spPr>
            <a:ln cmpd="sng" w="19050">
              <a:solidFill>
                <a:srgbClr val="FFAC01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'sprint 1'!$H$6:$H$21</c:f>
              <c:numCache/>
            </c:numRef>
          </c:val>
          <c:smooth val="0"/>
        </c:ser>
        <c:ser>
          <c:idx val="1"/>
          <c:order val="1"/>
          <c:tx>
            <c:v>Avance Real</c:v>
          </c:tx>
          <c:spPr>
            <a:ln cmpd="sng" w="19050">
              <a:solidFill>
                <a:srgbClr val="3C78D8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3C78D8">
                  <a:alpha val="100000"/>
                </a:srgbClr>
              </a:solidFill>
              <a:ln cmpd="sng">
                <a:solidFill>
                  <a:srgbClr val="3C78D8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'sprint 1'!$G$6:$G$21</c:f>
              <c:numCache/>
            </c:numRef>
          </c:val>
          <c:smooth val="0"/>
        </c:ser>
        <c:axId val="2067159767"/>
        <c:axId val="1924101643"/>
      </c:lineChart>
      <c:catAx>
        <c:axId val="2067159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[días]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924101643"/>
      </c:catAx>
      <c:valAx>
        <c:axId val="1924101643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Horas Hombre [HH]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2067159767"/>
      </c:valAx>
    </c:plotArea>
    <c:legend>
      <c:legendPos val="b"/>
      <c:layout>
        <c:manualLayout>
          <c:xMode val="edge"/>
          <c:yMode val="edge"/>
          <c:x val="0.2793861087589641"/>
          <c:y val="0.9001814124248968"/>
        </c:manualLayout>
      </c:layout>
      <c:overlay val="0"/>
      <c:txPr>
        <a:bodyPr/>
        <a:lstStyle/>
        <a:p>
          <a:pPr lvl="0">
            <a:defRPr b="1" i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123825</xdr:colOff>
      <xdr:row>4</xdr:row>
      <xdr:rowOff>47625</xdr:rowOff>
    </xdr:from>
    <xdr:ext cx="5915025" cy="3400425"/>
    <xdr:graphicFrame>
      <xdr:nvGraphicFramePr>
        <xdr:cNvPr descr="Chart 0"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6.11"/>
    <col customWidth="1" min="3" max="3" width="5.0"/>
    <col customWidth="1" min="4" max="4" width="22.67"/>
    <col customWidth="1" min="5" max="5" width="12.78"/>
    <col customWidth="1" min="6" max="6" width="11.22"/>
    <col customWidth="1" min="7" max="7" width="10.56"/>
    <col customWidth="1" min="8" max="8" width="10.89"/>
    <col customWidth="1" min="9" max="9" width="20.89"/>
    <col customWidth="1" min="10" max="12" width="13.11"/>
    <col customWidth="1" min="13" max="13" width="3.33"/>
    <col customWidth="1" min="14" max="28" width="11.0"/>
  </cols>
  <sheetData>
    <row r="1" ht="47.25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M1" s="1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24.75" customHeight="1">
      <c r="A2" s="6"/>
      <c r="B2" s="7" t="s">
        <v>1</v>
      </c>
      <c r="C2" s="8"/>
      <c r="D2" s="8"/>
      <c r="E2" s="8"/>
      <c r="F2" s="8"/>
      <c r="G2" s="8"/>
      <c r="H2" s="9"/>
      <c r="I2" s="10" t="s">
        <v>2</v>
      </c>
      <c r="J2" s="11"/>
      <c r="K2" s="10"/>
      <c r="L2" s="12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34.5" customHeight="1">
      <c r="A3" s="6"/>
      <c r="B3" s="13"/>
      <c r="C3" s="14"/>
      <c r="D3" s="14"/>
      <c r="E3" s="14"/>
      <c r="F3" s="14"/>
      <c r="G3" s="14"/>
      <c r="H3" s="15"/>
      <c r="I3" s="16"/>
      <c r="J3" s="17"/>
      <c r="K3" s="18"/>
      <c r="L3" s="1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9.5" customHeight="1">
      <c r="A4" s="1"/>
      <c r="B4" s="5"/>
      <c r="C4" s="5"/>
      <c r="D4" s="5"/>
      <c r="E4" s="5"/>
      <c r="F4" s="5"/>
      <c r="G4" s="5"/>
      <c r="H4" s="5"/>
      <c r="I4" s="5"/>
      <c r="J4" s="5"/>
      <c r="K4" s="5"/>
      <c r="L4" s="1"/>
      <c r="M4" s="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5"/>
      <c r="B5" s="20" t="s">
        <v>3</v>
      </c>
      <c r="C5" s="21" t="s">
        <v>4</v>
      </c>
      <c r="D5" s="21" t="s">
        <v>5</v>
      </c>
      <c r="E5" s="21" t="s">
        <v>6</v>
      </c>
      <c r="F5" s="22" t="s">
        <v>7</v>
      </c>
      <c r="G5" s="23" t="s">
        <v>8</v>
      </c>
      <c r="H5" s="24" t="s">
        <v>9</v>
      </c>
      <c r="I5" s="2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5"/>
      <c r="B6" s="26"/>
      <c r="C6" s="27"/>
      <c r="D6" s="27"/>
      <c r="E6" s="28"/>
      <c r="F6" s="29"/>
      <c r="G6" s="30">
        <f>SUM(E7:E21)</f>
        <v>90</v>
      </c>
      <c r="H6" s="31">
        <f>SUM(E7:E21)</f>
        <v>90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5"/>
      <c r="B7" s="32">
        <v>1.0</v>
      </c>
      <c r="C7" s="33">
        <v>5.0</v>
      </c>
      <c r="D7" s="34">
        <v>46272.0</v>
      </c>
      <c r="E7" s="35">
        <v>6.0</v>
      </c>
      <c r="F7" s="36">
        <v>6.0</v>
      </c>
      <c r="G7" s="37">
        <f t="shared" ref="G7:G21" si="1">G6-F7</f>
        <v>84</v>
      </c>
      <c r="H7" s="38">
        <f t="shared" ref="H7:H21" si="2">H6-E7</f>
        <v>84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5"/>
      <c r="B8" s="32">
        <v>1.0</v>
      </c>
      <c r="C8" s="39">
        <v>5.0</v>
      </c>
      <c r="D8" s="34">
        <v>46273.0</v>
      </c>
      <c r="E8" s="35">
        <v>6.0</v>
      </c>
      <c r="F8" s="36">
        <v>6.0</v>
      </c>
      <c r="G8" s="37">
        <f t="shared" si="1"/>
        <v>78</v>
      </c>
      <c r="H8" s="38">
        <f t="shared" si="2"/>
        <v>78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5"/>
      <c r="B9" s="32">
        <v>1.0</v>
      </c>
      <c r="C9" s="39">
        <v>5.0</v>
      </c>
      <c r="D9" s="34">
        <v>46274.0</v>
      </c>
      <c r="E9" s="35">
        <v>6.0</v>
      </c>
      <c r="F9" s="36">
        <v>12.0</v>
      </c>
      <c r="G9" s="37">
        <f t="shared" si="1"/>
        <v>66</v>
      </c>
      <c r="H9" s="38">
        <f t="shared" si="2"/>
        <v>72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5"/>
      <c r="B10" s="32">
        <v>1.0</v>
      </c>
      <c r="C10" s="39">
        <v>5.0</v>
      </c>
      <c r="D10" s="34">
        <v>46275.0</v>
      </c>
      <c r="E10" s="35">
        <v>6.0</v>
      </c>
      <c r="F10" s="36">
        <v>12.0</v>
      </c>
      <c r="G10" s="37">
        <f t="shared" si="1"/>
        <v>54</v>
      </c>
      <c r="H10" s="38">
        <f t="shared" si="2"/>
        <v>66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5"/>
      <c r="B11" s="32">
        <v>1.0</v>
      </c>
      <c r="C11" s="39">
        <v>5.0</v>
      </c>
      <c r="D11" s="34">
        <v>46276.0</v>
      </c>
      <c r="E11" s="35">
        <v>6.0</v>
      </c>
      <c r="F11" s="36">
        <v>8.0</v>
      </c>
      <c r="G11" s="37">
        <f t="shared" si="1"/>
        <v>46</v>
      </c>
      <c r="H11" s="38">
        <f t="shared" si="2"/>
        <v>60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5"/>
      <c r="B12" s="32">
        <v>1.0</v>
      </c>
      <c r="C12" s="39">
        <v>6.0</v>
      </c>
      <c r="D12" s="34">
        <v>46279.0</v>
      </c>
      <c r="E12" s="35">
        <v>6.0</v>
      </c>
      <c r="F12" s="36">
        <v>8.0</v>
      </c>
      <c r="G12" s="37">
        <f t="shared" si="1"/>
        <v>38</v>
      </c>
      <c r="H12" s="38">
        <f t="shared" si="2"/>
        <v>54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5"/>
      <c r="B13" s="32">
        <v>1.0</v>
      </c>
      <c r="C13" s="39">
        <v>6.0</v>
      </c>
      <c r="D13" s="34">
        <v>46280.0</v>
      </c>
      <c r="E13" s="35">
        <v>6.0</v>
      </c>
      <c r="F13" s="36">
        <v>6.0</v>
      </c>
      <c r="G13" s="37">
        <f t="shared" si="1"/>
        <v>32</v>
      </c>
      <c r="H13" s="38">
        <f t="shared" si="2"/>
        <v>48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5"/>
      <c r="B14" s="32">
        <v>1.0</v>
      </c>
      <c r="C14" s="39">
        <v>6.0</v>
      </c>
      <c r="D14" s="34">
        <v>46281.0</v>
      </c>
      <c r="E14" s="35">
        <v>6.0</v>
      </c>
      <c r="F14" s="36">
        <v>6.0</v>
      </c>
      <c r="G14" s="37">
        <f t="shared" si="1"/>
        <v>26</v>
      </c>
      <c r="H14" s="38">
        <f t="shared" si="2"/>
        <v>42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5"/>
      <c r="B15" s="32">
        <v>1.0</v>
      </c>
      <c r="C15" s="39">
        <v>6.0</v>
      </c>
      <c r="D15" s="34">
        <v>46282.0</v>
      </c>
      <c r="E15" s="35">
        <v>6.0</v>
      </c>
      <c r="F15" s="36">
        <v>0.0</v>
      </c>
      <c r="G15" s="37">
        <f t="shared" si="1"/>
        <v>26</v>
      </c>
      <c r="H15" s="38">
        <f t="shared" si="2"/>
        <v>36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5"/>
      <c r="B16" s="32">
        <v>1.0</v>
      </c>
      <c r="C16" s="39">
        <v>6.0</v>
      </c>
      <c r="D16" s="34">
        <v>46283.0</v>
      </c>
      <c r="E16" s="35">
        <v>6.0</v>
      </c>
      <c r="F16" s="36">
        <v>0.0</v>
      </c>
      <c r="G16" s="37">
        <f t="shared" si="1"/>
        <v>26</v>
      </c>
      <c r="H16" s="38">
        <f t="shared" si="2"/>
        <v>30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5"/>
      <c r="B17" s="40">
        <v>1.0</v>
      </c>
      <c r="C17" s="39">
        <v>7.0</v>
      </c>
      <c r="D17" s="34">
        <v>46286.0</v>
      </c>
      <c r="E17" s="35">
        <v>6.0</v>
      </c>
      <c r="F17" s="36">
        <v>4.0</v>
      </c>
      <c r="G17" s="37">
        <f t="shared" si="1"/>
        <v>22</v>
      </c>
      <c r="H17" s="38">
        <f t="shared" si="2"/>
        <v>24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5"/>
      <c r="B18" s="40">
        <v>1.0</v>
      </c>
      <c r="C18" s="39">
        <v>7.0</v>
      </c>
      <c r="D18" s="34">
        <v>46287.0</v>
      </c>
      <c r="E18" s="35">
        <v>6.0</v>
      </c>
      <c r="F18" s="36">
        <v>5.0</v>
      </c>
      <c r="G18" s="37">
        <f t="shared" si="1"/>
        <v>17</v>
      </c>
      <c r="H18" s="38">
        <f t="shared" si="2"/>
        <v>18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5"/>
      <c r="B19" s="40">
        <v>1.0</v>
      </c>
      <c r="C19" s="39">
        <v>7.0</v>
      </c>
      <c r="D19" s="34">
        <v>46288.0</v>
      </c>
      <c r="E19" s="35">
        <v>6.0</v>
      </c>
      <c r="F19" s="36">
        <v>8.0</v>
      </c>
      <c r="G19" s="37">
        <f t="shared" si="1"/>
        <v>9</v>
      </c>
      <c r="H19" s="38">
        <f t="shared" si="2"/>
        <v>12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5"/>
      <c r="B20" s="40">
        <v>1.0</v>
      </c>
      <c r="C20" s="39">
        <v>7.0</v>
      </c>
      <c r="D20" s="34">
        <v>46289.0</v>
      </c>
      <c r="E20" s="35">
        <v>6.0</v>
      </c>
      <c r="F20" s="36">
        <v>9.0</v>
      </c>
      <c r="G20" s="37">
        <f t="shared" si="1"/>
        <v>0</v>
      </c>
      <c r="H20" s="38">
        <f t="shared" si="2"/>
        <v>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5"/>
      <c r="B21" s="41">
        <v>1.0</v>
      </c>
      <c r="C21" s="42">
        <v>7.0</v>
      </c>
      <c r="D21" s="43">
        <v>46290.0</v>
      </c>
      <c r="E21" s="44">
        <v>6.0</v>
      </c>
      <c r="F21" s="45">
        <v>0.0</v>
      </c>
      <c r="G21" s="37">
        <f t="shared" si="1"/>
        <v>0</v>
      </c>
      <c r="H21" s="38">
        <f t="shared" si="2"/>
        <v>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23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5.75" customHeight="1">
      <c r="A23" s="5"/>
      <c r="B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>
      <c r="A24" s="5"/>
      <c r="B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12.75" customHeight="1">
      <c r="A25" s="1"/>
      <c r="B25" s="46"/>
      <c r="F25" s="47"/>
      <c r="G25" s="1"/>
      <c r="H25" s="1"/>
      <c r="I25" s="5"/>
      <c r="J25" s="5"/>
      <c r="K25" s="5"/>
      <c r="L25" s="1"/>
      <c r="M25" s="1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12.75" customHeight="1">
      <c r="A26" s="1"/>
      <c r="B26" s="46"/>
      <c r="F26" s="47"/>
      <c r="G26" s="1"/>
      <c r="H26" s="1"/>
      <c r="I26" s="5"/>
      <c r="J26" s="5"/>
      <c r="K26" s="5"/>
      <c r="L26" s="1"/>
      <c r="M26" s="1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12.75" customHeight="1">
      <c r="A27" s="1"/>
      <c r="B27" s="1"/>
      <c r="C27" s="48"/>
      <c r="D27" s="48"/>
      <c r="E27" s="48"/>
      <c r="F27" s="1"/>
      <c r="G27" s="1"/>
      <c r="H27" s="1"/>
      <c r="I27" s="5"/>
      <c r="J27" s="5"/>
      <c r="K27" s="5"/>
      <c r="L27" s="1"/>
      <c r="M27" s="1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5"/>
      <c r="J28" s="5"/>
      <c r="K28" s="5"/>
      <c r="L28" s="1"/>
      <c r="M28" s="1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5"/>
      <c r="J29" s="5"/>
      <c r="K29" s="5"/>
      <c r="L29" s="1"/>
      <c r="M29" s="1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ht="12.75" customHeight="1">
      <c r="A30" s="1"/>
      <c r="B30" s="1"/>
      <c r="C30" s="1"/>
      <c r="D30" s="1"/>
      <c r="E30" s="1"/>
      <c r="F30" s="1"/>
      <c r="G30" s="49"/>
      <c r="H30" s="1"/>
      <c r="I30" s="5"/>
      <c r="J30" s="5"/>
      <c r="K30" s="5"/>
      <c r="L30" s="1"/>
      <c r="M30" s="1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2.75" customHeight="1">
      <c r="A31" s="1"/>
      <c r="B31" s="1"/>
      <c r="C31" s="1"/>
      <c r="D31" s="1"/>
      <c r="E31" s="1"/>
      <c r="F31" s="1"/>
      <c r="G31" s="49"/>
      <c r="H31" s="1"/>
      <c r="I31" s="5"/>
      <c r="J31" s="5"/>
      <c r="K31" s="5"/>
      <c r="L31" s="1"/>
      <c r="M31" s="1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12.75" customHeight="1">
      <c r="A32" s="1"/>
      <c r="B32" s="1"/>
      <c r="C32" s="1"/>
      <c r="D32" s="1"/>
      <c r="E32" s="1"/>
      <c r="F32" s="1"/>
      <c r="G32" s="49"/>
      <c r="H32" s="1"/>
      <c r="I32" s="5"/>
      <c r="J32" s="5"/>
      <c r="K32" s="5"/>
      <c r="L32" s="1"/>
      <c r="M32" s="1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12.75" customHeight="1">
      <c r="A33" s="1"/>
      <c r="B33" s="1"/>
      <c r="C33" s="50" t="s">
        <v>10</v>
      </c>
      <c r="D33" s="51"/>
      <c r="E33" s="52">
        <f>SUM(E7:E9)</f>
        <v>18</v>
      </c>
      <c r="F33" s="1"/>
      <c r="G33" s="49"/>
      <c r="H33" s="1"/>
      <c r="I33" s="5"/>
      <c r="J33" s="5"/>
      <c r="K33" s="5"/>
      <c r="L33" s="1"/>
      <c r="M33" s="1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12.75" customHeight="1">
      <c r="A34" s="1"/>
      <c r="B34" s="1"/>
      <c r="C34" s="53" t="s">
        <v>11</v>
      </c>
      <c r="D34" s="5"/>
      <c r="E34" s="54">
        <f>SUM(E10:E13)</f>
        <v>24</v>
      </c>
      <c r="F34" s="1"/>
      <c r="G34" s="49"/>
      <c r="H34" s="1"/>
      <c r="I34" s="5"/>
      <c r="J34" s="5"/>
      <c r="K34" s="5"/>
      <c r="L34" s="1"/>
      <c r="M34" s="1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12.75" customHeight="1">
      <c r="A35" s="1"/>
      <c r="B35" s="1"/>
      <c r="C35" s="55" t="s">
        <v>12</v>
      </c>
      <c r="D35" s="56"/>
      <c r="E35" s="57">
        <f>SUM(E14:E21)</f>
        <v>48</v>
      </c>
      <c r="F35" s="1"/>
      <c r="G35" s="49"/>
      <c r="H35" s="1"/>
      <c r="I35" s="5"/>
      <c r="J35" s="5"/>
      <c r="K35" s="5"/>
      <c r="L35" s="1"/>
      <c r="M35" s="1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12.75" customHeight="1">
      <c r="A36" s="1"/>
      <c r="B36" s="1"/>
      <c r="C36" s="58" t="s">
        <v>13</v>
      </c>
      <c r="D36" s="59"/>
      <c r="E36" s="60">
        <f>SUM(E33:E35)</f>
        <v>90</v>
      </c>
      <c r="F36" s="1"/>
      <c r="G36" s="49"/>
      <c r="H36" s="1"/>
      <c r="I36" s="5"/>
      <c r="J36" s="5"/>
      <c r="K36" s="5"/>
      <c r="L36" s="1"/>
      <c r="M36" s="1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12.75" customHeight="1">
      <c r="A37" s="1"/>
      <c r="B37" s="1"/>
      <c r="C37" s="1"/>
      <c r="D37" s="1"/>
      <c r="E37" s="1"/>
      <c r="F37" s="1"/>
      <c r="G37" s="49"/>
      <c r="H37" s="1"/>
      <c r="I37" s="5"/>
      <c r="J37" s="5"/>
      <c r="K37" s="5"/>
      <c r="L37" s="1"/>
      <c r="M37" s="1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12.75" customHeight="1">
      <c r="A38" s="1"/>
      <c r="B38" s="1"/>
      <c r="C38" s="1"/>
      <c r="D38" s="1"/>
      <c r="E38" s="1"/>
      <c r="F38" s="1"/>
      <c r="G38" s="49"/>
      <c r="H38" s="1"/>
      <c r="I38" s="5"/>
      <c r="J38" s="5"/>
      <c r="K38" s="5"/>
      <c r="L38" s="1"/>
      <c r="M38" s="1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12.75" customHeight="1">
      <c r="A39" s="1"/>
      <c r="B39" s="1"/>
      <c r="C39" s="1"/>
      <c r="D39" s="1"/>
      <c r="E39" s="1"/>
      <c r="F39" s="1"/>
      <c r="G39" s="49"/>
      <c r="H39" s="1"/>
      <c r="I39" s="5"/>
      <c r="J39" s="5"/>
      <c r="K39" s="5"/>
      <c r="L39" s="1"/>
      <c r="M39" s="1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12.75" customHeight="1">
      <c r="A40" s="1"/>
      <c r="B40" s="1"/>
      <c r="C40" s="1"/>
      <c r="D40" s="1"/>
      <c r="E40" s="1"/>
      <c r="F40" s="1"/>
      <c r="G40" s="49"/>
      <c r="H40" s="1"/>
      <c r="I40" s="5"/>
      <c r="J40" s="5"/>
      <c r="K40" s="5"/>
      <c r="L40" s="1"/>
      <c r="M40" s="1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12.75" customHeight="1">
      <c r="A41" s="1"/>
      <c r="B41" s="1"/>
      <c r="C41" s="1"/>
      <c r="D41" s="1"/>
      <c r="E41" s="1"/>
      <c r="F41" s="1"/>
      <c r="G41" s="49"/>
      <c r="H41" s="1"/>
      <c r="I41" s="5"/>
      <c r="J41" s="5"/>
      <c r="K41" s="5"/>
      <c r="L41" s="1"/>
      <c r="M41" s="1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ht="12.75" customHeight="1">
      <c r="A42" s="1"/>
      <c r="B42" s="1"/>
      <c r="C42" s="1"/>
      <c r="D42" s="1"/>
      <c r="E42" s="1"/>
      <c r="F42" s="1"/>
      <c r="G42" s="49"/>
      <c r="H42" s="1"/>
      <c r="I42" s="5"/>
      <c r="J42" s="5"/>
      <c r="K42" s="5"/>
      <c r="L42" s="1"/>
      <c r="M42" s="1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2.75" customHeight="1">
      <c r="A43" s="1"/>
      <c r="B43" s="1"/>
      <c r="C43" s="1"/>
      <c r="D43" s="1"/>
      <c r="E43" s="1"/>
      <c r="F43" s="1"/>
      <c r="G43" s="49"/>
      <c r="H43" s="1"/>
      <c r="I43" s="5"/>
      <c r="J43" s="5"/>
      <c r="K43" s="5"/>
      <c r="L43" s="1"/>
      <c r="M43" s="1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2.75" customHeight="1">
      <c r="A44" s="1"/>
      <c r="B44" s="1"/>
      <c r="C44" s="1"/>
      <c r="D44" s="1"/>
      <c r="E44" s="1"/>
      <c r="F44" s="1"/>
      <c r="G44" s="49"/>
      <c r="H44" s="1"/>
      <c r="I44" s="5"/>
      <c r="J44" s="5"/>
      <c r="K44" s="5"/>
      <c r="L44" s="1"/>
      <c r="M44" s="1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5"/>
      <c r="J45" s="5"/>
      <c r="K45" s="5"/>
      <c r="L45" s="1"/>
      <c r="M45" s="1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5"/>
      <c r="J46" s="5"/>
      <c r="K46" s="5"/>
      <c r="L46" s="1"/>
      <c r="M46" s="1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5"/>
      <c r="J47" s="5"/>
      <c r="K47" s="5"/>
      <c r="L47" s="1"/>
      <c r="M47" s="1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5"/>
      <c r="J48" s="5"/>
      <c r="K48" s="5"/>
      <c r="L48" s="1"/>
      <c r="M48" s="1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5"/>
      <c r="J49" s="5"/>
      <c r="K49" s="5"/>
      <c r="L49" s="1"/>
      <c r="M49" s="1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5"/>
      <c r="J50" s="5"/>
      <c r="K50" s="5"/>
      <c r="L50" s="1"/>
      <c r="M50" s="1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5"/>
      <c r="J51" s="5"/>
      <c r="K51" s="5"/>
      <c r="L51" s="1"/>
      <c r="M51" s="1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5"/>
      <c r="J52" s="5"/>
      <c r="K52" s="5"/>
      <c r="L52" s="1"/>
      <c r="M52" s="1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5"/>
      <c r="J53" s="5"/>
      <c r="K53" s="5"/>
      <c r="L53" s="1"/>
      <c r="M53" s="1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5"/>
      <c r="J54" s="5"/>
      <c r="K54" s="5"/>
      <c r="L54" s="1"/>
      <c r="M54" s="1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5"/>
      <c r="J55" s="5"/>
      <c r="K55" s="5"/>
      <c r="L55" s="1"/>
      <c r="M55" s="1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5"/>
      <c r="J56" s="5"/>
      <c r="K56" s="5"/>
      <c r="L56" s="1"/>
      <c r="M56" s="1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5"/>
      <c r="J57" s="5"/>
      <c r="K57" s="5"/>
      <c r="L57" s="1"/>
      <c r="M57" s="1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5"/>
      <c r="J58" s="5"/>
      <c r="K58" s="5"/>
      <c r="L58" s="1"/>
      <c r="M58" s="1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5"/>
      <c r="J59" s="5"/>
      <c r="K59" s="5"/>
      <c r="L59" s="1"/>
      <c r="M59" s="1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5"/>
      <c r="J60" s="5"/>
      <c r="K60" s="5"/>
      <c r="L60" s="1"/>
      <c r="M60" s="1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5"/>
      <c r="J61" s="5"/>
      <c r="K61" s="5"/>
      <c r="L61" s="1"/>
      <c r="M61" s="1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5"/>
      <c r="J62" s="5"/>
      <c r="K62" s="5"/>
      <c r="L62" s="1"/>
      <c r="M62" s="1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5"/>
      <c r="J63" s="5"/>
      <c r="K63" s="5"/>
      <c r="L63" s="1"/>
      <c r="M63" s="1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5"/>
      <c r="J64" s="5"/>
      <c r="K64" s="5"/>
      <c r="L64" s="1"/>
      <c r="M64" s="1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5"/>
      <c r="J65" s="5"/>
      <c r="K65" s="5"/>
      <c r="L65" s="1"/>
      <c r="M65" s="1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5"/>
      <c r="J66" s="5"/>
      <c r="K66" s="5"/>
      <c r="L66" s="1"/>
      <c r="M66" s="1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5"/>
      <c r="J67" s="5"/>
      <c r="K67" s="5"/>
      <c r="L67" s="1"/>
      <c r="M67" s="1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5"/>
      <c r="J68" s="5"/>
      <c r="K68" s="5"/>
      <c r="L68" s="1"/>
      <c r="M68" s="1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5"/>
      <c r="J69" s="5"/>
      <c r="K69" s="5"/>
      <c r="L69" s="1"/>
      <c r="M69" s="1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5"/>
      <c r="J70" s="5"/>
      <c r="K70" s="5"/>
      <c r="L70" s="1"/>
      <c r="M70" s="1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5"/>
      <c r="J71" s="5"/>
      <c r="K71" s="5"/>
      <c r="L71" s="1"/>
      <c r="M71" s="1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5"/>
      <c r="J72" s="5"/>
      <c r="K72" s="5"/>
      <c r="L72" s="1"/>
      <c r="M72" s="1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5"/>
      <c r="J73" s="5"/>
      <c r="K73" s="5"/>
      <c r="L73" s="1"/>
      <c r="M73" s="1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5"/>
      <c r="J74" s="5"/>
      <c r="K74" s="5"/>
      <c r="L74" s="1"/>
      <c r="M74" s="1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5"/>
      <c r="J75" s="5"/>
      <c r="K75" s="5"/>
      <c r="L75" s="1"/>
      <c r="M75" s="1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5"/>
      <c r="J76" s="5"/>
      <c r="K76" s="5"/>
      <c r="L76" s="1"/>
      <c r="M76" s="1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5"/>
      <c r="J77" s="5"/>
      <c r="K77" s="5"/>
      <c r="L77" s="1"/>
      <c r="M77" s="1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5"/>
      <c r="J78" s="5"/>
      <c r="K78" s="5"/>
      <c r="L78" s="1"/>
      <c r="M78" s="1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5"/>
      <c r="J79" s="5"/>
      <c r="K79" s="5"/>
      <c r="L79" s="1"/>
      <c r="M79" s="1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5"/>
      <c r="J80" s="5"/>
      <c r="K80" s="5"/>
      <c r="L80" s="1"/>
      <c r="M80" s="1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5"/>
      <c r="J81" s="5"/>
      <c r="K81" s="5"/>
      <c r="L81" s="1"/>
      <c r="M81" s="1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5"/>
      <c r="J82" s="5"/>
      <c r="K82" s="5"/>
      <c r="L82" s="1"/>
      <c r="M82" s="1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5"/>
      <c r="J83" s="5"/>
      <c r="K83" s="5"/>
      <c r="L83" s="1"/>
      <c r="M83" s="1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5"/>
      <c r="J84" s="5"/>
      <c r="K84" s="5"/>
      <c r="L84" s="1"/>
      <c r="M84" s="1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5"/>
      <c r="J85" s="5"/>
      <c r="K85" s="5"/>
      <c r="L85" s="1"/>
      <c r="M85" s="1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5"/>
      <c r="J86" s="5"/>
      <c r="K86" s="5"/>
      <c r="L86" s="1"/>
      <c r="M86" s="1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5"/>
      <c r="J87" s="5"/>
      <c r="K87" s="5"/>
      <c r="L87" s="1"/>
      <c r="M87" s="1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5"/>
      <c r="J88" s="5"/>
      <c r="K88" s="5"/>
      <c r="L88" s="1"/>
      <c r="M88" s="1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5"/>
      <c r="J89" s="5"/>
      <c r="K89" s="5"/>
      <c r="L89" s="1"/>
      <c r="M89" s="1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5"/>
      <c r="J90" s="5"/>
      <c r="K90" s="5"/>
      <c r="L90" s="1"/>
      <c r="M90" s="1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5"/>
      <c r="J91" s="5"/>
      <c r="K91" s="5"/>
      <c r="L91" s="1"/>
      <c r="M91" s="1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5"/>
      <c r="J92" s="5"/>
      <c r="K92" s="5"/>
      <c r="L92" s="1"/>
      <c r="M92" s="1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5"/>
      <c r="J93" s="5"/>
      <c r="K93" s="5"/>
      <c r="L93" s="1"/>
      <c r="M93" s="1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5"/>
      <c r="J94" s="5"/>
      <c r="K94" s="5"/>
      <c r="L94" s="1"/>
      <c r="M94" s="1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5"/>
      <c r="J95" s="5"/>
      <c r="K95" s="5"/>
      <c r="L95" s="1"/>
      <c r="M95" s="1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5"/>
      <c r="J96" s="5"/>
      <c r="K96" s="5"/>
      <c r="L96" s="1"/>
      <c r="M96" s="1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5"/>
      <c r="J97" s="5"/>
      <c r="K97" s="5"/>
      <c r="L97" s="1"/>
      <c r="M97" s="1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5"/>
      <c r="J98" s="5"/>
      <c r="K98" s="5"/>
      <c r="L98" s="1"/>
      <c r="M98" s="1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5"/>
      <c r="J99" s="5"/>
      <c r="K99" s="5"/>
      <c r="L99" s="1"/>
      <c r="M99" s="1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5"/>
      <c r="J100" s="5"/>
      <c r="K100" s="5"/>
      <c r="L100" s="1"/>
      <c r="M100" s="1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5"/>
      <c r="J101" s="5"/>
      <c r="K101" s="5"/>
      <c r="L101" s="1"/>
      <c r="M101" s="1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5"/>
      <c r="J102" s="5"/>
      <c r="K102" s="5"/>
      <c r="L102" s="1"/>
      <c r="M102" s="1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5"/>
      <c r="J103" s="5"/>
      <c r="K103" s="5"/>
      <c r="L103" s="1"/>
      <c r="M103" s="1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5"/>
      <c r="J104" s="5"/>
      <c r="K104" s="5"/>
      <c r="L104" s="1"/>
      <c r="M104" s="1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5"/>
      <c r="J105" s="5"/>
      <c r="K105" s="5"/>
      <c r="L105" s="1"/>
      <c r="M105" s="1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5"/>
      <c r="J106" s="5"/>
      <c r="K106" s="5"/>
      <c r="L106" s="1"/>
      <c r="M106" s="1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5"/>
      <c r="J107" s="5"/>
      <c r="K107" s="5"/>
      <c r="L107" s="1"/>
      <c r="M107" s="1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5"/>
      <c r="J108" s="5"/>
      <c r="K108" s="5"/>
      <c r="L108" s="1"/>
      <c r="M108" s="1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5"/>
      <c r="J109" s="5"/>
      <c r="K109" s="5"/>
      <c r="L109" s="1"/>
      <c r="M109" s="1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5"/>
      <c r="J110" s="5"/>
      <c r="K110" s="5"/>
      <c r="L110" s="1"/>
      <c r="M110" s="1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5"/>
      <c r="J111" s="5"/>
      <c r="K111" s="5"/>
      <c r="L111" s="1"/>
      <c r="M111" s="1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5"/>
      <c r="J112" s="5"/>
      <c r="K112" s="5"/>
      <c r="L112" s="1"/>
      <c r="M112" s="1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5"/>
      <c r="J113" s="5"/>
      <c r="K113" s="5"/>
      <c r="L113" s="1"/>
      <c r="M113" s="1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5"/>
      <c r="J114" s="5"/>
      <c r="K114" s="5"/>
      <c r="L114" s="1"/>
      <c r="M114" s="1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5"/>
      <c r="J115" s="5"/>
      <c r="K115" s="5"/>
      <c r="L115" s="1"/>
      <c r="M115" s="1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5"/>
      <c r="J116" s="5"/>
      <c r="K116" s="5"/>
      <c r="L116" s="1"/>
      <c r="M116" s="1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5"/>
      <c r="J117" s="5"/>
      <c r="K117" s="5"/>
      <c r="L117" s="1"/>
      <c r="M117" s="1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5"/>
      <c r="J118" s="5"/>
      <c r="K118" s="5"/>
      <c r="L118" s="1"/>
      <c r="M118" s="1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5"/>
      <c r="J119" s="5"/>
      <c r="K119" s="5"/>
      <c r="L119" s="1"/>
      <c r="M119" s="1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5"/>
      <c r="J120" s="5"/>
      <c r="K120" s="5"/>
      <c r="L120" s="1"/>
      <c r="M120" s="1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5"/>
      <c r="J121" s="5"/>
      <c r="K121" s="5"/>
      <c r="L121" s="1"/>
      <c r="M121" s="1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5"/>
      <c r="J122" s="5"/>
      <c r="K122" s="5"/>
      <c r="L122" s="1"/>
      <c r="M122" s="1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5"/>
      <c r="J123" s="5"/>
      <c r="K123" s="5"/>
      <c r="L123" s="1"/>
      <c r="M123" s="1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5"/>
      <c r="J124" s="5"/>
      <c r="K124" s="5"/>
      <c r="L124" s="1"/>
      <c r="M124" s="1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5"/>
      <c r="J125" s="5"/>
      <c r="K125" s="5"/>
      <c r="L125" s="1"/>
      <c r="M125" s="1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5"/>
      <c r="J126" s="5"/>
      <c r="K126" s="5"/>
      <c r="L126" s="1"/>
      <c r="M126" s="1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5"/>
      <c r="J127" s="5"/>
      <c r="K127" s="5"/>
      <c r="L127" s="1"/>
      <c r="M127" s="1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5"/>
      <c r="J128" s="5"/>
      <c r="K128" s="5"/>
      <c r="L128" s="1"/>
      <c r="M128" s="1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5"/>
      <c r="J129" s="5"/>
      <c r="K129" s="5"/>
      <c r="L129" s="1"/>
      <c r="M129" s="1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5"/>
      <c r="J130" s="5"/>
      <c r="K130" s="5"/>
      <c r="L130" s="1"/>
      <c r="M130" s="1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5"/>
      <c r="J131" s="5"/>
      <c r="K131" s="5"/>
      <c r="L131" s="1"/>
      <c r="M131" s="1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5"/>
      <c r="J132" s="5"/>
      <c r="K132" s="5"/>
      <c r="L132" s="1"/>
      <c r="M132" s="1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5"/>
      <c r="J133" s="5"/>
      <c r="K133" s="5"/>
      <c r="L133" s="1"/>
      <c r="M133" s="1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5"/>
      <c r="J134" s="5"/>
      <c r="K134" s="5"/>
      <c r="L134" s="1"/>
      <c r="M134" s="1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5"/>
      <c r="J135" s="5"/>
      <c r="K135" s="5"/>
      <c r="L135" s="1"/>
      <c r="M135" s="1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5"/>
      <c r="J136" s="5"/>
      <c r="K136" s="5"/>
      <c r="L136" s="1"/>
      <c r="M136" s="1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5"/>
      <c r="J137" s="5"/>
      <c r="K137" s="5"/>
      <c r="L137" s="1"/>
      <c r="M137" s="1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5"/>
      <c r="J138" s="5"/>
      <c r="K138" s="5"/>
      <c r="L138" s="1"/>
      <c r="M138" s="1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5"/>
      <c r="J139" s="5"/>
      <c r="K139" s="5"/>
      <c r="L139" s="1"/>
      <c r="M139" s="1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5"/>
      <c r="J140" s="5"/>
      <c r="K140" s="5"/>
      <c r="L140" s="1"/>
      <c r="M140" s="1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5"/>
      <c r="J141" s="5"/>
      <c r="K141" s="5"/>
      <c r="L141" s="1"/>
      <c r="M141" s="1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5"/>
      <c r="J142" s="5"/>
      <c r="K142" s="5"/>
      <c r="L142" s="1"/>
      <c r="M142" s="1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5"/>
      <c r="J143" s="5"/>
      <c r="K143" s="5"/>
      <c r="L143" s="1"/>
      <c r="M143" s="1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5"/>
      <c r="J144" s="5"/>
      <c r="K144" s="5"/>
      <c r="L144" s="1"/>
      <c r="M144" s="1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5"/>
      <c r="J145" s="5"/>
      <c r="K145" s="5"/>
      <c r="L145" s="1"/>
      <c r="M145" s="1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5"/>
      <c r="J146" s="5"/>
      <c r="K146" s="5"/>
      <c r="L146" s="1"/>
      <c r="M146" s="1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5"/>
      <c r="J147" s="5"/>
      <c r="K147" s="5"/>
      <c r="L147" s="1"/>
      <c r="M147" s="1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5"/>
      <c r="J148" s="5"/>
      <c r="K148" s="5"/>
      <c r="L148" s="1"/>
      <c r="M148" s="1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5"/>
      <c r="J149" s="5"/>
      <c r="K149" s="5"/>
      <c r="L149" s="1"/>
      <c r="M149" s="1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5"/>
      <c r="J150" s="5"/>
      <c r="K150" s="5"/>
      <c r="L150" s="1"/>
      <c r="M150" s="1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5"/>
      <c r="J151" s="5"/>
      <c r="K151" s="5"/>
      <c r="L151" s="1"/>
      <c r="M151" s="1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5"/>
      <c r="J152" s="5"/>
      <c r="K152" s="5"/>
      <c r="L152" s="1"/>
      <c r="M152" s="1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5"/>
      <c r="J153" s="5"/>
      <c r="K153" s="5"/>
      <c r="L153" s="1"/>
      <c r="M153" s="1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5"/>
      <c r="J154" s="5"/>
      <c r="K154" s="5"/>
      <c r="L154" s="1"/>
      <c r="M154" s="1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5"/>
      <c r="J155" s="5"/>
      <c r="K155" s="5"/>
      <c r="L155" s="1"/>
      <c r="M155" s="1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5"/>
      <c r="J156" s="5"/>
      <c r="K156" s="5"/>
      <c r="L156" s="1"/>
      <c r="M156" s="1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5"/>
      <c r="J157" s="5"/>
      <c r="K157" s="5"/>
      <c r="L157" s="1"/>
      <c r="M157" s="1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5"/>
      <c r="J158" s="5"/>
      <c r="K158" s="5"/>
      <c r="L158" s="1"/>
      <c r="M158" s="1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5"/>
      <c r="J159" s="5"/>
      <c r="K159" s="5"/>
      <c r="L159" s="1"/>
      <c r="M159" s="1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5"/>
      <c r="J160" s="5"/>
      <c r="K160" s="5"/>
      <c r="L160" s="1"/>
      <c r="M160" s="1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5"/>
      <c r="J161" s="5"/>
      <c r="K161" s="5"/>
      <c r="L161" s="1"/>
      <c r="M161" s="1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5"/>
      <c r="J162" s="5"/>
      <c r="K162" s="5"/>
      <c r="L162" s="1"/>
      <c r="M162" s="1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5"/>
      <c r="J163" s="5"/>
      <c r="K163" s="5"/>
      <c r="L163" s="1"/>
      <c r="M163" s="1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5"/>
      <c r="J164" s="5"/>
      <c r="K164" s="5"/>
      <c r="L164" s="1"/>
      <c r="M164" s="1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5"/>
      <c r="J165" s="5"/>
      <c r="K165" s="5"/>
      <c r="L165" s="1"/>
      <c r="M165" s="1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5"/>
      <c r="J166" s="5"/>
      <c r="K166" s="5"/>
      <c r="L166" s="1"/>
      <c r="M166" s="1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5"/>
      <c r="J167" s="5"/>
      <c r="K167" s="5"/>
      <c r="L167" s="1"/>
      <c r="M167" s="1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5"/>
      <c r="J168" s="5"/>
      <c r="K168" s="5"/>
      <c r="L168" s="1"/>
      <c r="M168" s="1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5"/>
      <c r="J169" s="5"/>
      <c r="K169" s="5"/>
      <c r="L169" s="1"/>
      <c r="M169" s="1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5"/>
      <c r="J170" s="5"/>
      <c r="K170" s="5"/>
      <c r="L170" s="1"/>
      <c r="M170" s="1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5"/>
      <c r="J171" s="5"/>
      <c r="K171" s="5"/>
      <c r="L171" s="1"/>
      <c r="M171" s="1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5"/>
      <c r="J172" s="5"/>
      <c r="K172" s="5"/>
      <c r="L172" s="1"/>
      <c r="M172" s="1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5"/>
      <c r="J173" s="5"/>
      <c r="K173" s="5"/>
      <c r="L173" s="1"/>
      <c r="M173" s="1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5"/>
      <c r="J174" s="5"/>
      <c r="K174" s="5"/>
      <c r="L174" s="1"/>
      <c r="M174" s="1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5"/>
      <c r="J175" s="5"/>
      <c r="K175" s="5"/>
      <c r="L175" s="1"/>
      <c r="M175" s="1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5"/>
      <c r="J176" s="5"/>
      <c r="K176" s="5"/>
      <c r="L176" s="1"/>
      <c r="M176" s="1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5"/>
      <c r="J177" s="5"/>
      <c r="K177" s="5"/>
      <c r="L177" s="1"/>
      <c r="M177" s="1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5"/>
      <c r="J178" s="5"/>
      <c r="K178" s="5"/>
      <c r="L178" s="1"/>
      <c r="M178" s="1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5"/>
      <c r="J179" s="5"/>
      <c r="K179" s="5"/>
      <c r="L179" s="1"/>
      <c r="M179" s="1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5"/>
      <c r="J180" s="5"/>
      <c r="K180" s="5"/>
      <c r="L180" s="1"/>
      <c r="M180" s="1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5"/>
      <c r="J181" s="5"/>
      <c r="K181" s="5"/>
      <c r="L181" s="1"/>
      <c r="M181" s="1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5"/>
      <c r="J182" s="5"/>
      <c r="K182" s="5"/>
      <c r="L182" s="1"/>
      <c r="M182" s="1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5"/>
      <c r="J183" s="5"/>
      <c r="K183" s="5"/>
      <c r="L183" s="1"/>
      <c r="M183" s="1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5"/>
      <c r="J184" s="5"/>
      <c r="K184" s="5"/>
      <c r="L184" s="1"/>
      <c r="M184" s="1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5"/>
      <c r="J185" s="5"/>
      <c r="K185" s="5"/>
      <c r="L185" s="1"/>
      <c r="M185" s="1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5"/>
      <c r="J186" s="5"/>
      <c r="K186" s="5"/>
      <c r="L186" s="1"/>
      <c r="M186" s="1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5"/>
      <c r="J187" s="5"/>
      <c r="K187" s="5"/>
      <c r="L187" s="1"/>
      <c r="M187" s="1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5"/>
      <c r="J188" s="5"/>
      <c r="K188" s="5"/>
      <c r="L188" s="1"/>
      <c r="M188" s="1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5"/>
      <c r="J189" s="5"/>
      <c r="K189" s="5"/>
      <c r="L189" s="1"/>
      <c r="M189" s="1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5"/>
      <c r="J190" s="5"/>
      <c r="K190" s="5"/>
      <c r="L190" s="1"/>
      <c r="M190" s="1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5"/>
      <c r="J191" s="5"/>
      <c r="K191" s="5"/>
      <c r="L191" s="1"/>
      <c r="M191" s="1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5"/>
      <c r="J192" s="5"/>
      <c r="K192" s="5"/>
      <c r="L192" s="1"/>
      <c r="M192" s="1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5"/>
      <c r="J193" s="5"/>
      <c r="K193" s="5"/>
      <c r="L193" s="1"/>
      <c r="M193" s="1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5"/>
      <c r="J194" s="5"/>
      <c r="K194" s="5"/>
      <c r="L194" s="1"/>
      <c r="M194" s="1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5"/>
      <c r="J195" s="5"/>
      <c r="K195" s="5"/>
      <c r="L195" s="1"/>
      <c r="M195" s="1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5"/>
      <c r="J196" s="5"/>
      <c r="K196" s="5"/>
      <c r="L196" s="1"/>
      <c r="M196" s="1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5"/>
      <c r="J197" s="5"/>
      <c r="K197" s="5"/>
      <c r="L197" s="1"/>
      <c r="M197" s="1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5"/>
      <c r="J198" s="5"/>
      <c r="K198" s="5"/>
      <c r="L198" s="1"/>
      <c r="M198" s="1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5"/>
      <c r="J199" s="5"/>
      <c r="K199" s="5"/>
      <c r="L199" s="1"/>
      <c r="M199" s="1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5"/>
      <c r="J200" s="5"/>
      <c r="K200" s="5"/>
      <c r="L200" s="1"/>
      <c r="M200" s="1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5"/>
      <c r="J201" s="5"/>
      <c r="K201" s="5"/>
      <c r="L201" s="1"/>
      <c r="M201" s="1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5"/>
      <c r="J202" s="5"/>
      <c r="K202" s="5"/>
      <c r="L202" s="1"/>
      <c r="M202" s="1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5"/>
      <c r="J203" s="5"/>
      <c r="K203" s="5"/>
      <c r="L203" s="1"/>
      <c r="M203" s="1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5"/>
      <c r="J204" s="5"/>
      <c r="K204" s="5"/>
      <c r="L204" s="1"/>
      <c r="M204" s="1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5"/>
      <c r="J205" s="5"/>
      <c r="K205" s="5"/>
      <c r="L205" s="1"/>
      <c r="M205" s="1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5"/>
      <c r="J206" s="5"/>
      <c r="K206" s="5"/>
      <c r="L206" s="1"/>
      <c r="M206" s="1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5"/>
      <c r="J207" s="5"/>
      <c r="K207" s="5"/>
      <c r="L207" s="1"/>
      <c r="M207" s="1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5"/>
      <c r="J208" s="5"/>
      <c r="K208" s="5"/>
      <c r="L208" s="1"/>
      <c r="M208" s="1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5"/>
      <c r="J209" s="5"/>
      <c r="K209" s="5"/>
      <c r="L209" s="1"/>
      <c r="M209" s="1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5"/>
      <c r="J210" s="5"/>
      <c r="K210" s="5"/>
      <c r="L210" s="1"/>
      <c r="M210" s="1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5"/>
      <c r="J211" s="5"/>
      <c r="K211" s="5"/>
      <c r="L211" s="1"/>
      <c r="M211" s="1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5"/>
      <c r="J212" s="5"/>
      <c r="K212" s="5"/>
      <c r="L212" s="1"/>
      <c r="M212" s="1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5"/>
      <c r="J213" s="5"/>
      <c r="K213" s="5"/>
      <c r="L213" s="1"/>
      <c r="M213" s="1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5"/>
      <c r="J214" s="5"/>
      <c r="K214" s="5"/>
      <c r="L214" s="1"/>
      <c r="M214" s="1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5"/>
      <c r="J215" s="5"/>
      <c r="K215" s="5"/>
      <c r="L215" s="1"/>
      <c r="M215" s="1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5"/>
      <c r="J216" s="5"/>
      <c r="K216" s="5"/>
      <c r="L216" s="1"/>
      <c r="M216" s="1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5"/>
      <c r="J217" s="5"/>
      <c r="K217" s="5"/>
      <c r="L217" s="1"/>
      <c r="M217" s="1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5"/>
      <c r="J218" s="5"/>
      <c r="K218" s="5"/>
      <c r="L218" s="1"/>
      <c r="M218" s="1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5"/>
      <c r="J219" s="5"/>
      <c r="K219" s="5"/>
      <c r="L219" s="1"/>
      <c r="M219" s="1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5"/>
      <c r="J220" s="5"/>
      <c r="K220" s="5"/>
      <c r="L220" s="1"/>
      <c r="M220" s="1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5"/>
      <c r="J221" s="5"/>
      <c r="K221" s="5"/>
      <c r="L221" s="1"/>
      <c r="M221" s="1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5"/>
      <c r="J222" s="5"/>
      <c r="K222" s="5"/>
      <c r="L222" s="1"/>
      <c r="M222" s="1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5"/>
      <c r="J223" s="5"/>
      <c r="K223" s="5"/>
      <c r="L223" s="1"/>
      <c r="M223" s="1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5">
    <mergeCell ref="B1:H1"/>
    <mergeCell ref="I1:L1"/>
    <mergeCell ref="B2:H2"/>
    <mergeCell ref="B3:H3"/>
    <mergeCell ref="I5:L5"/>
  </mergeCells>
  <printOptions/>
  <pageMargins bottom="0.4" footer="0.0" header="0.0" left="0.4" right="0.4" top="0.4"/>
  <pageSetup fitToHeight="0" orientation="landscape"/>
  <drawing r:id="rId1"/>
</worksheet>
</file>