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Matriz" state="visible" r:id="rId5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G3" authorId="0">
      <text>
        <r>
          <t xml:space="preserve">CP-AUTH-01: [US-01 CA 01.1] Rechazo de usuario sin formato de correo en pantalla de login
auth/login-extra.spec.ts:18</t>
        </r>
      </text>
    </comment>
    <comment ref="H3" authorId="0">
      <text>
        <r>
          <t xml:space="preserve">CP-AUTH-02: [US-01 CA 01.2] Mensaje específico ante credenciales inválidas
auth/login-extra.spec.ts:38</t>
        </r>
      </text>
    </comment>
    <comment ref="I3" authorId="0">
      <text>
        <r>
          <t xml:space="preserve">CP-AUTH-03: 1. [US-01 CA 01.3] Debe bloquear temporalmente el acceso por 30 minutos tras 4 intentos fallidos consecutivos mostrando mensaje explícito en pantalla
zz-security/brute-force-lockout.spec.ts:23</t>
        </r>
      </text>
    </comment>
    <comment ref="J3" authorId="0">
      <text>
        <r>
          <t xml:space="preserve">CP-AUTH-04: 3. [US-01 CA 01.4] Debe iniciar sesión exitosamente con cuenta válida, registrar auditoría de login y acceder al Dashboard
auth/login-flow.spec.ts:40</t>
        </r>
      </text>
    </comment>
    <comment ref="K3" authorId="0">
      <text>
        <r>
          <t xml:space="preserve">CP-AUTH-05: 4. [US-02 CA 02.1] [US-02 CA 02.2] Debe cerrar sesión correctamente, registrar auditoría de logout e impedir acceso posterior a URLs protegidas
auth/login-flow.spec.ts:63</t>
        </r>
      </text>
    </comment>
    <comment ref="L3" authorId="0">
      <text>
        <r>
          <t xml:space="preserve">CP-AUTH-06: 5. [US-02 CA 02.3] Sin sesión iniciada, debe proteger las URLs del sistema redirigiendo al login sin errores
auth/login-flow.spec.ts:98</t>
        </r>
      </text>
    </comment>
    <comment ref="M3" authorId="0">
      <text>
        <r>
          <t xml:space="preserve">CP-AUTH-07: [US-02 CA 02.4] Cierre de sesión registra evento de auditoría LOGOUT
auth/login-extra.spec.ts:50</t>
        </r>
      </text>
    </comment>
    <comment ref="N3" authorId="0">
      <text>
        <r>
          <t xml:space="preserve">CP-USER-01: [US-03 CA 03.1] Admin crea nuevo usuario y este puede iniciar sesión efectivamente en el sistema
auth/user-management.spec.ts:35</t>
        </r>
      </text>
    </comment>
    <comment ref="O3" authorId="0">
      <text>
        <r>
          <t xml:space="preserve">CP-USER-02: [US-03 CA 03.2] Admin puede modificar datos del usuario (nombre, apellido y asignar nueva contraseña)
auth/user-management.spec.ts:63</t>
        </r>
      </text>
    </comment>
    <comment ref="P3" authorId="0">
      <text>
        <r>
          <t xml:space="preserve">CP-USER-03: [US-03 CA 03.3] Admin desactiva usuario sin borrar historial y se bloquea el inicio de sesión
auth/user-management.spec.ts:92</t>
        </r>
      </text>
    </comment>
    <comment ref="Q3" authorId="0">
      <text>
        <r>
          <t xml:space="preserve">CP-USER-04: [US-03 CA 03.4] No permitir dos usuarios con el mismo correo
auth/user-management.spec.ts:180</t>
        </r>
      </text>
    </comment>
    <comment ref="R3" authorId="0">
      <text>
        <r>
          <t xml:space="preserve">CP-USER-05: [US-03 CA 03.5] Solo los administradores deben poder gestionar usuarios (rol no admin restringido en UI y API)
auth/user-management.spec.ts:257</t>
        </r>
      </text>
    </comment>
    <comment ref="S3" authorId="0">
      <text>
        <r>
          <t xml:space="preserve">CP-USER-06: [US-03 CA 03.5] El administrador global no se asigna desde la plataforma (422 ROL_ADMIN_GLOBAL_NO_ASIGNABLE)
auth/user-management.spec.ts:284</t>
        </r>
      </text>
    </comment>
    <comment ref="T3" authorId="0">
      <text>
        <r>
          <t xml:space="preserve">CP-DOC-01: [US-04 CA 04.1] Formatos .doc, .docx y .pdf permitidos, y rechazo de .xlsx y .exe
flow/registrar-documento-sin-planilla.spec.ts:47</t>
        </r>
      </text>
    </comment>
    <comment ref="U3" authorId="0">
      <text>
        <r>
          <t xml:space="preserve">CP-DOC-02: [US-04 CA 04.2] Error 400 y validación de campos obligatorios faltantes (UI + API)
flow/registrar-documento-sin-planilla.spec.ts:107</t>
        </r>
      </text>
    </comment>
    <comment ref="V3" authorId="0">
      <text>
        <r>
          <t xml:space="preserve">CP-DOC-03: [US-04 CA 04.3] [US-04 CA 04.4] Aparece inmediatamente en la vista del emisor con estado actual
flow/registrar-documento-sin-planilla.spec.ts:161</t>
        </r>
      </text>
    </comment>
    <comment ref="W3" authorId="0">
      <text>
        <r>
          <t xml:space="preserve">CP-DOC-04: [US-04 CA 04.5] Registro exitoso con confirmación visual clara
flow/registrar-documento-sin-planilla.spec.ts:139</t>
        </r>
      </text>
    </comment>
    <comment ref="X3" authorId="0">
      <text>
        <r>
          <t xml:space="preserve">CP-REV-01: 1. [US-05 CA 05.1] El revisor asignado accede a la lista de revisiones pendientes
flow/ver-revisiones-pendientes.spec.ts:17</t>
        </r>
      </text>
    </comment>
    <comment ref="Y3" authorId="0">
      <text>
        <r>
          <t xml:space="preserve">CP-REV-02: 2. [US-05 CA 05.2] [US-05 CA 05.3] La fila muestra nombre, emisor, fecha y estado; el revisor abre la solicitud para revisarla
flow/ver-revisiones-pendientes.spec.ts:25</t>
        </r>
      </text>
    </comment>
    <comment ref="Z3" authorId="0">
      <text>
        <r>
          <t xml:space="preserve">CP-REV-03: 1. [US-05 CA 05.4] Por revisar muestra solo las solicitudes que esperan decisión humana
flow/assigned-reviewer-only.spec.ts:17</t>
        </r>
      </text>
    </comment>
    <comment ref="AA3" authorId="0">
      <text>
        <r>
          <t xml:space="preserve">CP-DEC-01: 6. [US-05 CA 05.5] [US-08 CA 08.4] Confirmación de corrección: Cancelar mantiene Pendiente; Confirmar deja la solicitud en Corrección requerida
flow/decision-notifications.spec.ts:170</t>
        </r>
      </text>
    </comment>
    <comment ref="AB3" authorId="0">
      <text>
        <r>
          <t xml:space="preserve">CP-INV-01: 6. [US-05 CA 05.6] [US-11 CA 11.5] Estado e historial inmutable en detalle de solicitud (sin edición ni eliminación)
inventory/request-detail.spec.ts:179</t>
        </r>
      </text>
    </comment>
    <comment ref="AC3" authorId="0">
      <text>
        <r>
          <t xml:space="preserve">CP-REV-04: 2. [US-06 CA 06.1] [US-19 CA 07.4] Solo el revisor asignado puede aprobar: AUDITOR recibe 403 y COLABORADOR_OPERACIONES recibe 404
flow/assigned-reviewer-only.spec.ts:41</t>
        </r>
      </text>
    </comment>
    <comment ref="AD3" authorId="0">
      <text>
        <r>
          <t xml:space="preserve">CP-DEC-02: 1. [US-06 CA 06.2] [US-05 CA 05.5] [US-06 CA 06.3] Confirmación al aprobar: Cancelar mantiene Pendiente y Confirmar avanza a Aprobado
flow/decision-notifications.spec.ts:24</t>
        </r>
      </text>
    </comment>
    <comment ref="AE3" authorId="0">
      <text>
        <r>
          <t xml:space="preserve">CP-DEC-03: 2. [US-06 CA 06.4] La aprobación queda en el historial con acción, actor y fecha exactos
flow/decision-notifications.spec.ts:50</t>
        </r>
      </text>
    </comment>
    <comment ref="AF3" authorId="0">
      <text>
        <r>
          <t xml:space="preserve">CP-DEC-04: 3. [US-06 CA 06.5] [US-12 CA 12.5] El emisor recibe una notificación de aprobación no leída con el texto exacto
flow/decision-notifications.spec.ts:79</t>
        </r>
      </text>
    </comment>
    <comment ref="AG3" authorId="0">
      <text>
        <r>
          <t xml:space="preserve">CP-REV-05: 3. [US-07 CA 07.1] [US-19 CA 07.4] Solo el revisor asignado puede rechazar: AUDITOR recibe 403 y COLABORADOR_OPERACIONES recibe 404
flow/assigned-reviewer-only.spec.ts:78</t>
        </r>
      </text>
    </comment>
    <comment ref="AH3" authorId="0">
      <text>
        <r>
          <t xml:space="preserve">CP-FLUJO-01: 5. [US-07 CA 07.2] [HU-07 / flow-003] Rechazo con motivo obligatorio
flow/simple-request-flow.spec.ts:219</t>
        </r>
      </text>
    </comment>
    <comment ref="AI3" authorId="0">
      <text>
        <r>
          <t xml:space="preserve">CP-DEC-05: 4. [US-07 CA 07.3] [US-05 CA 05.5] [US-07 CA 07.4] Confirmación de rechazo: Cancelar mantiene Pendiente; Confirmar rechaza y saca la solicitud de Por revisar
flow/decision-notifications.spec.ts:107</t>
        </r>
      </text>
    </comment>
    <comment ref="AJ3" authorId="0">
      <text>
        <r>
          <t xml:space="preserve">CP-DEC-06: 5. [US-07 CA 07.5] [US-12 CA 12.5] [US-05 CA 05.5] La notificación de rechazo que recibe el emisor incluye el motivo
flow/decision-notifications.spec.ts:145</t>
        </r>
      </text>
    </comment>
    <comment ref="AK3" authorId="0">
      <text>
        <r>
          <t xml:space="preserve">CP-REV-06: 4. [US-08 CA 08.1] [US-19 CA 07.4] Solo el revisor asignado puede pedir corrección: AUDITOR recibe 403 y COLABORADOR_OPERACIONES recibe 404
flow/assigned-reviewer-only.spec.ts:114</t>
        </r>
      </text>
    </comment>
    <comment ref="AL3" authorId="0">
      <text>
        <r>
          <t xml:space="preserve">CP-FLUJO-02: 2. [US-08 CA 08.2] [HU-05, HU-08 / flow-001, flow-004] Revisión con Solicitud de Corrección (Rechazo Parcial) y descarga
flow/simple-request-flow.spec.ts:94</t>
        </r>
      </text>
    </comment>
    <comment ref="AM3" authorId="0">
      <text>
        <r>
          <t xml:space="preserve">CP-OBS-01: 1. [US-09 CA 09.1] [US-09 CA 09.2] [US-10 CA 10.1] [US-08 CA 08.3] El emisor ve la observación dentro de su solicitud, con el archivo vigente y su versión
flow/ver-observaciones-revisor.spec.ts:13</t>
        </r>
      </text>
    </comment>
    <comment ref="AN3" authorId="0">
      <text>
        <r>
          <t xml:space="preserve">CP-OBS-02: 3. [US-09 CA 09.3] [US-09 CA 09.4] Las observaciones se revisan antes de modificar y siguen disponibles mientras la solicitud esté en corrección
flow/ver-observaciones-revisor.spec.ts:75</t>
        </r>
      </text>
    </comment>
    <comment ref="AO3" authorId="0">
      <text>
        <r>
          <t xml:space="preserve">CP-OBS-03: 2. [US-09 CA 09.5] Solo quien tiene acceso ve las observaciones de la solicitud
flow/ver-observaciones-revisor.spec.ts:45</t>
        </r>
      </text>
    </comment>
    <comment ref="AP3" authorId="0">
      <text>
        <r>
          <t xml:space="preserve">CP-FLUJO-03: 3. [US-10 CA 10.1] [US-08 CA 08.3] [HU-09, HU-10 / flow-005, flow-006] Visualización de Observaciones y Subsanación / Reenvío
flow/simple-request-flow.spec.ts:140</t>
        </r>
      </text>
    </comment>
    <comment ref="AQ3" authorId="0">
      <text>
        <r>
          <t xml:space="preserve">CP-CORR-01: 1. [US-10 CA 10.2] Solo se edita y reenvía una solicitud que está en Corrección requerida
flow/corregir-documento.spec.ts:22</t>
        </r>
      </text>
    </comment>
    <comment ref="AR3" authorId="0">
      <text>
        <r>
          <t xml:space="preserve">CP-CORR-02: 3. [US-10 CA 10.3] [US-10 CA 10.5] El emisor cambia título y archivo; la solicitud vuelve a Pendiente de revisión
flow/corregir-documento.spec.ts:87</t>
        </r>
      </text>
    </comment>
    <comment ref="AS3" authorId="0">
      <text>
        <r>
          <t xml:space="preserve">CP-CORR-03: 2. [US-10 CA 10.4] Antes de reenviar, el título obligatorio debe estar completo (UI y API)
flow/corregir-documento.spec.ts:58</t>
        </r>
      </text>
    </comment>
    <comment ref="AT3" authorId="0">
      <text>
        <r>
          <t xml:space="preserve">CP-CORR-04: 4. [US-10 CA 10.5] La solicitud reenviada queda Pendiente de revisión en la bandeja del revisor y en el historial
flow/corregir-documento.spec.ts:117</t>
        </r>
      </text>
    </comment>
    <comment ref="AU3" authorId="0">
      <text>
        <r>
          <t xml:space="preserve">CP-CORR-05: 5. [US-10 CA 10.6] Tras el reenvío, el revisor tiene exactamente una notificación nueva no leída de la solicitud
flow/corregir-documento.spec.ts:141</t>
        </r>
      </text>
    </comment>
    <comment ref="AV3" authorId="0">
      <text>
        <r>
          <t xml:space="preserve">CP-HIST-01: 1. [US-11 CA 11.1] [US-11 CA 11.2] El historial sale en orden cronológico con estado, actor y fecha de cada registro
flow/consultar-historial-flujos.spec.ts:14</t>
        </r>
      </text>
    </comment>
    <comment ref="AW3" authorId="0">
      <text>
        <r>
          <t xml:space="preserve">CP-HIST-02: 2. [US-11 CA 11.3] La observación del revisor aparece en su registro del historial con el texto exacto
flow/consultar-historial-flujos.spec.ts:65</t>
        </r>
      </text>
    </comment>
    <comment ref="AX3" authorId="0">
      <text>
        <r>
          <t xml:space="preserve">CP-HIST-03: 3. [US-11 CA 11.4] Solo quien tiene acceso a la solicitud consulta su historial
flow/consultar-historial-flujos.spec.ts:82</t>
        </r>
      </text>
    </comment>
    <comment ref="AY3" authorId="0">
      <text>
        <r>
          <t xml:space="preserve">CP-HIST-04: 4. [US-11 CA 11.5] El historial no ofrece controles para editar ni eliminar sus registros
flow/consultar-historial-flujos.spec.ts:101</t>
        </r>
      </text>
    </comment>
    <comment ref="AZ3" authorId="0">
      <text>
        <r>
          <t xml:space="preserve">CP-NOTIF-01: 2. [US-12 CA 12.1] [US-12 CA 12.2] [US-08 CA 08.5] Cada usuario ve solo sus notificaciones y cada una indica qué ocurrió y a qué solicitud corresponde
flow/revisar-notificaciones-bandeja.spec.ts:48</t>
        </r>
      </text>
    </comment>
    <comment ref="BA3" authorId="0">
      <text>
        <r>
          <t xml:space="preserve">CP-NOTIF-02: 3. [US-12 CA 12.3] La campana distingue las notificaciones leídas de las no leídas y permite marcarlas
flow/revisar-notificaciones-bandeja.spec.ts:86</t>
        </r>
      </text>
    </comment>
    <comment ref="BB3" authorId="0">
      <text>
        <r>
          <t xml:space="preserve">CP-NOTIF-03: 4. [US-12 CA 12.4] Al abrir una notificación se llega a la solicitud asociada
flow/revisar-notificaciones-bandeja.spec.ts:130</t>
        </r>
      </text>
    </comment>
    <comment ref="BC3" authorId="0">
      <text>
        <r>
          <t xml:space="preserve">CP-NOTIF-04: 1. [US-12 CA 12.5] Al registrar una solicitud, el revisor recibe una notificación nueva no leída con su correlativo
flow/revisar-notificaciones-bandeja.spec.ts:14</t>
        </r>
      </text>
    </comment>
    <comment ref="BD3" authorId="0">
      <text>
        <r>
          <t xml:space="preserve">CP-RUT-01: [US-13 CA 01.1] Crear usuario con RUT válido guarda el RUT ingresado
auth/rut-validation.spec.ts:91</t>
        </r>
      </text>
    </comment>
    <comment ref="BE3" authorId="0">
      <text>
        <r>
          <t xml:space="preserve">CP-RUT-02: [US-13 CA 01.2] [US-13 CA 01.5] Sin espacios: "12 345" queda "12.345" y "12345 678-5" queda "12.345.678-5"
auth/rut-validation.spec.ts:36</t>
        </r>
      </text>
    </comment>
    <comment ref="BF3" authorId="0">
      <text>
        <r>
          <t xml:space="preserve">CP-RUT-03: [US-13 CA 01.3] Una "k" minúscula se muestra como "K" mayúscula con autoformato
auth/rut-validation.spec.ts:52</t>
        </r>
      </text>
    </comment>
    <comment ref="BG3" authorId="0">
      <text>
        <r>
          <t xml:space="preserve">CP-RUT-04: [US-13 CA 01.4] Caracteres no permitidos se descartan: "12a.b@345" queda "12.345"
auth/rut-validation.spec.ts:65</t>
        </r>
      </text>
    </comment>
    <comment ref="BH3" authorId="0">
      <text>
        <r>
          <t xml:space="preserve">CP-RUT-05: [US-13 CA 01.6] Doce dígitos seguidos: el campo se corta en el largo máximo "12.345.678-9"
auth/rut-validation.spec.ts:78</t>
        </r>
      </text>
    </comment>
    <comment ref="BI3" authorId="0">
      <text>
        <r>
          <t xml:space="preserve">CP-RUT-06: [US-13 CA 01.7] [US-13 CA 01.8] [US-13 CA 01.9] [US-13 CA 01.10] Mensaje explicativo exacto por caso: obligatorio, dígito verificador inválido y duplicado
auth/rut-validation.spec.ts:112</t>
        </r>
      </text>
    </comment>
    <comment ref="BJ3" authorId="0">
      <text>
        <r>
          <t xml:space="preserve">CP-ORG-01: 1. [US-14 CA 02.1] [US-14 CA 02.2] Admin crea un área por UI y luego edita nombre y descripción, con persistencia tras recargar
org/corporate-areas.spec.ts:15</t>
        </r>
      </text>
    </comment>
    <comment ref="BK3" authorId="0">
      <text>
        <r>
          <t xml:space="preserve">CP-ORG-02: 2. [US-14 CA 02.3] Desactivar un área la marca Inactivo y la quita de los selectores de usuario y de flujo, con control positivo
org/corporate-areas.spec.ts:59</t>
        </r>
      </text>
    </comment>
    <comment ref="BL3" authorId="0">
      <text>
        <r>
          <t xml:space="preserve">CP-ORG-03: 1. [US-14 CA 02.4] No se permiten nombres de área duplicados: la UI muestra el mensaje exacto y la API responde 409 AREA_NOMBRE_DUPLICADO en cada variante
org/area-audit-and-names.spec.ts:33</t>
        </r>
      </text>
    </comment>
    <comment ref="BM3" authorId="0">
      <text>
        <r>
          <t xml:space="preserve">CP-ORG-04: 3. [US-14 CA 02.5] [US-15 CA 03.1] [US-19 CA 07.4] Colaborador: sin acceso a Áreas en la UI y 403 RBAC_ACCION_DENEGADA en cada mutación por API
org/corporate-areas.spec.ts:88</t>
        </r>
      </text>
    </comment>
    <comment ref="BN3" authorId="0">
      <text>
        <r>
          <t xml:space="preserve">CP-ORG-05: 2. [US-15 CA 03.2] Jefatura solo entre usuarios activos: en "Gestionar usuarios" un usuario desactivado no es candidato y la API rechaza asignarlo
org/area-audit-and-names.spec.ts:74</t>
        </r>
      </text>
    </comment>
    <comment ref="BO3" authorId="0">
      <text>
        <r>
          <t xml:space="preserve">CP-ORG-06: 3. [US-15 CA 03.3] [US-15 CA 03.4] [US-15 CA 03.5] Cambio de jefatura registrado: asignar A, quitar A y asignar B por UI; la auditoría registra cada evento
org/area-audit-and-names.spec.ts:103</t>
        </r>
      </text>
    </comment>
    <comment ref="BP3" authorId="0">
      <text>
        <r>
          <t xml:space="preserve">CP-ORG-07: 4. [US-16 CA 04.1] El área y el usuario deben existir: área inactiva fuera del selector, asignación rechazada y UUID inexistente con 404
org/corporate-areas.spec.ts:136</t>
        </r>
      </text>
    </comment>
    <comment ref="BQ3" authorId="0">
      <text>
        <r>
          <t xml:space="preserve">CP-ORG-08: 4. [US-16 CA 04.2] [US-16 CA 04.3] [US-16 CA 04.4] [US-16 CA 04.5] Admin elige el área al crear un usuario, la cambia por UI y el cambio queda auditado
org/area-audit-and-names.spec.ts:133</t>
        </r>
      </text>
    </comment>
    <comment ref="BR3" authorId="0">
      <text>
        <r>
          <t xml:space="preserve">CP-FLOW-01: [US-17 CA 05.1] Admin crea un flujo con nombre y área, y queda incompleto sin etapas
flow/flow-configuration.spec.ts:27</t>
        </r>
      </text>
    </comment>
    <comment ref="BS3" authorId="0">
      <text>
        <r>
          <t xml:space="preserve">CP-FLOW-02: [US-17 CA 05.2] [US-17 CA 05.3] [US-18 CA 06.1] [US-18 CA 06.4] Admin elige el revisor de cada etapa y no puede guardar una etapa sin responsable
flow/flow-configuration.spec.ts:44</t>
        </r>
      </text>
    </comment>
    <comment ref="BT3" authorId="0">
      <text>
        <r>
          <t xml:space="preserve">CP-FLOW-03: [US-17 CA 05.4] Admin cambia el orden de las etapas y el cambio se guarda
flow/flow-configuration.spec.ts:79</t>
        </r>
      </text>
    </comment>
    <comment ref="BU3" authorId="0">
      <text>
        <r>
          <t xml:space="preserve">CP-FLOW-04: [US-17 CA 05.5] Un flujo incompleto no aparece al emitir una solicitud
flow/flow-configuration.spec.ts:115</t>
        </r>
      </text>
    </comment>
    <comment ref="BV3" authorId="0">
      <text>
        <r>
          <t xml:space="preserve">CP-FLOW-05: [US-17 CA 05.5] Flujo incompleto o inactivo no se usa y responde 409
flow/flow-versions-and-reviewers.spec.ts:29</t>
        </r>
      </text>
    </comment>
    <comment ref="BW3" authorId="0">
      <text>
        <r>
          <t xml:space="preserve">CP-FLOW-06: [US-18 CA 06.2] Solo usuarios activos se ofrecen como revisores; asignar uno inactivo responde 422 USUARIO_INACTIVO
flow/flow-versions-and-reviewers.spec.ts:71</t>
        </r>
      </text>
    </comment>
    <comment ref="BX3" authorId="0">
      <text>
        <r>
          <t xml:space="preserve">CP-FLOW-07: [US-18 CA 06.3] Cambiar el responsable con solicitudes en curso traslada la solicitud a la nueva bandeja
flow/flow-versions-and-reviewers.spec.ts:163</t>
        </r>
      </text>
    </comment>
    <comment ref="BY3" authorId="0">
      <text>
        <r>
          <t xml:space="preserve">CP-FLOW-08: [US-18 CA 06.5] Los cambios de etapas y revisores se guardan, persisten tras recargar y quedan auditados
flow/flow-versions-and-reviewers.spec.ts:221</t>
        </r>
      </text>
    </comment>
    <comment ref="BZ3" authorId="0">
      <text>
        <r>
          <t xml:space="preserve">CP-ACC-01: 1. [US-19 CA 07.1] Administrador crea rol Gestor de plantillas y lo edita con persistencia tras recargar
access/roles-and-access.spec.ts:12</t>
        </r>
      </text>
    </comment>
    <comment ref="CA3" authorId="0">
      <text>
        <r>
          <t xml:space="preserve">CP-ACC-02: 2. [US-19 CA 07.2] Rol asignado por UI habilita Plantillas en navegación y restringe accesos no autorizados
access/roles-and-access.spec.ts:67</t>
        </r>
      </text>
    </comment>
    <comment ref="CB3" authorId="0">
      <text>
        <r>
          <t xml:space="preserve">CP-ACC-03: 3. [US-19 CA 07.3] Colaborador no ve pestaña Roles y mutaciones por API responden 403
access/roles-and-access.spec.ts:136</t>
        </r>
      </text>
    </comment>
    <comment ref="CC3" authorId="0">
      <text>
        <r>
          <t xml:space="preserve">CP-ACC-04: 2. [US-19 CA 07.4] Colaborador no puede acceder a vistas de administración (UI protegida y 403 por API)
access/area-isolation.spec.ts:72</t>
        </r>
      </text>
    </comment>
    <comment ref="CD3" authorId="0">
      <text>
        <r>
          <t xml:space="preserve">CP-ACC-05: 3. [US-19 CA 07.4] Auditor ve la solicitud sin botones de decisión (control positivo con la jefatura en la misma solicitud) y /aprobar responde 403
access/jefatura-hierarchy.spec.ts:87</t>
        </r>
      </text>
    </comment>
    <comment ref="CE3" authorId="0">
      <text>
        <r>
          <t xml:space="preserve">CP-ACC-06: 3. [US-19 CA 07.5] [US-22 CA 10.1] Aislamiento horizontal estricto: colaboradores de Operaciones y Finanzas no ven solicitudes ajenas y reciben exactamente 404
access/area-isolation.spec.ts:101</t>
        </r>
      </text>
    </comment>
    <comment ref="CF3" authorId="0">
      <text>
        <r>
          <t xml:space="preserve">CP-ACC-07: 1. [US-19 CA 07.6] [US-22 CA 10.2] Jefatura de área padre (Operaciones) ve y consulta solicitudes de su subárea dependiente (Bodega)
access/jefatura-hierarchy.spec.ts:10</t>
        </r>
      </text>
    </comment>
    <comment ref="CG3" authorId="0">
      <text>
        <r>
          <t xml:space="preserve">CP-ACC-08: 2. [US-19 CA 07.6] [US-22 CA 10.2] Jefatura de subárea (Bodega) no ve solicitudes de su área padre (Operaciones) y recibe exactamente 404
access/jefatura-hierarchy.spec.ts:48</t>
        </r>
      </text>
    </comment>
    <comment ref="CH3" authorId="0">
      <text>
        <r>
          <t xml:space="preserve">CP-ACC-09: 4. [US-19 CA 07.7] Auditoría registra eventos ROL_CREADO, ROL_EDITADO y ROL_ASIGNADO con entidadId y detalle
access/roles-and-access.spec.ts:186</t>
        </r>
      </text>
    </comment>
    <comment ref="CI3" authorId="0">
      <text>
        <r>
          <t xml:space="preserve">CP-SLA-01: 1. [US-20 CA 08.1] [US-20 CA 08.5] Administrador accede a la matriz SLA, define plazos por tipo y actualiza reglas
flow/sla-matrix-alerts.spec.ts:50</t>
        </r>
      </text>
    </comment>
    <comment ref="CJ3" authorId="0">
      <text>
        <r>
          <t xml:space="preserve">CP-SLA-02: 3. [US-20 CA 08.2] Cómputo del plazo inicia al registrarse la solicitud y excluye fines de semana
flow/sla-matrix-alerts.spec.ts:105</t>
        </r>
      </text>
    </comment>
    <comment ref="CK3" authorId="0">
      <text>
        <r>
          <t xml:space="preserve">CP-SLA-03: 1. [US-20 CA 08.2] El plazo se calcula al registrar: deadline = días hábiles desde createdAt, y la UI muestra ese plazo
flow/sla-states.spec.ts:28</t>
        </r>
      </text>
    </comment>
    <comment ref="CL3" authorId="0">
      <text>
        <r>
          <t xml:space="preserve">CP-SLA-04: 4. [US-20 CA 08.3] Alertas visuales semánticas desplegadas en la bandeja de revisión y modal de detalle
flow/sla-matrix-alerts.spec.ts:163</t>
        </r>
      </text>
    </comment>
    <comment ref="CM3" authorId="0">
      <text>
        <r>
          <t xml:space="preserve">CP-SLA-05: 2. [US-20 CA 08.3] Por revisar y el detalle muestran la alerta exacta de Por vencer y de Vencido
flow/sla-states.spec.ts:55</t>
        </r>
      </text>
    </comment>
    <comment ref="CN3" authorId="0">
      <text>
        <r>
          <t xml:space="preserve">CP-SLA-06: 5. [US-20 CA 08.4] Decisiones del flujo (aprobación y corrección) evalúan cumplimiento de SLA y persisten dentro_sla = true
flow/sla-matrix-alerts.spec.ts:192</t>
        </r>
      </text>
    </comment>
    <comment ref="CO3" authorId="0">
      <text>
        <r>
          <t xml:space="preserve">CP-SLA-07: 3. [US-20 CA 08.4] [US-05 CA 05.5] La decisión registra si se tomó dentro del plazo: aprobación a tiempo y rechazo fuera de plazo
flow/sla-states.spec.ts:95</t>
        </r>
      </text>
    </comment>
    <comment ref="CP3" authorId="0">
      <text>
        <r>
          <t xml:space="preserve">CP-SLA-08: 2. [US-20 CA 08.5] Control RBAC: Usuario sin rol ADMIN no tiene acceso a la matriz SLA ni por UI ni por API
flow/sla-matrix-alerts.spec.ts:81</t>
        </r>
      </text>
    </comment>
    <comment ref="CQ3" authorId="0">
      <text>
        <r>
          <t xml:space="preserve">CP-INV-02: 1. [US-21 CA 09.1] Encabezado del detalle muestra datos canónicos de la solicitud sembrada
inventory/request-detail.spec.ts:16</t>
        </r>
      </text>
    </comment>
    <comment ref="CR3" authorId="0">
      <text>
        <r>
          <t xml:space="preserve">CP-INV-03: 2. [US-21 CA 09.2] Pestaña Documentos lista archivo vigente v2 y versión anterior v1 tras corrección
inventory/request-detail.spec.ts:44</t>
        </r>
      </text>
    </comment>
    <comment ref="CS3" authorId="0">
      <text>
        <r>
          <t xml:space="preserve">CP-INV-04: 3. [US-21 CA 09.3] Estado y etapa actual exactos para el emisor y el revisor real del flujo base
inventory/request-detail.spec.ts:99</t>
        </r>
      </text>
    </comment>
    <comment ref="CT3" authorId="0">
      <text>
        <r>
          <t xml:space="preserve">CP-INV-05: 4. [US-21 CA 09.4] Observaciones de revisión muestran texto exacto, autor y fecha
inventory/request-detail.spec.ts:130</t>
        </r>
      </text>
    </comment>
    <comment ref="CU3" authorId="0">
      <text>
        <r>
          <t xml:space="preserve">CP-INV-06: 5. [US-21 CA 09.5] Usuario de otra área sin acceso recibe el mensaje de no disponible y 404 por API
inventory/request-detail.spec.ts:159</t>
        </r>
      </text>
    </comment>
    <comment ref="CV3" authorId="0">
      <text>
        <r>
          <t xml:space="preserve">CP-INV-07: 3. [US-22 CA 10.3] Búsqueda por correlativo, fragmento de título y nombre de archivo, con limpieza entre búsquedas
inventory/requests-inventory.spec.ts:80</t>
        </r>
      </text>
    </comment>
    <comment ref="CW3" authorId="0">
      <text>
        <r>
          <t xml:space="preserve">CP-INV-08: 4. [US-22 CA 10.4] Filtros por tipo, estado, área y fecha, uno a uno y combinados, con conjunto y contador exactos
inventory/requests-inventory.spec.ts:122</t>
        </r>
      </text>
    </comment>
    <comment ref="CX3" authorId="0">
      <text>
        <r>
          <t xml:space="preserve">CP-INV-09: 1. [US-22 CA 10.5] Fila de resultados: tipo exacto, correlativo con formato, título sin tipo, estado y fecha exactos
inventory/requests-inventory.spec.ts:24</t>
        </r>
      </text>
    </comment>
    <comment ref="CY3" authorId="0">
      <text>
        <r>
          <t xml:space="preserve">CP-INV-10: 2. [US-22 CA 10.6] Ver detalle abre exactamente la solicitud seleccionada
inventory/requests-inventory.spec.ts:53</t>
        </r>
      </text>
    </comment>
    <comment ref="CZ3" authorId="0">
      <text>
        <r>
          <t xml:space="preserve">CP-INV-11: 5. [US-23 CA 11.1] [US-23 CA 11.2] Pestañas "Creadas por mí" y "Revisadas por mí", subfiltro "Mi decisión" y contadores exactos
inventory/requests-inventory.spec.ts:217</t>
        </r>
      </text>
    </comment>
    <comment ref="DA3" authorId="0">
      <text>
        <r>
          <t xml:space="preserve">CP-INV-12: 6. [US-23 CA 11.3] Los cuatro estados del ciclo documental se muestran con su etiqueta exacta por correlativo
inventory/requests-inventory.spec.ts:259</t>
        </r>
      </text>
    </comment>
    <comment ref="DB3" authorId="0">
      <text>
        <r>
          <t xml:space="preserve">CP-FLUJO-07: 7. [US-23 CA 11.4] [US-23 CA 11.5] [HU-11 / flow-007] Trazabilidad e historial cronológico inmutable en Estado Solicitudes
flow/simple-request-flow.spec.ts:299</t>
        </r>
      </text>
    </comment>
    <comment ref="DC3" authorId="0">
      <text>
        <r>
          <t xml:space="preserve">CP-ACC-10: 2. [US-24 CA 12.1] [US-19 CA 07.4] Control de acceso a descargas: sin acceso responde 404, LECTOR_SIN_DESCARGA ve el mensaje y recibe 403, LECTOR_CON_DESCARGA descarga con 200
access/download-access.spec.ts:65</t>
        </r>
      </text>
    </comment>
    <comment ref="DD3" authorId="0">
      <text>
        <r>
          <t xml:space="preserve">CP-ACC-11: 1. [US-24 CA 12.2] [US-24 CA 12.3] Auditor descarga por UI comprobando SHA-256 idéntico, Content-Type application/pdf y nombre de archivo intacto
access/download-access.spec.ts:13</t>
        </r>
      </text>
    </comment>
    <comment ref="DE3" authorId="0">
      <text>
        <r>
          <t xml:space="preserve">CP-ACC-12: 3. [US-24 CA 12.4] Manejo resiliente ante documento no disponible en el almacenamiento (404) muestra mensaje exacto en UI
access/download-access.spec.ts:109</t>
        </r>
      </text>
    </comment>
    <comment ref="DF3" authorId="0">
      <text>
        <r>
          <t xml:space="preserve">CP-PASS-01: 1. [US-25 CA 13.1] [US-25 CA 13.2] Debe exigir ingresar contraseña actual, nueva contraseña y confirmación
auth/change-password.spec.ts:112</t>
        </r>
      </text>
    </comment>
    <comment ref="DG3" authorId="0">
      <text>
        <r>
          <t xml:space="preserve">CP-PASS-02: 2. [US-25 CA 13.3] Si la contraseña actual es incorrecta, debe mostrar mensaje exacto
auth/change-password.spec.ts:139</t>
        </r>
      </text>
    </comment>
    <comment ref="DH3" authorId="0">
      <text>
        <r>
          <t xml:space="preserve">CP-PASS-03: 3. [US-25 CA 13.4] La nueva contraseña debe cumplir la política efectiva de seguridad
auth/change-password.spec.ts:172</t>
        </r>
      </text>
    </comment>
    <comment ref="DI3" authorId="0">
      <text>
        <r>
          <t xml:space="preserve">CP-PASS-04: 4. [US-25 CA 13.5] Si las contraseñas nuevas no coinciden, debe mostrar mensaje indicando discrepancia
auth/change-password.spec.ts:203</t>
        </r>
      </text>
    </comment>
    <comment ref="DJ3" authorId="0">
      <text>
        <r>
          <t xml:space="preserve">CP-PASS-05: 5. [US-25 CA 13.6] Debe actualizar contraseña, confirmar y permitir continuar con la sesión
auth/change-password.spec.ts:224</t>
        </r>
      </text>
    </comment>
    <comment ref="DK3" authorId="0">
      <text>
        <r>
          <t xml:space="preserve">CP-DASH-05: 1. [US-26 CA 14.1] Administrador visualiza totales exactos calculados a partir de los datos sembrados al filtrar por área
flow/dashboard-general-summary.spec.ts:77</t>
        </r>
      </text>
    </comment>
    <comment ref="DL3" authorId="0">
      <text>
        <r>
          <t xml:space="preserve">CP-DASH-06: 2. [US-26 CA 14.2] [US-26 CA 14.5] Desglose consolidado por área corporativa refleja exactamente los datos sembrados (2 / 1 / 1 / 1 / 5)
flow/dashboard-general-summary.spec.ts:106</t>
        </r>
      </text>
    </comment>
    <comment ref="DM3" authorId="0">
      <text>
        <r>
          <t xml:space="preserve">CP-DASH-07: 3. [US-26 CA 14.3] Botón Actualizar refresca reactivamente las métricas (pendientes pasa de 2 a 1, aprobadas de 1 a 2)
flow/dashboard-general-summary.spec.ts:146</t>
        </r>
      </text>
    </comment>
    <comment ref="DN3" authorId="0">
      <text>
        <r>
          <t xml:space="preserve">CP-ACC-13: 1. [US-26 CA 14.4] Colaborador de Finanzas: el dashboard no ofrece selector de área y su total es menor que el del administrador para Finanzas
access/area-isolation.spec.ts:12</t>
        </r>
      </text>
    </comment>
    <comment ref="DO3" authorId="0">
      <text>
        <r>
          <t xml:space="preserve">CP-DASH-08: 4. [US-26 CA 14.4] Colaborador de Finanzas no ve selector global y el desglose muestra solo su área
flow/dashboard-general-summary.spec.ts:178</t>
        </r>
      </text>
    </comment>
    <comment ref="DP3" authorId="0">
      <text>
        <r>
          <t xml:space="preserve">CP-PASS-06: 6. Verificación de credenciales actualizadas: login antiguo falla y nuevo accede al sistema
auth/change-password.spec.ts:260</t>
        </r>
      </text>
    </comment>
    <comment ref="DQ3" authorId="0">
      <text>
        <r>
          <t xml:space="preserve">CP-AUTH-08: 1. Debe redirigir automáticamente al login OIDC de Keycloak con branding MasterBase
auth/login-flow.spec.ts:15</t>
        </r>
      </text>
    </comment>
    <comment ref="DR3" authorId="0">
      <text>
        <r>
          <t xml:space="preserve">CP-AUTH-09: 2. Debe mostrar error ante credenciales inválidas
auth/login-flow.spec.ts:28</t>
        </r>
      </text>
    </comment>
    <comment ref="DS3" authorId="0">
      <text>
        <r>
          <t xml:space="preserve">CP-USER-07: Admin desactiva y reactiva un usuario activo creado en el test
auth/user-management.spec.ts:141</t>
        </r>
      </text>
    </comment>
    <comment ref="DT3" authorId="0">
      <text>
        <r>
          <t xml:space="preserve">CP-USER-08: Validación: Las contraseñas deben coincidir al crear un usuario
auth/user-management.spec.ts:158</t>
        </r>
      </text>
    </comment>
    <comment ref="DU3" authorId="0">
      <text>
        <r>
          <t xml:space="preserve">CP-USER-09: Admin elimina usuario y este desaparece del sistema
auth/user-management.spec.ts:214</t>
        </r>
      </text>
    </comment>
    <comment ref="DV3" authorId="0">
      <text>
        <r>
          <t xml:space="preserve">CP-USER-10: Toda acción de gestión de usuario queda registrada en log_evento (crear, editar, desactivar, activar, eliminar)
auth/user-management.spec.ts:232</t>
        </r>
      </text>
    </comment>
    <comment ref="DW3" authorId="0">
      <text>
        <r>
          <t xml:space="preserve">CP-DASH-01: 1. Visualización del Dashboard y estructura general
flow/dashboard-flow.spec.ts:17</t>
        </r>
      </text>
    </comment>
    <comment ref="DX3" authorId="0">
      <text>
        <r>
          <t xml:space="preserve">CP-DASH-02: 2. Registro de solicitud y aparición como acción pendiente de revisión en Dashboard
flow/dashboard-flow.spec.ts:38</t>
        </r>
      </text>
    </comment>
    <comment ref="DY3" authorId="0">
      <text>
        <r>
          <t xml:space="preserve">CP-DASH-03: 3. Deep-linking de botón "Revisar" hacia Revisar Documento con solicitud preseleccionada
flow/dashboard-flow.spec.ts:89</t>
        </r>
      </text>
    </comment>
    <comment ref="DZ3" authorId="0">
      <text>
        <r>
          <t xml:space="preserve">CP-DASH-04: 4. Aparición de "Subsanación Requerida" con observación en Dashboard y enlace directo
flow/dashboard-flow.spec.ts:120</t>
        </r>
      </text>
    </comment>
    <comment ref="EA3" authorId="0">
      <text>
        <r>
          <t xml:space="preserve">CP-FLOW-09: Restricción RBAC: un revisor sin permiso de flujos no ve la configuración de flujos
flow/flow-configuration.spec.ts:134</t>
        </r>
      </text>
    </comment>
    <comment ref="EB3" authorId="0">
      <text>
        <r>
          <t xml:space="preserve">CP-FLUJO-04: 1. [HU-04 / doc-001] Registro de documento simple con archivo adjunto
flow/simple-request-flow.spec.ts:51</t>
        </r>
      </text>
    </comment>
    <comment ref="EC3" authorId="0">
      <text>
        <r>
          <t xml:space="preserve">CP-FLUJO-05: 4. [HU-06 / flow-002] Aprobación final de solicitud subsanada
flow/simple-request-flow.spec.ts:178</t>
        </r>
      </text>
    </comment>
    <comment ref="ED3" authorId="0">
      <text>
        <r>
          <t xml:space="preserve">CP-FLUJO-06: 6. [HU-12 / notif-001] Inbox de Notificaciones in-app y lectura
flow/simple-request-flow.spec.ts:271</t>
        </r>
      </text>
    </comment>
    <comment ref="EE3" authorId="0">
      <text>
        <r>
          <t xml:space="preserve">CP-REV-07: 3. Filtro por nombre de archivo: búsqueda positiva, negativa y limpieza
flow/ver-revisiones-pendientes.spec.ts:64</t>
        </r>
      </text>
    </comment>
    <comment ref="EF3" authorId="0">
      <text>
        <r>
          <t xml:space="preserve">CP-REV-08: 4. Filtro por emisor - búsqueda positiva, negativa y botón de limpiar filtros
flow/ver-revisiones-pendientes.spec.ts:112</t>
        </r>
      </text>
    </comment>
  </commentList>
</comments>
</file>

<file path=xl/sharedStrings.xml><?xml version="1.0" encoding="utf-8"?>
<sst xmlns="http://schemas.openxmlformats.org/spreadsheetml/2006/main" count="1000" uniqueCount="461">
  <si>
    <t>Cobertura de criterios de aceptación</t>
  </si>
  <si>
    <t>Generado el 18-10-2026, 10:27:54 p. m. por tests/e2e/scripts/generar-matriz.js. No editar a mano: se sobrescribe en cada ejecución.</t>
  </si>
  <si>
    <t>Alcance</t>
  </si>
  <si>
    <t>N° criterios</t>
  </si>
  <si>
    <t>Cubiertos</t>
  </si>
  <si>
    <t>% cobertura</t>
  </si>
  <si>
    <t>Sprint 1</t>
  </si>
  <si>
    <t>Sprint 2</t>
  </si>
  <si>
    <t>Sprint 3</t>
  </si>
  <si>
    <t>Total</t>
  </si>
  <si>
    <t>Cobertura por historia de usuario</t>
  </si>
  <si>
    <t>Sprint</t>
  </si>
  <si>
    <t>Historia de usuario</t>
  </si>
  <si>
    <t>Marcas en la matriz</t>
  </si>
  <si>
    <t>US-01 Iniciar Sesion</t>
  </si>
  <si>
    <t>US-02 Cerrar Sesion</t>
  </si>
  <si>
    <t>US-03 Gestionar usuarios</t>
  </si>
  <si>
    <t>US-04 Registrar documento sin planilla (Emisor)</t>
  </si>
  <si>
    <t>US-05 Ver revisiones pendiente (Revisor)</t>
  </si>
  <si>
    <t>US-06 Aprobar documento (Revisor)</t>
  </si>
  <si>
    <t>US-07 Rechazar documento (Revisor)</t>
  </si>
  <si>
    <t>US-08 Solicitar correccion a documento (Revisor)</t>
  </si>
  <si>
    <t>US-09 Ver observaciones del revisor (emisor)</t>
  </si>
  <si>
    <t>US-10 Corregir documento (Emisor)</t>
  </si>
  <si>
    <t>US-11 Consultar historial de flujos</t>
  </si>
  <si>
    <t>US-12 Revisar notificaciones en bandeja de entrada</t>
  </si>
  <si>
    <t>US-13 Asignar un RUT al crear usuario</t>
  </si>
  <si>
    <t>US-14 Gestionar areas corporativas</t>
  </si>
  <si>
    <t>US-15 Asignar administrador de área</t>
  </si>
  <si>
    <t>US-16 Vincular usuarios con sus áreas</t>
  </si>
  <si>
    <t>US-17 Gestionar flujos</t>
  </si>
  <si>
    <t>US-18 Configurar responsables de revisión</t>
  </si>
  <si>
    <t>US-19 Gestionar roles y permisos</t>
  </si>
  <si>
    <t>US-20 Configurar plazos de aprobación y alertas por tipo de documento</t>
  </si>
  <si>
    <t>US-21 Ver detalle de una solicitud (Emisor/Revisor)</t>
  </si>
  <si>
    <t>US-22 Consultar documentos</t>
  </si>
  <si>
    <t>US-23 Consultar estado de mis solicitudes</t>
  </si>
  <si>
    <t>US-24 Descargar documentos</t>
  </si>
  <si>
    <t>US-25 Cambiar Contraseña</t>
  </si>
  <si>
    <t>US-26 Ver resumen general de solicitudes</t>
  </si>
  <si>
    <t>US-27 Recuperar Contraseña</t>
  </si>
  <si>
    <t>US-28 Registrar documento usando planilla (Emisor)</t>
  </si>
  <si>
    <t>US-29 Autocompletar documento usando IA (Emisor)</t>
  </si>
  <si>
    <t>US-30 Evaluación de la IA de la solicitud (Revisor)</t>
  </si>
  <si>
    <t>US-31 Control de versiones de documentos</t>
  </si>
  <si>
    <t>US-32 Crear plantilla dinámica</t>
  </si>
  <si>
    <t>US-33 Gestionar plantillas</t>
  </si>
  <si>
    <t>US-34 Definir tipos de documento y correlativos</t>
  </si>
  <si>
    <t>US-35 Recibir notificaciones por correo</t>
  </si>
  <si>
    <t>US-36 Notificaciones diferenciadas por rol y evento</t>
  </si>
  <si>
    <t>Matriz de trazabilidad — Criterios de aceptación × Casos de prueba</t>
  </si>
  <si>
    <t>1 = el caso de prueba declara verificar el criterio (etiqueta [US-xx CA yy.z] en el título del test). No considera el estado de ejecución. Columnas en naranja: test sin caso (CP) en el Excel de casos. Pasa el cursor sobre un encabezado para ver el test.</t>
  </si>
  <si>
    <t>CA</t>
  </si>
  <si>
    <t>Criterio de aceptación</t>
  </si>
  <si>
    <t>N° casos</t>
  </si>
  <si>
    <t>Cubierto</t>
  </si>
  <si>
    <t>CP-AUTH-01</t>
  </si>
  <si>
    <t>CP-AUTH-02</t>
  </si>
  <si>
    <t>CP-AUTH-03</t>
  </si>
  <si>
    <t>CP-AUTH-04</t>
  </si>
  <si>
    <t>CP-AUTH-05</t>
  </si>
  <si>
    <t>CP-AUTH-06</t>
  </si>
  <si>
    <t>CP-AUTH-07</t>
  </si>
  <si>
    <t>CP-USER-01</t>
  </si>
  <si>
    <t>CP-USER-02</t>
  </si>
  <si>
    <t>CP-USER-03</t>
  </si>
  <si>
    <t>CP-USER-04</t>
  </si>
  <si>
    <t>CP-USER-05</t>
  </si>
  <si>
    <t>CP-USER-06</t>
  </si>
  <si>
    <t>CP-DOC-01</t>
  </si>
  <si>
    <t>CP-DOC-02</t>
  </si>
  <si>
    <t>CP-DOC-03</t>
  </si>
  <si>
    <t>CP-DOC-04</t>
  </si>
  <si>
    <t>CP-REV-01</t>
  </si>
  <si>
    <t>CP-REV-02</t>
  </si>
  <si>
    <t>CP-REV-03</t>
  </si>
  <si>
    <t>CP-DEC-01</t>
  </si>
  <si>
    <t>CP-INV-01</t>
  </si>
  <si>
    <t>CP-REV-04</t>
  </si>
  <si>
    <t>CP-DEC-02</t>
  </si>
  <si>
    <t>CP-DEC-03</t>
  </si>
  <si>
    <t>CP-DEC-04</t>
  </si>
  <si>
    <t>CP-REV-05</t>
  </si>
  <si>
    <t>CP-FLUJO-01</t>
  </si>
  <si>
    <t>CP-DEC-05</t>
  </si>
  <si>
    <t>CP-DEC-06</t>
  </si>
  <si>
    <t>CP-REV-06</t>
  </si>
  <si>
    <t>CP-FLUJO-02</t>
  </si>
  <si>
    <t>CP-OBS-01</t>
  </si>
  <si>
    <t>CP-OBS-02</t>
  </si>
  <si>
    <t>CP-OBS-03</t>
  </si>
  <si>
    <t>CP-FLUJO-03</t>
  </si>
  <si>
    <t>CP-CORR-01</t>
  </si>
  <si>
    <t>CP-CORR-02</t>
  </si>
  <si>
    <t>CP-CORR-03</t>
  </si>
  <si>
    <t>CP-CORR-04</t>
  </si>
  <si>
    <t>CP-CORR-05</t>
  </si>
  <si>
    <t>CP-HIST-01</t>
  </si>
  <si>
    <t>CP-HIST-02</t>
  </si>
  <si>
    <t>CP-HIST-03</t>
  </si>
  <si>
    <t>CP-HIST-04</t>
  </si>
  <si>
    <t>CP-NOTIF-01</t>
  </si>
  <si>
    <t>CP-NOTIF-02</t>
  </si>
  <si>
    <t>CP-NOTIF-03</t>
  </si>
  <si>
    <t>CP-NOTIF-04</t>
  </si>
  <si>
    <t>CP-RUT-01</t>
  </si>
  <si>
    <t>CP-RUT-02</t>
  </si>
  <si>
    <t>CP-RUT-03</t>
  </si>
  <si>
    <t>CP-RUT-04</t>
  </si>
  <si>
    <t>CP-RUT-05</t>
  </si>
  <si>
    <t>CP-RUT-06</t>
  </si>
  <si>
    <t>CP-ORG-01</t>
  </si>
  <si>
    <t>CP-ORG-02</t>
  </si>
  <si>
    <t>CP-ORG-03</t>
  </si>
  <si>
    <t>CP-ORG-04</t>
  </si>
  <si>
    <t>CP-ORG-05</t>
  </si>
  <si>
    <t>CP-ORG-06</t>
  </si>
  <si>
    <t>CP-ORG-07</t>
  </si>
  <si>
    <t>CP-ORG-08</t>
  </si>
  <si>
    <t>CP-FLOW-01</t>
  </si>
  <si>
    <t>CP-FLOW-02</t>
  </si>
  <si>
    <t>CP-FLOW-03</t>
  </si>
  <si>
    <t>CP-FLOW-04</t>
  </si>
  <si>
    <t>CP-FLOW-05</t>
  </si>
  <si>
    <t>CP-FLOW-06</t>
  </si>
  <si>
    <t>CP-FLOW-07</t>
  </si>
  <si>
    <t>CP-FLOW-08</t>
  </si>
  <si>
    <t>CP-ACC-01</t>
  </si>
  <si>
    <t>CP-ACC-02</t>
  </si>
  <si>
    <t>CP-ACC-03</t>
  </si>
  <si>
    <t>CP-ACC-04</t>
  </si>
  <si>
    <t>CP-ACC-05</t>
  </si>
  <si>
    <t>CP-ACC-06</t>
  </si>
  <si>
    <t>CP-ACC-07</t>
  </si>
  <si>
    <t>CP-ACC-08</t>
  </si>
  <si>
    <t>CP-ACC-09</t>
  </si>
  <si>
    <t>CP-SLA-01</t>
  </si>
  <si>
    <t>CP-SLA-02</t>
  </si>
  <si>
    <t>CP-SLA-03</t>
  </si>
  <si>
    <t>CP-SLA-04</t>
  </si>
  <si>
    <t>CP-SLA-05</t>
  </si>
  <si>
    <t>CP-SLA-06</t>
  </si>
  <si>
    <t>CP-SLA-07</t>
  </si>
  <si>
    <t>CP-SLA-08</t>
  </si>
  <si>
    <t>CP-INV-02</t>
  </si>
  <si>
    <t>CP-INV-03</t>
  </si>
  <si>
    <t>CP-INV-04</t>
  </si>
  <si>
    <t>CP-INV-05</t>
  </si>
  <si>
    <t>CP-INV-06</t>
  </si>
  <si>
    <t>CP-INV-07</t>
  </si>
  <si>
    <t>CP-INV-08</t>
  </si>
  <si>
    <t>CP-INV-09</t>
  </si>
  <si>
    <t>CP-INV-10</t>
  </si>
  <si>
    <t>CP-INV-11</t>
  </si>
  <si>
    <t>CP-INV-12</t>
  </si>
  <si>
    <t>CP-FLUJO-07</t>
  </si>
  <si>
    <t>CP-ACC-10</t>
  </si>
  <si>
    <t>CP-ACC-11</t>
  </si>
  <si>
    <t>CP-ACC-12</t>
  </si>
  <si>
    <t>CP-PASS-01</t>
  </si>
  <si>
    <t>CP-PASS-02</t>
  </si>
  <si>
    <t>CP-PASS-03</t>
  </si>
  <si>
    <t>CP-PASS-04</t>
  </si>
  <si>
    <t>CP-PASS-05</t>
  </si>
  <si>
    <t>CP-DASH-05</t>
  </si>
  <si>
    <t>CP-DASH-06</t>
  </si>
  <si>
    <t>CP-DASH-07</t>
  </si>
  <si>
    <t>CP-ACC-13</t>
  </si>
  <si>
    <t>CP-DASH-08</t>
  </si>
  <si>
    <t>CP-PASS-06</t>
  </si>
  <si>
    <t>CP-AUTH-08</t>
  </si>
  <si>
    <t>CP-AUTH-09</t>
  </si>
  <si>
    <t>CP-USER-07</t>
  </si>
  <si>
    <t>CP-USER-08</t>
  </si>
  <si>
    <t>CP-USER-09</t>
  </si>
  <si>
    <t>CP-USER-10</t>
  </si>
  <si>
    <t>CP-DASH-01</t>
  </si>
  <si>
    <t>CP-DASH-02</t>
  </si>
  <si>
    <t>CP-DASH-03</t>
  </si>
  <si>
    <t>CP-DASH-04</t>
  </si>
  <si>
    <t>CP-FLOW-09</t>
  </si>
  <si>
    <t>CP-FLUJO-04</t>
  </si>
  <si>
    <t>CP-FLUJO-05</t>
  </si>
  <si>
    <t>CP-FLUJO-06</t>
  </si>
  <si>
    <t>CP-REV-07</t>
  </si>
  <si>
    <t>CP-REV-08</t>
  </si>
  <si>
    <t>CA 01.1</t>
  </si>
  <si>
    <t>nombre de usuario solo en formato correos</t>
  </si>
  <si>
    <t>CA 01.2</t>
  </si>
  <si>
    <t>si credenciales son invalidas, mostrar un mensaje: “Credenciales inválidas, inténtelo de nuevo.” (texto actualizado el 18-10-2026 por decisión del equipo: se adopta el mensaje del tema de Keycloak)</t>
  </si>
  <si>
    <t>CA 01.3</t>
  </si>
  <si>
    <t>si fallo el inicio 4 veces seguidas, se bloquea el nombre de usuario por 30 minutos.</t>
  </si>
  <si>
    <t>CA 01.4</t>
  </si>
  <si>
    <t>al ingresar correctamente, el usuario debe acceder a la plataforma</t>
  </si>
  <si>
    <t>CA 02.1</t>
  </si>
  <si>
    <t>Al seleccionar “Cerrar Sesion”, el sistema debe finalizar la sesión activa.</t>
  </si>
  <si>
    <t>CA 02.2</t>
  </si>
  <si>
    <t>El usuario debe ser redirigido a la pantalla de inicio de sesión.</t>
  </si>
  <si>
    <t>CA 02.3</t>
  </si>
  <si>
    <t>Una vez cerrada la sesión, no se debe permitir acceder nuevamente a las funcionalidades del sistema sin iniciar sesión.</t>
  </si>
  <si>
    <t>CA 02.4</t>
  </si>
  <si>
    <t>El sistema debe registrar el cierre de sesión en el historial de actividades.</t>
  </si>
  <si>
    <t>CA 03.1</t>
  </si>
  <si>
    <t>se debe poder agregar un usuario usando un correo válido</t>
  </si>
  <si>
    <t>CA 03.2</t>
  </si>
  <si>
    <t>se debe poder cambiar la información permitida de un usuario</t>
  </si>
  <si>
    <t>CA 03.3</t>
  </si>
  <si>
    <t>se debe poder desactivar un usuario sin borrar su historial</t>
  </si>
  <si>
    <t>CA 03.4</t>
  </si>
  <si>
    <t>no se deben permitir dos usuarios con el mismo correo</t>
  </si>
  <si>
    <t>CA 03.5</t>
  </si>
  <si>
    <t>solo los administradores deben poder gestionar usuarios</t>
  </si>
  <si>
    <t>CA 04.1</t>
  </si>
  <si>
    <t>se deben poder adjuntar documentos en formato .doc, .docx y .pdf</t>
  </si>
  <si>
    <t>CA 04.2</t>
  </si>
  <si>
    <t>antes de enviar, los campos obligatorios deben estar completos</t>
  </si>
  <si>
    <t>CA 04.3</t>
  </si>
  <si>
    <t>después de registrarlo, el documento debe aparecer entre las solicitudes del emisor</t>
  </si>
  <si>
    <t>CA 04.4</t>
  </si>
  <si>
    <t>el emisor debe poder ver el estado actual del documento</t>
  </si>
  <si>
    <t>CA 04.5</t>
  </si>
  <si>
    <t>al registrarlo correctamente, se debe mostrar una confirmación</t>
  </si>
  <si>
    <t>CA 05.1</t>
  </si>
  <si>
    <t>el revisor debe poder visualizar una lista de documentos pendientes de revisión</t>
  </si>
  <si>
    <t>CA 05.2</t>
  </si>
  <si>
    <t>cada documento en la lista debe mostrar información relevante: nombre, emisor, fecha y estado</t>
  </si>
  <si>
    <t>CA 05.3</t>
  </si>
  <si>
    <t>el revisor debe poder seleccionar un documento para revisar su contenido y antecedentes</t>
  </si>
  <si>
    <t>CA 05.4</t>
  </si>
  <si>
    <t>solo deben mostrarse como pendientes los documentos que requieren una revisión humana</t>
  </si>
  <si>
    <t>CA 05.5</t>
  </si>
  <si>
    <t>el sistema debe permitir aprobar, rechazar o solicitar correcciones</t>
  </si>
  <si>
    <t>CA 05.6</t>
  </si>
  <si>
    <t>una vez realizada la revisión, el documento debe actualizar su estado y dejar registro inmutable en el historial</t>
  </si>
  <si>
    <t>CA 06.1</t>
  </si>
  <si>
    <t>solo el revisor asignado debe poder aprobar la solicitud</t>
  </si>
  <si>
    <t>CA 06.2</t>
  </si>
  <si>
    <t>antes de aprobar, se debe pedir una confirmación</t>
  </si>
  <si>
    <t>CA 06.3</t>
  </si>
  <si>
    <t>al aprobar, la solicitud debe avanzar al siguiente estado correspondiente</t>
  </si>
  <si>
    <t>CA 06.4</t>
  </si>
  <si>
    <t>la aprobación debe quedar registrada con la fecha y el usuario que la realizó</t>
  </si>
  <si>
    <t>CA 06.5</t>
  </si>
  <si>
    <t>el emisor debe recibir una notificación del cambio</t>
  </si>
  <si>
    <t>CA 07.1</t>
  </si>
  <si>
    <t>solo el revisor asignado debe poder rechazar la solicitud</t>
  </si>
  <si>
    <t>CA 07.2</t>
  </si>
  <si>
    <t>debe ser obligatorio escribir el motivo del rechazo</t>
  </si>
  <si>
    <t>CA 07.3</t>
  </si>
  <si>
    <t>antes de rechazar, se debe pedir una confirmación</t>
  </si>
  <si>
    <t>CA 07.4</t>
  </si>
  <si>
    <t>la solicitud debe quedar marcada como rechazada</t>
  </si>
  <si>
    <t>CA 07.5</t>
  </si>
  <si>
    <t>el emisor debe recibir una notificación con el motivo</t>
  </si>
  <si>
    <t>CA 08.1</t>
  </si>
  <si>
    <t>solo el revisor asignado debe poder pedir correcciones</t>
  </si>
  <si>
    <t>CA 08.2</t>
  </si>
  <si>
    <t>debe ser obligatorio escribir al menos una observación</t>
  </si>
  <si>
    <t>CA 08.3</t>
  </si>
  <si>
    <t>las observaciones deben quedar visibles para el emisor</t>
  </si>
  <si>
    <t>CA 08.4</t>
  </si>
  <si>
    <t>la solicitud debe quedar marcada como pendiente de corrección</t>
  </si>
  <si>
    <t>CA 08.5</t>
  </si>
  <si>
    <t>el emisor debe recibir una notificación</t>
  </si>
  <si>
    <t>CA 09.1</t>
  </si>
  <si>
    <t>las observaciones deben mostrarse dentro de la solicitud correspondiente</t>
  </si>
  <si>
    <t>CA 09.2</t>
  </si>
  <si>
    <t>el usuario debe poder identificar qué información o documento debe corregir</t>
  </si>
  <si>
    <t>CA 09.3</t>
  </si>
  <si>
    <t>las observaciones deben quedar disponibles mientras la solicitud esté pendiente de corrección</t>
  </si>
  <si>
    <t>CA 09.4</t>
  </si>
  <si>
    <t>el emisor debe poder revisar las observaciones antes de modificar la solicitud</t>
  </si>
  <si>
    <t>CA 09.5</t>
  </si>
  <si>
    <t>solo las personas con acceso a la solicitud deben poder verlas</t>
  </si>
  <si>
    <t>CA 10.1</t>
  </si>
  <si>
    <t>el emisor debe poder ver las observaciones obligatorias del revisor</t>
  </si>
  <si>
    <t>CA 10.2</t>
  </si>
  <si>
    <t>solo se pueden corregir solicitudes que estén pendientes de corrección</t>
  </si>
  <si>
    <t>CA 10.3</t>
  </si>
  <si>
    <t>el emisor debe poder cambiar la información o archivos necesarios</t>
  </si>
  <si>
    <t>CA 10.4</t>
  </si>
  <si>
    <t>antes de volver a enviar, los campos obligatorios deben estar completos</t>
  </si>
  <si>
    <t>CA 10.5</t>
  </si>
  <si>
    <t>al reenviar, la solicitud debe quedar en 'pendiente de revisión'</t>
  </si>
  <si>
    <t>CA 10.6</t>
  </si>
  <si>
    <t>el revisor debe recibir notificación para volver a revisar</t>
  </si>
  <si>
    <t>CA 11.1</t>
  </si>
  <si>
    <t>el historial debe mostrar los cambios en orden cronológico según fecha (creación, envío o aprobación)</t>
  </si>
  <si>
    <t>CA 11.2</t>
  </si>
  <si>
    <t>cada registro debe indicar el estado (aprobado, rechazado o devuelto con observaciones), quién lo realizó y cuándo</t>
  </si>
  <si>
    <t>CA 11.3</t>
  </si>
  <si>
    <t>las observaciones de revisores deben aparecer cuando correspondan</t>
  </si>
  <si>
    <t>CA 11.4</t>
  </si>
  <si>
    <t>solo las personas con acceso a la solicitud deben poder ver su historial</t>
  </si>
  <si>
    <t>CA 11.5</t>
  </si>
  <si>
    <t>la información del historial no debe poder modificarse (inmutable)</t>
  </si>
  <si>
    <t>CA 12.1</t>
  </si>
  <si>
    <t>el usuario debe ver solo sus propias notificaciones</t>
  </si>
  <si>
    <t>CA 12.2</t>
  </si>
  <si>
    <t>cada notificación indica qué ocurrió y a qué solicitud corresponde</t>
  </si>
  <si>
    <t>CA 12.3</t>
  </si>
  <si>
    <t>se debe distinguir entre notificaciones leídas y no leídas</t>
  </si>
  <si>
    <t>CA 12.4</t>
  </si>
  <si>
    <t>al seleccionar una notificación, se debe poder ir a la solicitud relacionada</t>
  </si>
  <si>
    <t>CA 12.5</t>
  </si>
  <si>
    <t>las notificaciones se deben generar ante cambios importantes</t>
  </si>
  <si>
    <t>al momento de crear un usuario, se debe agregar un rut asociado a la nueva cuenta</t>
  </si>
  <si>
    <t>el campo de rut se debe autoformatear a medida que se ingresan los numeros del rut (formato NN.NNN.NNN-N, donde N es un numero o la letra “K”)</t>
  </si>
  <si>
    <t>si se ingresa una “k” minuscula, se debe mostrar en pantalla como “K” mayuscula con el autoformato</t>
  </si>
  <si>
    <t>no debe estar permitido ingresar caracteres diferentes a numeros, la letra “k” o “K”</t>
  </si>
  <si>
    <t>CA 01.5</t>
  </si>
  <si>
    <t>no debe estar permitido ingresar espacios vacios</t>
  </si>
  <si>
    <t>CA 01.6</t>
  </si>
  <si>
    <t>no debe estar permitido ingresar caracteres “de mas”</t>
  </si>
  <si>
    <t>CA 01.7</t>
  </si>
  <si>
    <t>casos en donde no se permite crear una cuenta:</t>
  </si>
  <si>
    <t>CA 01.8</t>
  </si>
  <si>
    <t>rut ingresado no es válido (verificacion por digito verificador)</t>
  </si>
  <si>
    <t>CA 01.9</t>
  </si>
  <si>
    <t>rut ingresado está duplicado</t>
  </si>
  <si>
    <t>CA 01.10</t>
  </si>
  <si>
    <t>si hay algunos de los errores anteriores, mostrar en pantalla un mensaje de error explicativo según sea el caso</t>
  </si>
  <si>
    <t>se debe poder crear una nueva área con un nombre</t>
  </si>
  <si>
    <t>se debe poder cambiar la información de un área existente</t>
  </si>
  <si>
    <t>se debe poder desactivar un área que ya no se utilice</t>
  </si>
  <si>
    <t>no se deben permitir dos áreas con el mismo nombre</t>
  </si>
  <si>
    <t>CA 02.5</t>
  </si>
  <si>
    <t>solo los administradores deben poder realizar estos cambios</t>
  </si>
  <si>
    <t>solo un administrador debe poder realizar esta asignación</t>
  </si>
  <si>
    <t>la persona elegida debe ser un usuario activo</t>
  </si>
  <si>
    <t>debe quedar claro qué área administra cada persona</t>
  </si>
  <si>
    <t>se debe poder cambiar al administrador de un área cuando sea necesario</t>
  </si>
  <si>
    <t>el cambio debe quedar registrado</t>
  </si>
  <si>
    <t>el usuario y el área deben existir antes de realizar la asignación</t>
  </si>
  <si>
    <t>se debe poder elegir el área a la que pertenece un usuario</t>
  </si>
  <si>
    <t>el área asignada debe aparecer en la información del usuario</t>
  </si>
  <si>
    <t>se debe poder cambiar de área a un usuario cuando sea necesario</t>
  </si>
  <si>
    <t>se debe poder crear un flujo con un nombre y asociarlo a un área</t>
  </si>
  <si>
    <t>se deben poder definir los pasos por los que pasará una solicitud</t>
  </si>
  <si>
    <t>se debe poder indicar quién será responsable de revisar en cada paso</t>
  </si>
  <si>
    <t>se debe poder cambiar el orden o la configuración del flujo</t>
  </si>
  <si>
    <t>un flujo incompleto no debe poder utilizarse para nuevas solicitudes</t>
  </si>
  <si>
    <t>se debe poder elegir quién será responsable de revisar cada etapa</t>
  </si>
  <si>
    <t>solo se deben poder seleccionar usuarios que estén disponibles en la plataforma</t>
  </si>
  <si>
    <t>se debe poder cambiar al responsable cuando sea necesario</t>
  </si>
  <si>
    <t>una etapa no debe quedar sin responsable si necesita revisión</t>
  </si>
  <si>
    <t>los cambios deben quedar guardados</t>
  </si>
  <si>
    <t>se debe poder crear y editar roles</t>
  </si>
  <si>
    <t>cada rol debe permitir definir qué acciones puede realizar en la plataforma</t>
  </si>
  <si>
    <t>solo los administradores deben poder cambiar los roles y permisos</t>
  </si>
  <si>
    <t>un usuario no debe poder realizar acciones que no correspondan a su rol</t>
  </si>
  <si>
    <t>los permisos de visualización deben aislar los documentos según el departamento o área corporativa del usuario</t>
  </si>
  <si>
    <t>CA 07.6</t>
  </si>
  <si>
    <t>se debe respetar la jerarquía organizacional: una jefatura puede visualizar documentos de su equipo a cargo, pero no los de su superior directo</t>
  </si>
  <si>
    <t>CA 07.7</t>
  </si>
  <si>
    <t>los cambios de permisos y roles deben quedar guardados y auditables</t>
  </si>
  <si>
    <t>se debe poder configurar un plazo máximo en días hábiles según el tipo de documento (ej. 4 días hábiles para contratos de servicios, 2 días para órdenes de compra)</t>
  </si>
  <si>
    <t>el cálculo del plazo debe iniciar al registrarse o enviarse el documento a revisión</t>
  </si>
  <si>
    <t>el sistema debe mostrar alertas visuales en la bandeja de revisiones pendientes cuando un plazo esté por vencer o vencido</t>
  </si>
  <si>
    <t>el plazo configurado debe aplicar a las decisiones de aprobación, rechazo y solicitud de correcciones</t>
  </si>
  <si>
    <t>solo los administradores deben poder configurar o modificar los plazos</t>
  </si>
  <si>
    <t>la solicitud debe mostrar su información principal</t>
  </si>
  <si>
    <t>se deben poder ver los documentos adjuntos</t>
  </si>
  <si>
    <t>se debe mostrar el estado actual de la solicitud</t>
  </si>
  <si>
    <t>se deben mostrar las observaciones cuando existan</t>
  </si>
  <si>
    <t>solo las personas con acceso a la solicitud deben poder ver su detalle</t>
  </si>
  <si>
    <t>el usuario debe ver solo los documentos que correspondan a su departamento y rol permitido</t>
  </si>
  <si>
    <t>se debe respetar la jerarquía organizacional: las jefaturas acceden a documentos de sus colaboradores directos pero no a los de rangos superiores</t>
  </si>
  <si>
    <t>se debe poder buscar documentos por información relevante</t>
  </si>
  <si>
    <t>se debe poder filtrar por datos como tipo de documento, estado, área o fecha</t>
  </si>
  <si>
    <t>cada resultado debe mostrar información básica del documento incluyendo su código correlativo</t>
  </si>
  <si>
    <t>al seleccionar un documento, se debe poder ver su detalle</t>
  </si>
  <si>
    <t>el usuario debe ver sus solicitudes y aquellas a las que tenga acceso</t>
  </si>
  <si>
    <t>cada solicitud debe mostrar claramente su estado actual y su código correlativo</t>
  </si>
  <si>
    <t>debe indicarse si está pendiente de revisión, necesita correcciones, fue aprobada o fue rechazada</t>
  </si>
  <si>
    <t>al seleccionar una solicitud, se debe poder ver su detalle e historial inmutable</t>
  </si>
  <si>
    <t>los cambios de estado deben verse reflejados en la consulta</t>
  </si>
  <si>
    <t>solo se deben poder descargar documentos a los que el usuario tenga acceso</t>
  </si>
  <si>
    <t>el archivo descargado debe mantener su contenido y formato</t>
  </si>
  <si>
    <t>el nombre del archivo debe conservarse cuando sea posible</t>
  </si>
  <si>
    <t>si el archivo no está disponible, se debe mostrar un mensaje al usuario</t>
  </si>
  <si>
    <t>CA 13.1</t>
  </si>
  <si>
    <t>El usuario debe ingresar su contraseña actual antes de realizar el cambio.</t>
  </si>
  <si>
    <t>CA 13.2</t>
  </si>
  <si>
    <t>El usuario debe ingresar una nueva contraseña y confirmarla.</t>
  </si>
  <si>
    <t>CA 13.3</t>
  </si>
  <si>
    <t>Si la contraseña actual es incorrecta, mostrar el mensaje: “La contraseña actual es incorrecta, inténtelo nuevamente.”</t>
  </si>
  <si>
    <t>CA 13.4</t>
  </si>
  <si>
    <t>La nueva contraseña debe cumplir con los requisitos mínimos de seguridad establecidos por el sistema.</t>
  </si>
  <si>
    <t>CA 13.5</t>
  </si>
  <si>
    <t>Si las contraseñas nuevas no coinciden, mostrar un mensaje indicando que las contraseñas no coinciden.</t>
  </si>
  <si>
    <t>CA 13.6</t>
  </si>
  <si>
    <t>Al cambiar correctamente la contraseña, mostrar un mensaje de confirmación y permitir al usuario continuar utilizando el sistema.</t>
  </si>
  <si>
    <t>CA 14.1</t>
  </si>
  <si>
    <t>se debe mostrar la cantidad de solicitudes pendientes, aprobadas, rechazadas y en corrección</t>
  </si>
  <si>
    <t>CA 14.2</t>
  </si>
  <si>
    <t>se debe poder ver información general por área cuando corresponda</t>
  </si>
  <si>
    <t>CA 14.3</t>
  </si>
  <si>
    <t>la información debe actualizarse según los cambios de las solicitudes</t>
  </si>
  <si>
    <t>CA 14.4</t>
  </si>
  <si>
    <t>cada usuario debe ver solo la información que tenga permitido consultar</t>
  </si>
  <si>
    <t>CA 14.5</t>
  </si>
  <si>
    <t>el resumen debe ser claro y fácil de entender</t>
  </si>
  <si>
    <t>en la página de Login hay un boton o link para ir a la vista “Recuperar Contraseña”</t>
  </si>
  <si>
    <t>se debe ingresar el correo asociado a la cuenta para iniciar el proceso de recuperacion</t>
  </si>
  <si>
    <t>debe llegar al correo un link para recuperar contraseña</t>
  </si>
  <si>
    <t>iniciar el proceso de recuperación no inhabilita la contraseña antigua</t>
  </si>
  <si>
    <t>la nueva contraseña debe cumplir con el estandar de seguridad basico</t>
  </si>
  <si>
    <t>luego de cambiar la contraseña</t>
  </si>
  <si>
    <t>la contraseña antigua no permite hacer login</t>
  </si>
  <si>
    <t>solo se puede hacer login con la nueva contraseña</t>
  </si>
  <si>
    <t>debe quedar registrado en logs</t>
  </si>
  <si>
    <t>quien solicito la recuperacion</t>
  </si>
  <si>
    <t>CA 01.11</t>
  </si>
  <si>
    <t>si tuvo exito en el cambio de contraseña</t>
  </si>
  <si>
    <t>el usuario debe poder elegir una planilla disponible</t>
  </si>
  <si>
    <t>la planilla debe mostrar los campos que debe completar</t>
  </si>
  <si>
    <t>los campos obligatorios deben estar completos antes de enviar</t>
  </si>
  <si>
    <t>se deben poder adjuntar los documentos requeridos</t>
  </si>
  <si>
    <t>al registrar la solicitud, se debe mostrar una confirmación</t>
  </si>
  <si>
    <t>El Emisor debe poder cargar o seleccionar un documento para utilizar la función de autocompletado.</t>
  </si>
  <si>
    <t>La IA debe analizar la información disponible en el documento y proponer los campos que puedan ser completados.</t>
  </si>
  <si>
    <t>El sistema debe mostrar al Emisor los datos sugeridos por la IA antes de guardar el documento.</t>
  </si>
  <si>
    <t>El Emisor debe poder revisar y modificar las sugerencias realizadas por la IA.</t>
  </si>
  <si>
    <t>Si la IA no puede identificar algún dato, el campo debe quedar disponible para completarse manualmente.</t>
  </si>
  <si>
    <t>CA 03.6</t>
  </si>
  <si>
    <t>El documento solo podrá continuar al siguiente proceso después de que el Emisor confirme la información.</t>
  </si>
  <si>
    <t>la evaluación debe corresponder a la solicitud que se está revisando</t>
  </si>
  <si>
    <t>la IA debe mostrar observaciones o datos que puedan ayudar al revisor</t>
  </si>
  <si>
    <t>debe quedar claro que la decisión final corresponde al revisor</t>
  </si>
  <si>
    <t>el revisor debe poder aprobar, rechazar o pedir correcciones aunque la IA sugiera otra cosa</t>
  </si>
  <si>
    <t>si la IA no está disponible, la revisión manual debe seguir funcionando</t>
  </si>
  <si>
    <t>al registrarse una solicitud por primera vez, el documento adjunto debe identificarse automáticamente como versión 1 (v1)</t>
  </si>
  <si>
    <t>cuando una solicitud sea observada y el emisor la reenvíe tras corregirla, el sistema debe incrementar automáticamente el número de versión (ej. versión 2)</t>
  </si>
  <si>
    <t>el historial de la solicitud debe registrar la nueva versión indicando usuario, fecha, motivo de corrección y el archivo adjunto sustituido</t>
  </si>
  <si>
    <t>los usuarios autorizados deben poder visualizar el número de versión actual y acceder a consultar o descargar versiones archivadas anteriores</t>
  </si>
  <si>
    <t>se debe poder indicar un nombre y una descripción para la plantilla</t>
  </si>
  <si>
    <t>se deben poder agregar, cambiar, ordenar y eliminar campos</t>
  </si>
  <si>
    <t>se debe poder indicar cuáles campos son obligatorios</t>
  </si>
  <si>
    <t>antes de guardar, la plantilla debe tener la información mínima necesaria</t>
  </si>
  <si>
    <t>una plantilla disponible debe poder ser utilizada al crear nuevas solicitudes</t>
  </si>
  <si>
    <t>se debe mostrar una lista con las plantillas disponibles</t>
  </si>
  <si>
    <t>se debe poder abrir y modificar una plantilla</t>
  </si>
  <si>
    <t>se debe poder activar o desactivar una plantilla</t>
  </si>
  <si>
    <t>una plantilla desactivada no debe aparecer para nuevas solicitudes</t>
  </si>
  <si>
    <t>las solicitudes antiguas deben conservar la información de la plantilla que utilizaron</t>
  </si>
  <si>
    <t>se debe poder crear, editar y desactivar tipos de documento indicando nombre y descripción</t>
  </si>
  <si>
    <t>cada tipo de documento debe permitir configurar un prefijo de código correlativo único (ej. CONT, MEMO, FAC)</t>
  </si>
  <si>
    <t>en el formulario de registro de solicitudes, se debe incluir como primer campo obligatorio la selección del tipo de documento mediante lista desplegable</t>
  </si>
  <si>
    <t>al guardarse la solicitud, el sistema genera automáticamente un correlativo secuencial único según su tipo (ej. CONT-001, CONT-002)</t>
  </si>
  <si>
    <t>en las listas de revisión, inventario y consulta de solicitudes, se debe mostrar la columna o etiqueta con el tipo de documento y su código correlativo</t>
  </si>
  <si>
    <t>los avisos deben llegar al correo asociado a la cuenta del usuario</t>
  </si>
  <si>
    <t>el correo debe indicar qué ocurrió y a qué solicitud corresponde</t>
  </si>
  <si>
    <t>se deben enviar avisos cuando una solicitud cambie de estado o requiera una acción del usuario</t>
  </si>
  <si>
    <t>si el correo no puede enviarse, la solicitud debe seguir funcionando normalmente</t>
  </si>
  <si>
    <t>el sistema debe guardar que se intentó enviar el aviso</t>
  </si>
  <si>
    <t>el emisor debe recibir notificaciones informativas sobre el avance y resolución de su solicitud (aprobada, rechazada o devuelta con observaciones) haciendo referencia a su código correlativo</t>
  </si>
  <si>
    <t>el revisor debe recibir notificaciones de asignación que indiquen documentos pendientes por revisar</t>
  </si>
  <si>
    <t>las notificaciones se deben generar únicamente cuando ocurra una transición efectiva de estado en la solicitud</t>
  </si>
  <si>
    <t>cada notificación debe incluir enlace directo para abrir el trámite en pantalla</t>
  </si>
  <si>
    <t>N° criterios que verifica cada caso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</si>
</sst>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color theme="1"/>
      <family val="2"/>
      <scheme val="minor"/>
      <sz val="11"/>
      <name val="Calibri"/>
    </font>
    <font>
      <b/>
      <sz val="13"/>
      <name val="Arial"/>
    </font>
    <font>
      <i/>
      <color rgb="FF595959"/>
      <sz val="9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sz val="9"/>
      <name val="Arial"/>
    </font>
    <font>
      <b/>
      <color rgb="FF006100"/>
      <sz val="10"/>
      <name val="Arial"/>
    </font>
    <font>
      <color rgb="FFA6A6A6"/>
      <sz val="9"/>
      <name val="Arial"/>
    </font>
    <font>
      <i/>
      <sz val="9"/>
      <name val="Arial"/>
    </font>
    <font>
      <b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bottom" textRotation="90"/>
    </xf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color rgb="FF006100"/>
      </font>
      <fill>
        <patternFill patternType="solid">
          <fgColor rgb="FFC6EFCE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7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12" customWidth="1"/>
    <col min="3" max="3" width="52" customWidth="1"/>
    <col min="4" max="5" width="12" customWidth="1"/>
    <col min="6" max="6" width="13" customWidth="1"/>
    <col min="7" max="7" width="12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4" spans="2:5" x14ac:dyDescent="0.25">
      <c r="B4" s="3" t="s">
        <v>2</v>
      </c>
      <c r="C4" s="3" t="s">
        <v>3</v>
      </c>
      <c r="D4" s="3" t="s">
        <v>4</v>
      </c>
      <c r="E4" s="3" t="s">
        <v>5</v>
      </c>
    </row>
    <row r="5" spans="2:5" x14ac:dyDescent="0.25">
      <c r="B5" s="4" t="s">
        <v>6</v>
      </c>
      <c r="C5" s="5">
        <f>COUNTIF('Matriz'!$A$4:$A$196,"Sprint 1")</f>
      </c>
      <c r="D5" s="5">
        <f>COUNTIFS('Matriz'!$A$4:$A$196,"Sprint 1",'Matriz'!$F$4:$F$196,1)</f>
      </c>
      <c r="E5" s="6">
        <f>IF(C5=0,0,D5/C5)</f>
      </c>
    </row>
    <row r="6" spans="2:5" x14ac:dyDescent="0.25">
      <c r="B6" s="4" t="s">
        <v>7</v>
      </c>
      <c r="C6" s="5">
        <f>COUNTIF('Matriz'!$A$4:$A$196,"Sprint 2")</f>
      </c>
      <c r="D6" s="5">
        <f>COUNTIFS('Matriz'!$A$4:$A$196,"Sprint 2",'Matriz'!$F$4:$F$196,1)</f>
      </c>
      <c r="E6" s="6">
        <f>IF(C6=0,0,D6/C6)</f>
      </c>
    </row>
    <row r="7" spans="2:5" x14ac:dyDescent="0.25">
      <c r="B7" s="4" t="s">
        <v>8</v>
      </c>
      <c r="C7" s="5">
        <f>COUNTIF('Matriz'!$A$4:$A$196,"Sprint 3")</f>
      </c>
      <c r="D7" s="5">
        <f>COUNTIFS('Matriz'!$A$4:$A$196,"Sprint 3",'Matriz'!$F$4:$F$196,1)</f>
      </c>
      <c r="E7" s="6">
        <f>IF(C7=0,0,D7/C7)</f>
      </c>
    </row>
    <row r="8" spans="2:5" x14ac:dyDescent="0.25">
      <c r="B8" s="7" t="s">
        <v>9</v>
      </c>
      <c r="C8" s="8">
        <f>SUM(C5:C7)</f>
      </c>
      <c r="D8" s="8">
        <f>SUM(D5:D7)</f>
      </c>
      <c r="E8" s="9">
        <f>IF(C8=0,0,D8/C8)</f>
      </c>
    </row>
    <row r="10" spans="2:2" x14ac:dyDescent="0.25">
      <c r="B10" s="10" t="s">
        <v>10</v>
      </c>
    </row>
    <row r="11" spans="2:7" x14ac:dyDescent="0.25">
      <c r="B11" s="3" t="s">
        <v>11</v>
      </c>
      <c r="C11" s="3" t="s">
        <v>12</v>
      </c>
      <c r="D11" s="3" t="s">
        <v>3</v>
      </c>
      <c r="E11" s="3" t="s">
        <v>4</v>
      </c>
      <c r="F11" s="3" t="s">
        <v>5</v>
      </c>
      <c r="G11" s="3" t="s">
        <v>13</v>
      </c>
    </row>
    <row r="12" spans="2:7" x14ac:dyDescent="0.25">
      <c r="B12" s="4" t="s">
        <v>6</v>
      </c>
      <c r="C12" s="4" t="s">
        <v>14</v>
      </c>
      <c r="D12" s="5">
        <f>COUNTIF('Matriz'!$B$4:$B$196,C12)</f>
      </c>
      <c r="E12" s="5">
        <f>COUNTIFS('Matriz'!$B$4:$B$196,C12,'Matriz'!$F$4:$F$196,1)</f>
      </c>
      <c r="F12" s="6">
        <f>IF(D12=0,0,E12/D12)</f>
      </c>
      <c r="G12" s="5">
        <f>SUMIF('Matriz'!$B$4:$B$196,C12,'Matriz'!$E$4:$E$196)</f>
      </c>
    </row>
    <row r="13" spans="2:7" x14ac:dyDescent="0.25">
      <c r="B13" s="4" t="s">
        <v>6</v>
      </c>
      <c r="C13" s="4" t="s">
        <v>15</v>
      </c>
      <c r="D13" s="5">
        <f>COUNTIF('Matriz'!$B$4:$B$196,C13)</f>
      </c>
      <c r="E13" s="5">
        <f>COUNTIFS('Matriz'!$B$4:$B$196,C13,'Matriz'!$F$4:$F$196,1)</f>
      </c>
      <c r="F13" s="6">
        <f>IF(D13=0,0,E13/D13)</f>
      </c>
      <c r="G13" s="5">
        <f>SUMIF('Matriz'!$B$4:$B$196,C13,'Matriz'!$E$4:$E$196)</f>
      </c>
    </row>
    <row r="14" spans="2:7" x14ac:dyDescent="0.25">
      <c r="B14" s="4" t="s">
        <v>6</v>
      </c>
      <c r="C14" s="4" t="s">
        <v>16</v>
      </c>
      <c r="D14" s="5">
        <f>COUNTIF('Matriz'!$B$4:$B$196,C14)</f>
      </c>
      <c r="E14" s="5">
        <f>COUNTIFS('Matriz'!$B$4:$B$196,C14,'Matriz'!$F$4:$F$196,1)</f>
      </c>
      <c r="F14" s="6">
        <f>IF(D14=0,0,E14/D14)</f>
      </c>
      <c r="G14" s="5">
        <f>SUMIF('Matriz'!$B$4:$B$196,C14,'Matriz'!$E$4:$E$196)</f>
      </c>
    </row>
    <row r="15" spans="2:7" x14ac:dyDescent="0.25">
      <c r="B15" s="4" t="s">
        <v>6</v>
      </c>
      <c r="C15" s="4" t="s">
        <v>17</v>
      </c>
      <c r="D15" s="5">
        <f>COUNTIF('Matriz'!$B$4:$B$196,C15)</f>
      </c>
      <c r="E15" s="5">
        <f>COUNTIFS('Matriz'!$B$4:$B$196,C15,'Matriz'!$F$4:$F$196,1)</f>
      </c>
      <c r="F15" s="6">
        <f>IF(D15=0,0,E15/D15)</f>
      </c>
      <c r="G15" s="5">
        <f>SUMIF('Matriz'!$B$4:$B$196,C15,'Matriz'!$E$4:$E$196)</f>
      </c>
    </row>
    <row r="16" spans="2:7" x14ac:dyDescent="0.25">
      <c r="B16" s="4" t="s">
        <v>6</v>
      </c>
      <c r="C16" s="4" t="s">
        <v>18</v>
      </c>
      <c r="D16" s="5">
        <f>COUNTIF('Matriz'!$B$4:$B$196,C16)</f>
      </c>
      <c r="E16" s="5">
        <f>COUNTIFS('Matriz'!$B$4:$B$196,C16,'Matriz'!$F$4:$F$196,1)</f>
      </c>
      <c r="F16" s="6">
        <f>IF(D16=0,0,E16/D16)</f>
      </c>
      <c r="G16" s="5">
        <f>SUMIF('Matriz'!$B$4:$B$196,C16,'Matriz'!$E$4:$E$196)</f>
      </c>
    </row>
    <row r="17" spans="2:7" x14ac:dyDescent="0.25">
      <c r="B17" s="4" t="s">
        <v>6</v>
      </c>
      <c r="C17" s="4" t="s">
        <v>19</v>
      </c>
      <c r="D17" s="5">
        <f>COUNTIF('Matriz'!$B$4:$B$196,C17)</f>
      </c>
      <c r="E17" s="5">
        <f>COUNTIFS('Matriz'!$B$4:$B$196,C17,'Matriz'!$F$4:$F$196,1)</f>
      </c>
      <c r="F17" s="6">
        <f>IF(D17=0,0,E17/D17)</f>
      </c>
      <c r="G17" s="5">
        <f>SUMIF('Matriz'!$B$4:$B$196,C17,'Matriz'!$E$4:$E$196)</f>
      </c>
    </row>
    <row r="18" spans="2:7" x14ac:dyDescent="0.25">
      <c r="B18" s="4" t="s">
        <v>6</v>
      </c>
      <c r="C18" s="4" t="s">
        <v>20</v>
      </c>
      <c r="D18" s="5">
        <f>COUNTIF('Matriz'!$B$4:$B$196,C18)</f>
      </c>
      <c r="E18" s="5">
        <f>COUNTIFS('Matriz'!$B$4:$B$196,C18,'Matriz'!$F$4:$F$196,1)</f>
      </c>
      <c r="F18" s="6">
        <f>IF(D18=0,0,E18/D18)</f>
      </c>
      <c r="G18" s="5">
        <f>SUMIF('Matriz'!$B$4:$B$196,C18,'Matriz'!$E$4:$E$196)</f>
      </c>
    </row>
    <row r="19" spans="2:7" x14ac:dyDescent="0.25">
      <c r="B19" s="4" t="s">
        <v>6</v>
      </c>
      <c r="C19" s="4" t="s">
        <v>21</v>
      </c>
      <c r="D19" s="5">
        <f>COUNTIF('Matriz'!$B$4:$B$196,C19)</f>
      </c>
      <c r="E19" s="5">
        <f>COUNTIFS('Matriz'!$B$4:$B$196,C19,'Matriz'!$F$4:$F$196,1)</f>
      </c>
      <c r="F19" s="6">
        <f>IF(D19=0,0,E19/D19)</f>
      </c>
      <c r="G19" s="5">
        <f>SUMIF('Matriz'!$B$4:$B$196,C19,'Matriz'!$E$4:$E$196)</f>
      </c>
    </row>
    <row r="20" spans="2:7" x14ac:dyDescent="0.25">
      <c r="B20" s="4" t="s">
        <v>6</v>
      </c>
      <c r="C20" s="4" t="s">
        <v>22</v>
      </c>
      <c r="D20" s="5">
        <f>COUNTIF('Matriz'!$B$4:$B$196,C20)</f>
      </c>
      <c r="E20" s="5">
        <f>COUNTIFS('Matriz'!$B$4:$B$196,C20,'Matriz'!$F$4:$F$196,1)</f>
      </c>
      <c r="F20" s="6">
        <f>IF(D20=0,0,E20/D20)</f>
      </c>
      <c r="G20" s="5">
        <f>SUMIF('Matriz'!$B$4:$B$196,C20,'Matriz'!$E$4:$E$196)</f>
      </c>
    </row>
    <row r="21" spans="2:7" x14ac:dyDescent="0.25">
      <c r="B21" s="4" t="s">
        <v>6</v>
      </c>
      <c r="C21" s="4" t="s">
        <v>23</v>
      </c>
      <c r="D21" s="5">
        <f>COUNTIF('Matriz'!$B$4:$B$196,C21)</f>
      </c>
      <c r="E21" s="5">
        <f>COUNTIFS('Matriz'!$B$4:$B$196,C21,'Matriz'!$F$4:$F$196,1)</f>
      </c>
      <c r="F21" s="6">
        <f>IF(D21=0,0,E21/D21)</f>
      </c>
      <c r="G21" s="5">
        <f>SUMIF('Matriz'!$B$4:$B$196,C21,'Matriz'!$E$4:$E$196)</f>
      </c>
    </row>
    <row r="22" spans="2:7" x14ac:dyDescent="0.25">
      <c r="B22" s="4" t="s">
        <v>6</v>
      </c>
      <c r="C22" s="4" t="s">
        <v>24</v>
      </c>
      <c r="D22" s="5">
        <f>COUNTIF('Matriz'!$B$4:$B$196,C22)</f>
      </c>
      <c r="E22" s="5">
        <f>COUNTIFS('Matriz'!$B$4:$B$196,C22,'Matriz'!$F$4:$F$196,1)</f>
      </c>
      <c r="F22" s="6">
        <f>IF(D22=0,0,E22/D22)</f>
      </c>
      <c r="G22" s="5">
        <f>SUMIF('Matriz'!$B$4:$B$196,C22,'Matriz'!$E$4:$E$196)</f>
      </c>
    </row>
    <row r="23" spans="2:7" x14ac:dyDescent="0.25">
      <c r="B23" s="4" t="s">
        <v>6</v>
      </c>
      <c r="C23" s="4" t="s">
        <v>25</v>
      </c>
      <c r="D23" s="5">
        <f>COUNTIF('Matriz'!$B$4:$B$196,C23)</f>
      </c>
      <c r="E23" s="5">
        <f>COUNTIFS('Matriz'!$B$4:$B$196,C23,'Matriz'!$F$4:$F$196,1)</f>
      </c>
      <c r="F23" s="6">
        <f>IF(D23=0,0,E23/D23)</f>
      </c>
      <c r="G23" s="5">
        <f>SUMIF('Matriz'!$B$4:$B$196,C23,'Matriz'!$E$4:$E$196)</f>
      </c>
    </row>
    <row r="24" spans="2:7" x14ac:dyDescent="0.25">
      <c r="B24" s="4" t="s">
        <v>7</v>
      </c>
      <c r="C24" s="4" t="s">
        <v>26</v>
      </c>
      <c r="D24" s="5">
        <f>COUNTIF('Matriz'!$B$4:$B$196,C24)</f>
      </c>
      <c r="E24" s="5">
        <f>COUNTIFS('Matriz'!$B$4:$B$196,C24,'Matriz'!$F$4:$F$196,1)</f>
      </c>
      <c r="F24" s="6">
        <f>IF(D24=0,0,E24/D24)</f>
      </c>
      <c r="G24" s="5">
        <f>SUMIF('Matriz'!$B$4:$B$196,C24,'Matriz'!$E$4:$E$196)</f>
      </c>
    </row>
    <row r="25" spans="2:7" x14ac:dyDescent="0.25">
      <c r="B25" s="4" t="s">
        <v>7</v>
      </c>
      <c r="C25" s="4" t="s">
        <v>27</v>
      </c>
      <c r="D25" s="5">
        <f>COUNTIF('Matriz'!$B$4:$B$196,C25)</f>
      </c>
      <c r="E25" s="5">
        <f>COUNTIFS('Matriz'!$B$4:$B$196,C25,'Matriz'!$F$4:$F$196,1)</f>
      </c>
      <c r="F25" s="6">
        <f>IF(D25=0,0,E25/D25)</f>
      </c>
      <c r="G25" s="5">
        <f>SUMIF('Matriz'!$B$4:$B$196,C25,'Matriz'!$E$4:$E$196)</f>
      </c>
    </row>
    <row r="26" spans="2:7" x14ac:dyDescent="0.25">
      <c r="B26" s="4" t="s">
        <v>7</v>
      </c>
      <c r="C26" s="4" t="s">
        <v>28</v>
      </c>
      <c r="D26" s="5">
        <f>COUNTIF('Matriz'!$B$4:$B$196,C26)</f>
      </c>
      <c r="E26" s="5">
        <f>COUNTIFS('Matriz'!$B$4:$B$196,C26,'Matriz'!$F$4:$F$196,1)</f>
      </c>
      <c r="F26" s="6">
        <f>IF(D26=0,0,E26/D26)</f>
      </c>
      <c r="G26" s="5">
        <f>SUMIF('Matriz'!$B$4:$B$196,C26,'Matriz'!$E$4:$E$196)</f>
      </c>
    </row>
    <row r="27" spans="2:7" x14ac:dyDescent="0.25">
      <c r="B27" s="4" t="s">
        <v>7</v>
      </c>
      <c r="C27" s="4" t="s">
        <v>29</v>
      </c>
      <c r="D27" s="5">
        <f>COUNTIF('Matriz'!$B$4:$B$196,C27)</f>
      </c>
      <c r="E27" s="5">
        <f>COUNTIFS('Matriz'!$B$4:$B$196,C27,'Matriz'!$F$4:$F$196,1)</f>
      </c>
      <c r="F27" s="6">
        <f>IF(D27=0,0,E27/D27)</f>
      </c>
      <c r="G27" s="5">
        <f>SUMIF('Matriz'!$B$4:$B$196,C27,'Matriz'!$E$4:$E$196)</f>
      </c>
    </row>
    <row r="28" spans="2:7" x14ac:dyDescent="0.25">
      <c r="B28" s="4" t="s">
        <v>7</v>
      </c>
      <c r="C28" s="4" t="s">
        <v>30</v>
      </c>
      <c r="D28" s="5">
        <f>COUNTIF('Matriz'!$B$4:$B$196,C28)</f>
      </c>
      <c r="E28" s="5">
        <f>COUNTIFS('Matriz'!$B$4:$B$196,C28,'Matriz'!$F$4:$F$196,1)</f>
      </c>
      <c r="F28" s="6">
        <f>IF(D28=0,0,E28/D28)</f>
      </c>
      <c r="G28" s="5">
        <f>SUMIF('Matriz'!$B$4:$B$196,C28,'Matriz'!$E$4:$E$196)</f>
      </c>
    </row>
    <row r="29" spans="2:7" x14ac:dyDescent="0.25">
      <c r="B29" s="4" t="s">
        <v>7</v>
      </c>
      <c r="C29" s="4" t="s">
        <v>31</v>
      </c>
      <c r="D29" s="5">
        <f>COUNTIF('Matriz'!$B$4:$B$196,C29)</f>
      </c>
      <c r="E29" s="5">
        <f>COUNTIFS('Matriz'!$B$4:$B$196,C29,'Matriz'!$F$4:$F$196,1)</f>
      </c>
      <c r="F29" s="6">
        <f>IF(D29=0,0,E29/D29)</f>
      </c>
      <c r="G29" s="5">
        <f>SUMIF('Matriz'!$B$4:$B$196,C29,'Matriz'!$E$4:$E$196)</f>
      </c>
    </row>
    <row r="30" spans="2:7" x14ac:dyDescent="0.25">
      <c r="B30" s="4" t="s">
        <v>7</v>
      </c>
      <c r="C30" s="4" t="s">
        <v>32</v>
      </c>
      <c r="D30" s="5">
        <f>COUNTIF('Matriz'!$B$4:$B$196,C30)</f>
      </c>
      <c r="E30" s="5">
        <f>COUNTIFS('Matriz'!$B$4:$B$196,C30,'Matriz'!$F$4:$F$196,1)</f>
      </c>
      <c r="F30" s="6">
        <f>IF(D30=0,0,E30/D30)</f>
      </c>
      <c r="G30" s="5">
        <f>SUMIF('Matriz'!$B$4:$B$196,C30,'Matriz'!$E$4:$E$196)</f>
      </c>
    </row>
    <row r="31" spans="2:7" x14ac:dyDescent="0.25">
      <c r="B31" s="4" t="s">
        <v>7</v>
      </c>
      <c r="C31" s="4" t="s">
        <v>33</v>
      </c>
      <c r="D31" s="5">
        <f>COUNTIF('Matriz'!$B$4:$B$196,C31)</f>
      </c>
      <c r="E31" s="5">
        <f>COUNTIFS('Matriz'!$B$4:$B$196,C31,'Matriz'!$F$4:$F$196,1)</f>
      </c>
      <c r="F31" s="6">
        <f>IF(D31=0,0,E31/D31)</f>
      </c>
      <c r="G31" s="5">
        <f>SUMIF('Matriz'!$B$4:$B$196,C31,'Matriz'!$E$4:$E$196)</f>
      </c>
    </row>
    <row r="32" spans="2:7" x14ac:dyDescent="0.25">
      <c r="B32" s="4" t="s">
        <v>7</v>
      </c>
      <c r="C32" s="4" t="s">
        <v>34</v>
      </c>
      <c r="D32" s="5">
        <f>COUNTIF('Matriz'!$B$4:$B$196,C32)</f>
      </c>
      <c r="E32" s="5">
        <f>COUNTIFS('Matriz'!$B$4:$B$196,C32,'Matriz'!$F$4:$F$196,1)</f>
      </c>
      <c r="F32" s="6">
        <f>IF(D32=0,0,E32/D32)</f>
      </c>
      <c r="G32" s="5">
        <f>SUMIF('Matriz'!$B$4:$B$196,C32,'Matriz'!$E$4:$E$196)</f>
      </c>
    </row>
    <row r="33" spans="2:7" x14ac:dyDescent="0.25">
      <c r="B33" s="4" t="s">
        <v>7</v>
      </c>
      <c r="C33" s="4" t="s">
        <v>35</v>
      </c>
      <c r="D33" s="5">
        <f>COUNTIF('Matriz'!$B$4:$B$196,C33)</f>
      </c>
      <c r="E33" s="5">
        <f>COUNTIFS('Matriz'!$B$4:$B$196,C33,'Matriz'!$F$4:$F$196,1)</f>
      </c>
      <c r="F33" s="6">
        <f>IF(D33=0,0,E33/D33)</f>
      </c>
      <c r="G33" s="5">
        <f>SUMIF('Matriz'!$B$4:$B$196,C33,'Matriz'!$E$4:$E$196)</f>
      </c>
    </row>
    <row r="34" spans="2:7" x14ac:dyDescent="0.25">
      <c r="B34" s="4" t="s">
        <v>7</v>
      </c>
      <c r="C34" s="4" t="s">
        <v>36</v>
      </c>
      <c r="D34" s="5">
        <f>COUNTIF('Matriz'!$B$4:$B$196,C34)</f>
      </c>
      <c r="E34" s="5">
        <f>COUNTIFS('Matriz'!$B$4:$B$196,C34,'Matriz'!$F$4:$F$196,1)</f>
      </c>
      <c r="F34" s="6">
        <f>IF(D34=0,0,E34/D34)</f>
      </c>
      <c r="G34" s="5">
        <f>SUMIF('Matriz'!$B$4:$B$196,C34,'Matriz'!$E$4:$E$196)</f>
      </c>
    </row>
    <row r="35" spans="2:7" x14ac:dyDescent="0.25">
      <c r="B35" s="4" t="s">
        <v>7</v>
      </c>
      <c r="C35" s="4" t="s">
        <v>37</v>
      </c>
      <c r="D35" s="5">
        <f>COUNTIF('Matriz'!$B$4:$B$196,C35)</f>
      </c>
      <c r="E35" s="5">
        <f>COUNTIFS('Matriz'!$B$4:$B$196,C35,'Matriz'!$F$4:$F$196,1)</f>
      </c>
      <c r="F35" s="6">
        <f>IF(D35=0,0,E35/D35)</f>
      </c>
      <c r="G35" s="5">
        <f>SUMIF('Matriz'!$B$4:$B$196,C35,'Matriz'!$E$4:$E$196)</f>
      </c>
    </row>
    <row r="36" spans="2:7" x14ac:dyDescent="0.25">
      <c r="B36" s="4" t="s">
        <v>7</v>
      </c>
      <c r="C36" s="4" t="s">
        <v>38</v>
      </c>
      <c r="D36" s="5">
        <f>COUNTIF('Matriz'!$B$4:$B$196,C36)</f>
      </c>
      <c r="E36" s="5">
        <f>COUNTIFS('Matriz'!$B$4:$B$196,C36,'Matriz'!$F$4:$F$196,1)</f>
      </c>
      <c r="F36" s="6">
        <f>IF(D36=0,0,E36/D36)</f>
      </c>
      <c r="G36" s="5">
        <f>SUMIF('Matriz'!$B$4:$B$196,C36,'Matriz'!$E$4:$E$196)</f>
      </c>
    </row>
    <row r="37" spans="2:7" x14ac:dyDescent="0.25">
      <c r="B37" s="4" t="s">
        <v>7</v>
      </c>
      <c r="C37" s="4" t="s">
        <v>39</v>
      </c>
      <c r="D37" s="5">
        <f>COUNTIF('Matriz'!$B$4:$B$196,C37)</f>
      </c>
      <c r="E37" s="5">
        <f>COUNTIFS('Matriz'!$B$4:$B$196,C37,'Matriz'!$F$4:$F$196,1)</f>
      </c>
      <c r="F37" s="6">
        <f>IF(D37=0,0,E37/D37)</f>
      </c>
      <c r="G37" s="5">
        <f>SUMIF('Matriz'!$B$4:$B$196,C37,'Matriz'!$E$4:$E$196)</f>
      </c>
    </row>
    <row r="38" spans="2:7" x14ac:dyDescent="0.25">
      <c r="B38" s="4" t="s">
        <v>8</v>
      </c>
      <c r="C38" s="4" t="s">
        <v>40</v>
      </c>
      <c r="D38" s="5">
        <f>COUNTIF('Matriz'!$B$4:$B$196,C38)</f>
      </c>
      <c r="E38" s="5">
        <f>COUNTIFS('Matriz'!$B$4:$B$196,C38,'Matriz'!$F$4:$F$196,1)</f>
      </c>
      <c r="F38" s="6">
        <f>IF(D38=0,0,E38/D38)</f>
      </c>
      <c r="G38" s="5">
        <f>SUMIF('Matriz'!$B$4:$B$196,C38,'Matriz'!$E$4:$E$196)</f>
      </c>
    </row>
    <row r="39" spans="2:7" x14ac:dyDescent="0.25">
      <c r="B39" s="4" t="s">
        <v>8</v>
      </c>
      <c r="C39" s="4" t="s">
        <v>41</v>
      </c>
      <c r="D39" s="5">
        <f>COUNTIF('Matriz'!$B$4:$B$196,C39)</f>
      </c>
      <c r="E39" s="5">
        <f>COUNTIFS('Matriz'!$B$4:$B$196,C39,'Matriz'!$F$4:$F$196,1)</f>
      </c>
      <c r="F39" s="6">
        <f>IF(D39=0,0,E39/D39)</f>
      </c>
      <c r="G39" s="5">
        <f>SUMIF('Matriz'!$B$4:$B$196,C39,'Matriz'!$E$4:$E$196)</f>
      </c>
    </row>
    <row r="40" spans="2:7" x14ac:dyDescent="0.25">
      <c r="B40" s="4" t="s">
        <v>8</v>
      </c>
      <c r="C40" s="4" t="s">
        <v>42</v>
      </c>
      <c r="D40" s="5">
        <f>COUNTIF('Matriz'!$B$4:$B$196,C40)</f>
      </c>
      <c r="E40" s="5">
        <f>COUNTIFS('Matriz'!$B$4:$B$196,C40,'Matriz'!$F$4:$F$196,1)</f>
      </c>
      <c r="F40" s="6">
        <f>IF(D40=0,0,E40/D40)</f>
      </c>
      <c r="G40" s="5">
        <f>SUMIF('Matriz'!$B$4:$B$196,C40,'Matriz'!$E$4:$E$196)</f>
      </c>
    </row>
    <row r="41" spans="2:7" x14ac:dyDescent="0.25">
      <c r="B41" s="4" t="s">
        <v>8</v>
      </c>
      <c r="C41" s="4" t="s">
        <v>43</v>
      </c>
      <c r="D41" s="5">
        <f>COUNTIF('Matriz'!$B$4:$B$196,C41)</f>
      </c>
      <c r="E41" s="5">
        <f>COUNTIFS('Matriz'!$B$4:$B$196,C41,'Matriz'!$F$4:$F$196,1)</f>
      </c>
      <c r="F41" s="6">
        <f>IF(D41=0,0,E41/D41)</f>
      </c>
      <c r="G41" s="5">
        <f>SUMIF('Matriz'!$B$4:$B$196,C41,'Matriz'!$E$4:$E$196)</f>
      </c>
    </row>
    <row r="42" spans="2:7" x14ac:dyDescent="0.25">
      <c r="B42" s="4" t="s">
        <v>8</v>
      </c>
      <c r="C42" s="4" t="s">
        <v>44</v>
      </c>
      <c r="D42" s="5">
        <f>COUNTIF('Matriz'!$B$4:$B$196,C42)</f>
      </c>
      <c r="E42" s="5">
        <f>COUNTIFS('Matriz'!$B$4:$B$196,C42,'Matriz'!$F$4:$F$196,1)</f>
      </c>
      <c r="F42" s="6">
        <f>IF(D42=0,0,E42/D42)</f>
      </c>
      <c r="G42" s="5">
        <f>SUMIF('Matriz'!$B$4:$B$196,C42,'Matriz'!$E$4:$E$196)</f>
      </c>
    </row>
    <row r="43" spans="2:7" x14ac:dyDescent="0.25">
      <c r="B43" s="4" t="s">
        <v>8</v>
      </c>
      <c r="C43" s="4" t="s">
        <v>45</v>
      </c>
      <c r="D43" s="5">
        <f>COUNTIF('Matriz'!$B$4:$B$196,C43)</f>
      </c>
      <c r="E43" s="5">
        <f>COUNTIFS('Matriz'!$B$4:$B$196,C43,'Matriz'!$F$4:$F$196,1)</f>
      </c>
      <c r="F43" s="6">
        <f>IF(D43=0,0,E43/D43)</f>
      </c>
      <c r="G43" s="5">
        <f>SUMIF('Matriz'!$B$4:$B$196,C43,'Matriz'!$E$4:$E$196)</f>
      </c>
    </row>
    <row r="44" spans="2:7" x14ac:dyDescent="0.25">
      <c r="B44" s="4" t="s">
        <v>8</v>
      </c>
      <c r="C44" s="4" t="s">
        <v>46</v>
      </c>
      <c r="D44" s="5">
        <f>COUNTIF('Matriz'!$B$4:$B$196,C44)</f>
      </c>
      <c r="E44" s="5">
        <f>COUNTIFS('Matriz'!$B$4:$B$196,C44,'Matriz'!$F$4:$F$196,1)</f>
      </c>
      <c r="F44" s="6">
        <f>IF(D44=0,0,E44/D44)</f>
      </c>
      <c r="G44" s="5">
        <f>SUMIF('Matriz'!$B$4:$B$196,C44,'Matriz'!$E$4:$E$196)</f>
      </c>
    </row>
    <row r="45" spans="2:7" x14ac:dyDescent="0.25">
      <c r="B45" s="4" t="s">
        <v>8</v>
      </c>
      <c r="C45" s="4" t="s">
        <v>47</v>
      </c>
      <c r="D45" s="5">
        <f>COUNTIF('Matriz'!$B$4:$B$196,C45)</f>
      </c>
      <c r="E45" s="5">
        <f>COUNTIFS('Matriz'!$B$4:$B$196,C45,'Matriz'!$F$4:$F$196,1)</f>
      </c>
      <c r="F45" s="6">
        <f>IF(D45=0,0,E45/D45)</f>
      </c>
      <c r="G45" s="5">
        <f>SUMIF('Matriz'!$B$4:$B$196,C45,'Matriz'!$E$4:$E$196)</f>
      </c>
    </row>
    <row r="46" spans="2:7" x14ac:dyDescent="0.25">
      <c r="B46" s="4" t="s">
        <v>8</v>
      </c>
      <c r="C46" s="4" t="s">
        <v>48</v>
      </c>
      <c r="D46" s="5">
        <f>COUNTIF('Matriz'!$B$4:$B$196,C46)</f>
      </c>
      <c r="E46" s="5">
        <f>COUNTIFS('Matriz'!$B$4:$B$196,C46,'Matriz'!$F$4:$F$196,1)</f>
      </c>
      <c r="F46" s="6">
        <f>IF(D46=0,0,E46/D46)</f>
      </c>
      <c r="G46" s="5">
        <f>SUMIF('Matriz'!$B$4:$B$196,C46,'Matriz'!$E$4:$E$196)</f>
      </c>
    </row>
    <row r="47" spans="2:7" x14ac:dyDescent="0.25">
      <c r="B47" s="4" t="s">
        <v>8</v>
      </c>
      <c r="C47" s="4" t="s">
        <v>49</v>
      </c>
      <c r="D47" s="5">
        <f>COUNTIF('Matriz'!$B$4:$B$196,C47)</f>
      </c>
      <c r="E47" s="5">
        <f>COUNTIFS('Matriz'!$B$4:$B$196,C47,'Matriz'!$F$4:$F$196,1)</f>
      </c>
      <c r="F47" s="6">
        <f>IF(D47=0,0,E47/D47)</f>
      </c>
      <c r="G47" s="5">
        <f>SUMIF('Matriz'!$B$4:$B$196,C47,'Matriz'!$E$4:$E$196)</f>
      </c>
    </row>
  </sheetData>
  <conditionalFormatting sqref="E5:E8">
    <cfRule type="cellIs" dxfId="0" priority="10" operator="greaterThanOrEqual">
      <formula>1</formula>
    </cfRule>
    <cfRule type="cellIs" dxfId="1" priority="11" operator="lessThan">
      <formula>1</formula>
    </cfRule>
  </conditionalFormatting>
  <conditionalFormatting sqref="F12:F47">
    <cfRule type="cellIs" dxfId="2" priority="12" operator="greaterThanOrEqual">
      <formula>1</formula>
    </cfRule>
    <cfRule type="cellIs" dxfId="3" priority="13" operator="lessThan">
      <formula>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97"/>
  <sheetViews>
    <sheetView workbookViewId="0" showGridLines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2" max="2" width="36" customWidth="1"/>
    <col min="3" max="3" width="8" customWidth="1"/>
    <col min="4" max="4" width="46" customWidth="1"/>
    <col min="5" max="5" width="8" customWidth="1"/>
    <col min="7" max="136" width="3.6" customWidth="1"/>
  </cols>
  <sheetData>
    <row r="1" spans="1:1" x14ac:dyDescent="0.25">
      <c r="A1" s="1" t="s">
        <v>50</v>
      </c>
    </row>
    <row r="2" spans="1:1" x14ac:dyDescent="0.25">
      <c r="A2" s="2" t="s">
        <v>51</v>
      </c>
    </row>
    <row r="3" ht="95" customHeight="1" spans="1:136" x14ac:dyDescent="0.25">
      <c r="A3" s="3" t="s">
        <v>11</v>
      </c>
      <c r="B3" s="3" t="s">
        <v>12</v>
      </c>
      <c r="C3" s="3" t="s">
        <v>52</v>
      </c>
      <c r="D3" s="3" t="s">
        <v>53</v>
      </c>
      <c r="E3" s="3" t="s">
        <v>54</v>
      </c>
      <c r="F3" s="3" t="s">
        <v>55</v>
      </c>
      <c r="G3" s="11" t="s">
        <v>56</v>
      </c>
      <c r="H3" s="11" t="s">
        <v>57</v>
      </c>
      <c r="I3" s="11" t="s">
        <v>58</v>
      </c>
      <c r="J3" s="11" t="s">
        <v>59</v>
      </c>
      <c r="K3" s="11" t="s">
        <v>60</v>
      </c>
      <c r="L3" s="11" t="s">
        <v>61</v>
      </c>
      <c r="M3" s="11" t="s">
        <v>62</v>
      </c>
      <c r="N3" s="11" t="s">
        <v>63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68</v>
      </c>
      <c r="T3" s="11" t="s">
        <v>69</v>
      </c>
      <c r="U3" s="11" t="s">
        <v>70</v>
      </c>
      <c r="V3" s="11" t="s">
        <v>71</v>
      </c>
      <c r="W3" s="11" t="s">
        <v>72</v>
      </c>
      <c r="X3" s="11" t="s">
        <v>73</v>
      </c>
      <c r="Y3" s="11" t="s">
        <v>74</v>
      </c>
      <c r="Z3" s="11" t="s">
        <v>75</v>
      </c>
      <c r="AA3" s="11" t="s">
        <v>76</v>
      </c>
      <c r="AB3" s="11" t="s">
        <v>77</v>
      </c>
      <c r="AC3" s="11" t="s">
        <v>78</v>
      </c>
      <c r="AD3" s="11" t="s">
        <v>79</v>
      </c>
      <c r="AE3" s="11" t="s">
        <v>80</v>
      </c>
      <c r="AF3" s="11" t="s">
        <v>81</v>
      </c>
      <c r="AG3" s="11" t="s">
        <v>82</v>
      </c>
      <c r="AH3" s="11" t="s">
        <v>83</v>
      </c>
      <c r="AI3" s="11" t="s">
        <v>84</v>
      </c>
      <c r="AJ3" s="11" t="s">
        <v>85</v>
      </c>
      <c r="AK3" s="11" t="s">
        <v>86</v>
      </c>
      <c r="AL3" s="11" t="s">
        <v>87</v>
      </c>
      <c r="AM3" s="11" t="s">
        <v>88</v>
      </c>
      <c r="AN3" s="11" t="s">
        <v>89</v>
      </c>
      <c r="AO3" s="11" t="s">
        <v>90</v>
      </c>
      <c r="AP3" s="11" t="s">
        <v>91</v>
      </c>
      <c r="AQ3" s="11" t="s">
        <v>92</v>
      </c>
      <c r="AR3" s="11" t="s">
        <v>93</v>
      </c>
      <c r="AS3" s="11" t="s">
        <v>94</v>
      </c>
      <c r="AT3" s="11" t="s">
        <v>95</v>
      </c>
      <c r="AU3" s="11" t="s">
        <v>96</v>
      </c>
      <c r="AV3" s="11" t="s">
        <v>97</v>
      </c>
      <c r="AW3" s="11" t="s">
        <v>98</v>
      </c>
      <c r="AX3" s="11" t="s">
        <v>99</v>
      </c>
      <c r="AY3" s="11" t="s">
        <v>100</v>
      </c>
      <c r="AZ3" s="11" t="s">
        <v>101</v>
      </c>
      <c r="BA3" s="11" t="s">
        <v>102</v>
      </c>
      <c r="BB3" s="11" t="s">
        <v>103</v>
      </c>
      <c r="BC3" s="11" t="s">
        <v>104</v>
      </c>
      <c r="BD3" s="11" t="s">
        <v>105</v>
      </c>
      <c r="BE3" s="11" t="s">
        <v>106</v>
      </c>
      <c r="BF3" s="11" t="s">
        <v>107</v>
      </c>
      <c r="BG3" s="11" t="s">
        <v>108</v>
      </c>
      <c r="BH3" s="11" t="s">
        <v>109</v>
      </c>
      <c r="BI3" s="11" t="s">
        <v>110</v>
      </c>
      <c r="BJ3" s="11" t="s">
        <v>111</v>
      </c>
      <c r="BK3" s="11" t="s">
        <v>112</v>
      </c>
      <c r="BL3" s="11" t="s">
        <v>113</v>
      </c>
      <c r="BM3" s="11" t="s">
        <v>114</v>
      </c>
      <c r="BN3" s="11" t="s">
        <v>115</v>
      </c>
      <c r="BO3" s="11" t="s">
        <v>116</v>
      </c>
      <c r="BP3" s="11" t="s">
        <v>117</v>
      </c>
      <c r="BQ3" s="11" t="s">
        <v>118</v>
      </c>
      <c r="BR3" s="11" t="s">
        <v>119</v>
      </c>
      <c r="BS3" s="11" t="s">
        <v>120</v>
      </c>
      <c r="BT3" s="11" t="s">
        <v>121</v>
      </c>
      <c r="BU3" s="11" t="s">
        <v>122</v>
      </c>
      <c r="BV3" s="11" t="s">
        <v>123</v>
      </c>
      <c r="BW3" s="11" t="s">
        <v>124</v>
      </c>
      <c r="BX3" s="11" t="s">
        <v>125</v>
      </c>
      <c r="BY3" s="11" t="s">
        <v>126</v>
      </c>
      <c r="BZ3" s="11" t="s">
        <v>127</v>
      </c>
      <c r="CA3" s="11" t="s">
        <v>128</v>
      </c>
      <c r="CB3" s="11" t="s">
        <v>129</v>
      </c>
      <c r="CC3" s="11" t="s">
        <v>130</v>
      </c>
      <c r="CD3" s="11" t="s">
        <v>131</v>
      </c>
      <c r="CE3" s="11" t="s">
        <v>132</v>
      </c>
      <c r="CF3" s="11" t="s">
        <v>133</v>
      </c>
      <c r="CG3" s="11" t="s">
        <v>134</v>
      </c>
      <c r="CH3" s="11" t="s">
        <v>135</v>
      </c>
      <c r="CI3" s="11" t="s">
        <v>136</v>
      </c>
      <c r="CJ3" s="11" t="s">
        <v>137</v>
      </c>
      <c r="CK3" s="11" t="s">
        <v>138</v>
      </c>
      <c r="CL3" s="11" t="s">
        <v>139</v>
      </c>
      <c r="CM3" s="11" t="s">
        <v>140</v>
      </c>
      <c r="CN3" s="11" t="s">
        <v>141</v>
      </c>
      <c r="CO3" s="11" t="s">
        <v>142</v>
      </c>
      <c r="CP3" s="11" t="s">
        <v>143</v>
      </c>
      <c r="CQ3" s="11" t="s">
        <v>144</v>
      </c>
      <c r="CR3" s="11" t="s">
        <v>145</v>
      </c>
      <c r="CS3" s="11" t="s">
        <v>146</v>
      </c>
      <c r="CT3" s="11" t="s">
        <v>147</v>
      </c>
      <c r="CU3" s="11" t="s">
        <v>148</v>
      </c>
      <c r="CV3" s="11" t="s">
        <v>149</v>
      </c>
      <c r="CW3" s="11" t="s">
        <v>150</v>
      </c>
      <c r="CX3" s="11" t="s">
        <v>151</v>
      </c>
      <c r="CY3" s="11" t="s">
        <v>152</v>
      </c>
      <c r="CZ3" s="11" t="s">
        <v>153</v>
      </c>
      <c r="DA3" s="11" t="s">
        <v>154</v>
      </c>
      <c r="DB3" s="11" t="s">
        <v>155</v>
      </c>
      <c r="DC3" s="11" t="s">
        <v>156</v>
      </c>
      <c r="DD3" s="11" t="s">
        <v>157</v>
      </c>
      <c r="DE3" s="11" t="s">
        <v>158</v>
      </c>
      <c r="DF3" s="11" t="s">
        <v>159</v>
      </c>
      <c r="DG3" s="11" t="s">
        <v>160</v>
      </c>
      <c r="DH3" s="11" t="s">
        <v>161</v>
      </c>
      <c r="DI3" s="11" t="s">
        <v>162</v>
      </c>
      <c r="DJ3" s="11" t="s">
        <v>163</v>
      </c>
      <c r="DK3" s="11" t="s">
        <v>164</v>
      </c>
      <c r="DL3" s="11" t="s">
        <v>165</v>
      </c>
      <c r="DM3" s="11" t="s">
        <v>166</v>
      </c>
      <c r="DN3" s="11" t="s">
        <v>167</v>
      </c>
      <c r="DO3" s="11" t="s">
        <v>168</v>
      </c>
      <c r="DP3" s="11" t="s">
        <v>169</v>
      </c>
      <c r="DQ3" s="11" t="s">
        <v>170</v>
      </c>
      <c r="DR3" s="11" t="s">
        <v>171</v>
      </c>
      <c r="DS3" s="11" t="s">
        <v>172</v>
      </c>
      <c r="DT3" s="11" t="s">
        <v>173</v>
      </c>
      <c r="DU3" s="11" t="s">
        <v>174</v>
      </c>
      <c r="DV3" s="11" t="s">
        <v>175</v>
      </c>
      <c r="DW3" s="11" t="s">
        <v>176</v>
      </c>
      <c r="DX3" s="11" t="s">
        <v>177</v>
      </c>
      <c r="DY3" s="11" t="s">
        <v>178</v>
      </c>
      <c r="DZ3" s="11" t="s">
        <v>179</v>
      </c>
      <c r="EA3" s="11" t="s">
        <v>180</v>
      </c>
      <c r="EB3" s="11" t="s">
        <v>181</v>
      </c>
      <c r="EC3" s="11" t="s">
        <v>182</v>
      </c>
      <c r="ED3" s="11" t="s">
        <v>183</v>
      </c>
      <c r="EE3" s="11" t="s">
        <v>184</v>
      </c>
      <c r="EF3" s="11" t="s">
        <v>185</v>
      </c>
    </row>
    <row r="4" ht="32" customHeight="1" spans="1:136" x14ac:dyDescent="0.25">
      <c r="A4" s="4" t="s">
        <v>6</v>
      </c>
      <c r="B4" s="4" t="s">
        <v>14</v>
      </c>
      <c r="C4" s="4" t="s">
        <v>186</v>
      </c>
      <c r="D4" s="12" t="s">
        <v>187</v>
      </c>
      <c r="E4" s="8">
        <f>SUM(G4:EF4)</f>
      </c>
      <c r="F4" s="8">
        <f>IF(E4&gt;0,1,0)</f>
      </c>
      <c r="G4" s="13">
        <v>1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0</v>
      </c>
      <c r="CE4" s="14">
        <v>0</v>
      </c>
      <c r="CF4" s="14">
        <v>0</v>
      </c>
      <c r="CG4" s="14">
        <v>0</v>
      </c>
      <c r="CH4" s="14">
        <v>0</v>
      </c>
      <c r="CI4" s="14">
        <v>0</v>
      </c>
      <c r="CJ4" s="14">
        <v>0</v>
      </c>
      <c r="CK4" s="14">
        <v>0</v>
      </c>
      <c r="CL4" s="14">
        <v>0</v>
      </c>
      <c r="CM4" s="14">
        <v>0</v>
      </c>
      <c r="CN4" s="14">
        <v>0</v>
      </c>
      <c r="CO4" s="14">
        <v>0</v>
      </c>
      <c r="CP4" s="14">
        <v>0</v>
      </c>
      <c r="CQ4" s="14">
        <v>0</v>
      </c>
      <c r="CR4" s="14">
        <v>0</v>
      </c>
      <c r="CS4" s="14">
        <v>0</v>
      </c>
      <c r="CT4" s="14">
        <v>0</v>
      </c>
      <c r="CU4" s="14">
        <v>0</v>
      </c>
      <c r="CV4" s="14">
        <v>0</v>
      </c>
      <c r="CW4" s="14">
        <v>0</v>
      </c>
      <c r="CX4" s="14">
        <v>0</v>
      </c>
      <c r="CY4" s="14">
        <v>0</v>
      </c>
      <c r="CZ4" s="14">
        <v>0</v>
      </c>
      <c r="DA4" s="14">
        <v>0</v>
      </c>
      <c r="DB4" s="14">
        <v>0</v>
      </c>
      <c r="DC4" s="14">
        <v>0</v>
      </c>
      <c r="DD4" s="14">
        <v>0</v>
      </c>
      <c r="DE4" s="14">
        <v>0</v>
      </c>
      <c r="DF4" s="14">
        <v>0</v>
      </c>
      <c r="DG4" s="14">
        <v>0</v>
      </c>
      <c r="DH4" s="14">
        <v>0</v>
      </c>
      <c r="DI4" s="14">
        <v>0</v>
      </c>
      <c r="DJ4" s="14">
        <v>0</v>
      </c>
      <c r="DK4" s="14">
        <v>0</v>
      </c>
      <c r="DL4" s="14">
        <v>0</v>
      </c>
      <c r="DM4" s="14">
        <v>0</v>
      </c>
      <c r="DN4" s="14">
        <v>0</v>
      </c>
      <c r="DO4" s="14">
        <v>0</v>
      </c>
      <c r="DP4" s="14">
        <v>0</v>
      </c>
      <c r="DQ4" s="14">
        <v>0</v>
      </c>
      <c r="DR4" s="14">
        <v>0</v>
      </c>
      <c r="DS4" s="14">
        <v>0</v>
      </c>
      <c r="DT4" s="14">
        <v>0</v>
      </c>
      <c r="DU4" s="14">
        <v>0</v>
      </c>
      <c r="DV4" s="14">
        <v>0</v>
      </c>
      <c r="DW4" s="14">
        <v>0</v>
      </c>
      <c r="DX4" s="14">
        <v>0</v>
      </c>
      <c r="DY4" s="14">
        <v>0</v>
      </c>
      <c r="DZ4" s="14">
        <v>0</v>
      </c>
      <c r="EA4" s="14">
        <v>0</v>
      </c>
      <c r="EB4" s="14">
        <v>0</v>
      </c>
      <c r="EC4" s="14">
        <v>0</v>
      </c>
      <c r="ED4" s="14">
        <v>0</v>
      </c>
      <c r="EE4" s="14">
        <v>0</v>
      </c>
      <c r="EF4" s="14">
        <v>0</v>
      </c>
    </row>
    <row r="5" ht="32" customHeight="1" spans="1:136" x14ac:dyDescent="0.25">
      <c r="A5" s="4" t="s">
        <v>6</v>
      </c>
      <c r="B5" s="4" t="s">
        <v>14</v>
      </c>
      <c r="C5" s="4" t="s">
        <v>188</v>
      </c>
      <c r="D5" s="12" t="s">
        <v>189</v>
      </c>
      <c r="E5" s="8">
        <f>SUM(G5:EF5)</f>
      </c>
      <c r="F5" s="8">
        <f>IF(E5&gt;0,1,0)</f>
      </c>
      <c r="G5" s="14">
        <v>0</v>
      </c>
      <c r="H5" s="13">
        <v>1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4">
        <v>0</v>
      </c>
      <c r="EA5" s="14">
        <v>0</v>
      </c>
      <c r="EB5" s="14">
        <v>0</v>
      </c>
      <c r="EC5" s="14">
        <v>0</v>
      </c>
      <c r="ED5" s="14">
        <v>0</v>
      </c>
      <c r="EE5" s="14">
        <v>0</v>
      </c>
      <c r="EF5" s="14">
        <v>0</v>
      </c>
    </row>
    <row r="6" ht="32" customHeight="1" spans="1:136" x14ac:dyDescent="0.25">
      <c r="A6" s="4" t="s">
        <v>6</v>
      </c>
      <c r="B6" s="4" t="s">
        <v>14</v>
      </c>
      <c r="C6" s="4" t="s">
        <v>190</v>
      </c>
      <c r="D6" s="12" t="s">
        <v>191</v>
      </c>
      <c r="E6" s="8">
        <f>SUM(G6:EF6)</f>
      </c>
      <c r="F6" s="8">
        <f>IF(E6&gt;0,1,0)</f>
      </c>
      <c r="G6" s="14">
        <v>0</v>
      </c>
      <c r="H6" s="14">
        <v>0</v>
      </c>
      <c r="I6" s="13">
        <v>1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0</v>
      </c>
      <c r="DU6" s="14">
        <v>0</v>
      </c>
      <c r="DV6" s="14">
        <v>0</v>
      </c>
      <c r="DW6" s="14">
        <v>0</v>
      </c>
      <c r="DX6" s="14">
        <v>0</v>
      </c>
      <c r="DY6" s="14">
        <v>0</v>
      </c>
      <c r="DZ6" s="14">
        <v>0</v>
      </c>
      <c r="EA6" s="14">
        <v>0</v>
      </c>
      <c r="EB6" s="14">
        <v>0</v>
      </c>
      <c r="EC6" s="14">
        <v>0</v>
      </c>
      <c r="ED6" s="14">
        <v>0</v>
      </c>
      <c r="EE6" s="14">
        <v>0</v>
      </c>
      <c r="EF6" s="14">
        <v>0</v>
      </c>
    </row>
    <row r="7" ht="32" customHeight="1" spans="1:136" x14ac:dyDescent="0.25">
      <c r="A7" s="4" t="s">
        <v>6</v>
      </c>
      <c r="B7" s="4" t="s">
        <v>14</v>
      </c>
      <c r="C7" s="4" t="s">
        <v>192</v>
      </c>
      <c r="D7" s="12" t="s">
        <v>193</v>
      </c>
      <c r="E7" s="8">
        <f>SUM(G7:EF7)</f>
      </c>
      <c r="F7" s="8">
        <f>IF(E7&gt;0,1,0)</f>
      </c>
      <c r="G7" s="14">
        <v>0</v>
      </c>
      <c r="H7" s="14">
        <v>0</v>
      </c>
      <c r="I7" s="14">
        <v>0</v>
      </c>
      <c r="J7" s="13">
        <v>1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0</v>
      </c>
      <c r="DZ7" s="14">
        <v>0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</row>
    <row r="8" ht="32" customHeight="1" spans="1:136" x14ac:dyDescent="0.25">
      <c r="A8" s="15" t="s">
        <v>6</v>
      </c>
      <c r="B8" s="15" t="s">
        <v>15</v>
      </c>
      <c r="C8" s="15" t="s">
        <v>194</v>
      </c>
      <c r="D8" s="16" t="s">
        <v>195</v>
      </c>
      <c r="E8" s="17">
        <f>SUM(G8:EF8)</f>
      </c>
      <c r="F8" s="17">
        <f>IF(E8&gt;0,1,0)</f>
      </c>
      <c r="G8" s="18">
        <v>0</v>
      </c>
      <c r="H8" s="18">
        <v>0</v>
      </c>
      <c r="I8" s="18">
        <v>0</v>
      </c>
      <c r="J8" s="18">
        <v>0</v>
      </c>
      <c r="K8" s="19">
        <v>1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>
        <v>0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>
        <v>0</v>
      </c>
      <c r="DV8" s="18">
        <v>0</v>
      </c>
      <c r="DW8" s="18">
        <v>0</v>
      </c>
      <c r="DX8" s="18">
        <v>0</v>
      </c>
      <c r="DY8" s="18">
        <v>0</v>
      </c>
      <c r="DZ8" s="18">
        <v>0</v>
      </c>
      <c r="EA8" s="18">
        <v>0</v>
      </c>
      <c r="EB8" s="18">
        <v>0</v>
      </c>
      <c r="EC8" s="18">
        <v>0</v>
      </c>
      <c r="ED8" s="18">
        <v>0</v>
      </c>
      <c r="EE8" s="18">
        <v>0</v>
      </c>
      <c r="EF8" s="18">
        <v>0</v>
      </c>
    </row>
    <row r="9" ht="32" customHeight="1" spans="1:136" x14ac:dyDescent="0.25">
      <c r="A9" s="4" t="s">
        <v>6</v>
      </c>
      <c r="B9" s="4" t="s">
        <v>15</v>
      </c>
      <c r="C9" s="4" t="s">
        <v>196</v>
      </c>
      <c r="D9" s="12" t="s">
        <v>197</v>
      </c>
      <c r="E9" s="8">
        <f>SUM(G9:EF9)</f>
      </c>
      <c r="F9" s="8">
        <f>IF(E9&gt;0,1,0)</f>
      </c>
      <c r="G9" s="14">
        <v>0</v>
      </c>
      <c r="H9" s="14">
        <v>0</v>
      </c>
      <c r="I9" s="14">
        <v>0</v>
      </c>
      <c r="J9" s="14">
        <v>0</v>
      </c>
      <c r="K9" s="13">
        <v>1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</row>
    <row r="10" ht="32" customHeight="1" spans="1:136" x14ac:dyDescent="0.25">
      <c r="A10" s="4" t="s">
        <v>6</v>
      </c>
      <c r="B10" s="4" t="s">
        <v>15</v>
      </c>
      <c r="C10" s="4" t="s">
        <v>198</v>
      </c>
      <c r="D10" s="12" t="s">
        <v>199</v>
      </c>
      <c r="E10" s="8">
        <f>SUM(G10:EF10)</f>
      </c>
      <c r="F10" s="8">
        <f>IF(E10&gt;0,1,0)</f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3">
        <v>1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</row>
    <row r="11" ht="32" customHeight="1" spans="1:136" x14ac:dyDescent="0.25">
      <c r="A11" s="4" t="s">
        <v>6</v>
      </c>
      <c r="B11" s="4" t="s">
        <v>15</v>
      </c>
      <c r="C11" s="4" t="s">
        <v>200</v>
      </c>
      <c r="D11" s="12" t="s">
        <v>201</v>
      </c>
      <c r="E11" s="8">
        <f>SUM(G11:EF11)</f>
      </c>
      <c r="F11" s="8">
        <f>IF(E11&gt;0,1,0)</f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3">
        <v>1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</row>
    <row r="12" ht="32" customHeight="1" spans="1:136" x14ac:dyDescent="0.25">
      <c r="A12" s="15" t="s">
        <v>6</v>
      </c>
      <c r="B12" s="15" t="s">
        <v>16</v>
      </c>
      <c r="C12" s="15" t="s">
        <v>202</v>
      </c>
      <c r="D12" s="16" t="s">
        <v>203</v>
      </c>
      <c r="E12" s="17">
        <f>SUM(G12:EF12)</f>
      </c>
      <c r="F12" s="17">
        <f>IF(E12&gt;0,1,0)</f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9">
        <v>1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0</v>
      </c>
      <c r="DO12" s="18">
        <v>0</v>
      </c>
      <c r="DP12" s="18">
        <v>0</v>
      </c>
      <c r="DQ12" s="18">
        <v>0</v>
      </c>
      <c r="DR12" s="18">
        <v>0</v>
      </c>
      <c r="DS12" s="18">
        <v>0</v>
      </c>
      <c r="DT12" s="18">
        <v>0</v>
      </c>
      <c r="DU12" s="18">
        <v>0</v>
      </c>
      <c r="DV12" s="18">
        <v>0</v>
      </c>
      <c r="DW12" s="18">
        <v>0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0</v>
      </c>
      <c r="ED12" s="18">
        <v>0</v>
      </c>
      <c r="EE12" s="18">
        <v>0</v>
      </c>
      <c r="EF12" s="18">
        <v>0</v>
      </c>
    </row>
    <row r="13" ht="32" customHeight="1" spans="1:136" x14ac:dyDescent="0.25">
      <c r="A13" s="4" t="s">
        <v>6</v>
      </c>
      <c r="B13" s="4" t="s">
        <v>16</v>
      </c>
      <c r="C13" s="4" t="s">
        <v>204</v>
      </c>
      <c r="D13" s="12" t="s">
        <v>205</v>
      </c>
      <c r="E13" s="8">
        <f>SUM(G13:EF13)</f>
      </c>
      <c r="F13" s="8">
        <f>IF(E13&gt;0,1,0)</f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3">
        <v>1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</row>
    <row r="14" ht="32" customHeight="1" spans="1:136" x14ac:dyDescent="0.25">
      <c r="A14" s="4" t="s">
        <v>6</v>
      </c>
      <c r="B14" s="4" t="s">
        <v>16</v>
      </c>
      <c r="C14" s="4" t="s">
        <v>206</v>
      </c>
      <c r="D14" s="12" t="s">
        <v>207</v>
      </c>
      <c r="E14" s="8">
        <f>SUM(G14:EF14)</f>
      </c>
      <c r="F14" s="8">
        <f>IF(E14&gt;0,1,0)</f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3">
        <v>1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</row>
    <row r="15" ht="32" customHeight="1" spans="1:136" x14ac:dyDescent="0.25">
      <c r="A15" s="4" t="s">
        <v>6</v>
      </c>
      <c r="B15" s="4" t="s">
        <v>16</v>
      </c>
      <c r="C15" s="4" t="s">
        <v>208</v>
      </c>
      <c r="D15" s="12" t="s">
        <v>209</v>
      </c>
      <c r="E15" s="8">
        <f>SUM(G15:EF15)</f>
      </c>
      <c r="F15" s="8">
        <f>IF(E15&gt;0,1,0)</f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3">
        <v>1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</row>
    <row r="16" ht="32" customHeight="1" spans="1:136" x14ac:dyDescent="0.25">
      <c r="A16" s="4" t="s">
        <v>6</v>
      </c>
      <c r="B16" s="4" t="s">
        <v>16</v>
      </c>
      <c r="C16" s="4" t="s">
        <v>210</v>
      </c>
      <c r="D16" s="12" t="s">
        <v>211</v>
      </c>
      <c r="E16" s="8">
        <f>SUM(G16:EF16)</f>
      </c>
      <c r="F16" s="8">
        <f>IF(E16&gt;0,1,0)</f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3">
        <v>1</v>
      </c>
      <c r="S16" s="13">
        <v>1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</row>
    <row r="17" ht="32" customHeight="1" spans="1:136" x14ac:dyDescent="0.25">
      <c r="A17" s="15" t="s">
        <v>6</v>
      </c>
      <c r="B17" s="15" t="s">
        <v>17</v>
      </c>
      <c r="C17" s="15" t="s">
        <v>212</v>
      </c>
      <c r="D17" s="16" t="s">
        <v>213</v>
      </c>
      <c r="E17" s="17">
        <f>SUM(G17:EF17)</f>
      </c>
      <c r="F17" s="17">
        <f>IF(E17&gt;0,1,0)</f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9">
        <v>1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0</v>
      </c>
      <c r="DW17" s="18">
        <v>0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  <c r="EE17" s="18">
        <v>0</v>
      </c>
      <c r="EF17" s="18">
        <v>0</v>
      </c>
    </row>
    <row r="18" ht="32" customHeight="1" spans="1:136" x14ac:dyDescent="0.25">
      <c r="A18" s="4" t="s">
        <v>6</v>
      </c>
      <c r="B18" s="4" t="s">
        <v>17</v>
      </c>
      <c r="C18" s="4" t="s">
        <v>214</v>
      </c>
      <c r="D18" s="12" t="s">
        <v>215</v>
      </c>
      <c r="E18" s="8">
        <f>SUM(G18:EF18)</f>
      </c>
      <c r="F18" s="8">
        <f>IF(E18&gt;0,1,0)</f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3">
        <v>1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</row>
    <row r="19" ht="32" customHeight="1" spans="1:136" x14ac:dyDescent="0.25">
      <c r="A19" s="4" t="s">
        <v>6</v>
      </c>
      <c r="B19" s="4" t="s">
        <v>17</v>
      </c>
      <c r="C19" s="4" t="s">
        <v>216</v>
      </c>
      <c r="D19" s="12" t="s">
        <v>217</v>
      </c>
      <c r="E19" s="8">
        <f>SUM(G19:EF19)</f>
      </c>
      <c r="F19" s="8">
        <f>IF(E19&gt;0,1,0)</f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3">
        <v>1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</row>
    <row r="20" ht="32" customHeight="1" spans="1:136" x14ac:dyDescent="0.25">
      <c r="A20" s="4" t="s">
        <v>6</v>
      </c>
      <c r="B20" s="4" t="s">
        <v>17</v>
      </c>
      <c r="C20" s="4" t="s">
        <v>218</v>
      </c>
      <c r="D20" s="12" t="s">
        <v>219</v>
      </c>
      <c r="E20" s="8">
        <f>SUM(G20:EF20)</f>
      </c>
      <c r="F20" s="8">
        <f>IF(E20&gt;0,1,0)</f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3">
        <v>1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</row>
    <row r="21" ht="32" customHeight="1" spans="1:136" x14ac:dyDescent="0.25">
      <c r="A21" s="4" t="s">
        <v>6</v>
      </c>
      <c r="B21" s="4" t="s">
        <v>17</v>
      </c>
      <c r="C21" s="4" t="s">
        <v>220</v>
      </c>
      <c r="D21" s="12" t="s">
        <v>221</v>
      </c>
      <c r="E21" s="8">
        <f>SUM(G21:EF21)</f>
      </c>
      <c r="F21" s="8">
        <f>IF(E21&gt;0,1,0)</f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3">
        <v>1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</row>
    <row r="22" ht="32" customHeight="1" spans="1:136" x14ac:dyDescent="0.25">
      <c r="A22" s="15" t="s">
        <v>6</v>
      </c>
      <c r="B22" s="15" t="s">
        <v>18</v>
      </c>
      <c r="C22" s="15" t="s">
        <v>222</v>
      </c>
      <c r="D22" s="16" t="s">
        <v>223</v>
      </c>
      <c r="E22" s="17">
        <f>SUM(G22:EF22)</f>
      </c>
      <c r="F22" s="17">
        <f>IF(E22&gt;0,1,0)</f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9">
        <v>1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</row>
    <row r="23" ht="32" customHeight="1" spans="1:136" x14ac:dyDescent="0.25">
      <c r="A23" s="4" t="s">
        <v>6</v>
      </c>
      <c r="B23" s="4" t="s">
        <v>18</v>
      </c>
      <c r="C23" s="4" t="s">
        <v>224</v>
      </c>
      <c r="D23" s="12" t="s">
        <v>225</v>
      </c>
      <c r="E23" s="8">
        <f>SUM(G23:EF23)</f>
      </c>
      <c r="F23" s="8">
        <f>IF(E23&gt;0,1,0)</f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3">
        <v>1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</row>
    <row r="24" ht="32" customHeight="1" spans="1:136" x14ac:dyDescent="0.25">
      <c r="A24" s="4" t="s">
        <v>6</v>
      </c>
      <c r="B24" s="4" t="s">
        <v>18</v>
      </c>
      <c r="C24" s="4" t="s">
        <v>226</v>
      </c>
      <c r="D24" s="12" t="s">
        <v>227</v>
      </c>
      <c r="E24" s="8">
        <f>SUM(G24:EF24)</f>
      </c>
      <c r="F24" s="8">
        <f>IF(E24&gt;0,1,0)</f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3">
        <v>1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</row>
    <row r="25" ht="32" customHeight="1" spans="1:136" x14ac:dyDescent="0.25">
      <c r="A25" s="4" t="s">
        <v>6</v>
      </c>
      <c r="B25" s="4" t="s">
        <v>18</v>
      </c>
      <c r="C25" s="4" t="s">
        <v>228</v>
      </c>
      <c r="D25" s="12" t="s">
        <v>229</v>
      </c>
      <c r="E25" s="8">
        <f>SUM(G25:EF25)</f>
      </c>
      <c r="F25" s="8">
        <f>IF(E25&gt;0,1,0)</f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3">
        <v>1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</row>
    <row r="26" ht="32" customHeight="1" spans="1:136" x14ac:dyDescent="0.25">
      <c r="A26" s="4" t="s">
        <v>6</v>
      </c>
      <c r="B26" s="4" t="s">
        <v>18</v>
      </c>
      <c r="C26" s="4" t="s">
        <v>230</v>
      </c>
      <c r="D26" s="12" t="s">
        <v>231</v>
      </c>
      <c r="E26" s="8">
        <f>SUM(G26:EF26)</f>
      </c>
      <c r="F26" s="8">
        <f>IF(E26&gt;0,1,0)</f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3">
        <v>1</v>
      </c>
      <c r="AB26" s="14">
        <v>0</v>
      </c>
      <c r="AC26" s="14">
        <v>0</v>
      </c>
      <c r="AD26" s="13">
        <v>1</v>
      </c>
      <c r="AE26" s="14">
        <v>0</v>
      </c>
      <c r="AF26" s="14">
        <v>0</v>
      </c>
      <c r="AG26" s="14">
        <v>0</v>
      </c>
      <c r="AH26" s="14">
        <v>0</v>
      </c>
      <c r="AI26" s="13">
        <v>1</v>
      </c>
      <c r="AJ26" s="13">
        <v>1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3">
        <v>1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</row>
    <row r="27" ht="32" customHeight="1" spans="1:136" x14ac:dyDescent="0.25">
      <c r="A27" s="4" t="s">
        <v>6</v>
      </c>
      <c r="B27" s="4" t="s">
        <v>18</v>
      </c>
      <c r="C27" s="4" t="s">
        <v>232</v>
      </c>
      <c r="D27" s="12" t="s">
        <v>233</v>
      </c>
      <c r="E27" s="8">
        <f>SUM(G27:EF27)</f>
      </c>
      <c r="F27" s="8">
        <f>IF(E27&gt;0,1,0)</f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3">
        <v>1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</row>
    <row r="28" ht="32" customHeight="1" spans="1:136" x14ac:dyDescent="0.25">
      <c r="A28" s="15" t="s">
        <v>6</v>
      </c>
      <c r="B28" s="15" t="s">
        <v>19</v>
      </c>
      <c r="C28" s="15" t="s">
        <v>234</v>
      </c>
      <c r="D28" s="16" t="s">
        <v>235</v>
      </c>
      <c r="E28" s="17">
        <f>SUM(G28:EF28)</f>
      </c>
      <c r="F28" s="17">
        <f>IF(E28&gt;0,1,0)</f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9">
        <v>1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0</v>
      </c>
      <c r="DV28" s="18">
        <v>0</v>
      </c>
      <c r="DW28" s="18">
        <v>0</v>
      </c>
      <c r="DX28" s="18">
        <v>0</v>
      </c>
      <c r="DY28" s="18">
        <v>0</v>
      </c>
      <c r="DZ28" s="18">
        <v>0</v>
      </c>
      <c r="EA28" s="18">
        <v>0</v>
      </c>
      <c r="EB28" s="18">
        <v>0</v>
      </c>
      <c r="EC28" s="18">
        <v>0</v>
      </c>
      <c r="ED28" s="18">
        <v>0</v>
      </c>
      <c r="EE28" s="18">
        <v>0</v>
      </c>
      <c r="EF28" s="18">
        <v>0</v>
      </c>
    </row>
    <row r="29" ht="32" customHeight="1" spans="1:136" x14ac:dyDescent="0.25">
      <c r="A29" s="4" t="s">
        <v>6</v>
      </c>
      <c r="B29" s="4" t="s">
        <v>19</v>
      </c>
      <c r="C29" s="4" t="s">
        <v>236</v>
      </c>
      <c r="D29" s="12" t="s">
        <v>237</v>
      </c>
      <c r="E29" s="8">
        <f>SUM(G29:EF29)</f>
      </c>
      <c r="F29" s="8">
        <f>IF(E29&gt;0,1,0)</f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3">
        <v>1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</row>
    <row r="30" ht="32" customHeight="1" spans="1:136" x14ac:dyDescent="0.25">
      <c r="A30" s="4" t="s">
        <v>6</v>
      </c>
      <c r="B30" s="4" t="s">
        <v>19</v>
      </c>
      <c r="C30" s="4" t="s">
        <v>238</v>
      </c>
      <c r="D30" s="12" t="s">
        <v>239</v>
      </c>
      <c r="E30" s="8">
        <f>SUM(G30:EF30)</f>
      </c>
      <c r="F30" s="8">
        <f>IF(E30&gt;0,1,0)</f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3">
        <v>1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</row>
    <row r="31" ht="32" customHeight="1" spans="1:136" x14ac:dyDescent="0.25">
      <c r="A31" s="4" t="s">
        <v>6</v>
      </c>
      <c r="B31" s="4" t="s">
        <v>19</v>
      </c>
      <c r="C31" s="4" t="s">
        <v>240</v>
      </c>
      <c r="D31" s="12" t="s">
        <v>241</v>
      </c>
      <c r="E31" s="8">
        <f>SUM(G31:EF31)</f>
      </c>
      <c r="F31" s="8">
        <f>IF(E31&gt;0,1,0)</f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3">
        <v>1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</row>
    <row r="32" ht="32" customHeight="1" spans="1:136" x14ac:dyDescent="0.25">
      <c r="A32" s="4" t="s">
        <v>6</v>
      </c>
      <c r="B32" s="4" t="s">
        <v>19</v>
      </c>
      <c r="C32" s="4" t="s">
        <v>242</v>
      </c>
      <c r="D32" s="12" t="s">
        <v>243</v>
      </c>
      <c r="E32" s="8">
        <f>SUM(G32:EF32)</f>
      </c>
      <c r="F32" s="8">
        <f>IF(E32&gt;0,1,0)</f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3">
        <v>1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</row>
    <row r="33" ht="32" customHeight="1" spans="1:136" x14ac:dyDescent="0.25">
      <c r="A33" s="15" t="s">
        <v>6</v>
      </c>
      <c r="B33" s="15" t="s">
        <v>20</v>
      </c>
      <c r="C33" s="15" t="s">
        <v>244</v>
      </c>
      <c r="D33" s="16" t="s">
        <v>245</v>
      </c>
      <c r="E33" s="17">
        <f>SUM(G33:EF33)</f>
      </c>
      <c r="F33" s="17">
        <f>IF(E33&gt;0,1,0)</f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9">
        <v>1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>
        <v>0</v>
      </c>
      <c r="DO33" s="18">
        <v>0</v>
      </c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>
        <v>0</v>
      </c>
      <c r="DV33" s="18">
        <v>0</v>
      </c>
      <c r="DW33" s="18">
        <v>0</v>
      </c>
      <c r="DX33" s="18">
        <v>0</v>
      </c>
      <c r="DY33" s="18">
        <v>0</v>
      </c>
      <c r="DZ33" s="18">
        <v>0</v>
      </c>
      <c r="EA33" s="18">
        <v>0</v>
      </c>
      <c r="EB33" s="18">
        <v>0</v>
      </c>
      <c r="EC33" s="18">
        <v>0</v>
      </c>
      <c r="ED33" s="18">
        <v>0</v>
      </c>
      <c r="EE33" s="18">
        <v>0</v>
      </c>
      <c r="EF33" s="18">
        <v>0</v>
      </c>
    </row>
    <row r="34" ht="32" customHeight="1" spans="1:136" x14ac:dyDescent="0.25">
      <c r="A34" s="4" t="s">
        <v>6</v>
      </c>
      <c r="B34" s="4" t="s">
        <v>20</v>
      </c>
      <c r="C34" s="4" t="s">
        <v>246</v>
      </c>
      <c r="D34" s="12" t="s">
        <v>247</v>
      </c>
      <c r="E34" s="8">
        <f>SUM(G34:EF34)</f>
      </c>
      <c r="F34" s="8">
        <f>IF(E34&gt;0,1,0)</f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3">
        <v>1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</row>
    <row r="35" ht="32" customHeight="1" spans="1:136" x14ac:dyDescent="0.25">
      <c r="A35" s="4" t="s">
        <v>6</v>
      </c>
      <c r="B35" s="4" t="s">
        <v>20</v>
      </c>
      <c r="C35" s="4" t="s">
        <v>248</v>
      </c>
      <c r="D35" s="12" t="s">
        <v>249</v>
      </c>
      <c r="E35" s="8">
        <f>SUM(G35:EF35)</f>
      </c>
      <c r="F35" s="8">
        <f>IF(E35&gt;0,1,0)</f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3">
        <v>1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</row>
    <row r="36" ht="32" customHeight="1" spans="1:136" x14ac:dyDescent="0.25">
      <c r="A36" s="4" t="s">
        <v>6</v>
      </c>
      <c r="B36" s="4" t="s">
        <v>20</v>
      </c>
      <c r="C36" s="4" t="s">
        <v>250</v>
      </c>
      <c r="D36" s="12" t="s">
        <v>251</v>
      </c>
      <c r="E36" s="8">
        <f>SUM(G36:EF36)</f>
      </c>
      <c r="F36" s="8">
        <f>IF(E36&gt;0,1,0)</f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3">
        <v>1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</row>
    <row r="37" ht="32" customHeight="1" spans="1:136" x14ac:dyDescent="0.25">
      <c r="A37" s="4" t="s">
        <v>6</v>
      </c>
      <c r="B37" s="4" t="s">
        <v>20</v>
      </c>
      <c r="C37" s="4" t="s">
        <v>252</v>
      </c>
      <c r="D37" s="12" t="s">
        <v>253</v>
      </c>
      <c r="E37" s="8">
        <f>SUM(G37:EF37)</f>
      </c>
      <c r="F37" s="8">
        <f>IF(E37&gt;0,1,0)</f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3">
        <v>1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</row>
    <row r="38" ht="32" customHeight="1" spans="1:136" x14ac:dyDescent="0.25">
      <c r="A38" s="15" t="s">
        <v>6</v>
      </c>
      <c r="B38" s="15" t="s">
        <v>21</v>
      </c>
      <c r="C38" s="15" t="s">
        <v>254</v>
      </c>
      <c r="D38" s="16" t="s">
        <v>255</v>
      </c>
      <c r="E38" s="17">
        <f>SUM(G38:EF38)</f>
      </c>
      <c r="F38" s="17">
        <f>IF(E38&gt;0,1,0)</f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9">
        <v>1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</row>
    <row r="39" ht="32" customHeight="1" spans="1:136" x14ac:dyDescent="0.25">
      <c r="A39" s="4" t="s">
        <v>6</v>
      </c>
      <c r="B39" s="4" t="s">
        <v>21</v>
      </c>
      <c r="C39" s="4" t="s">
        <v>256</v>
      </c>
      <c r="D39" s="12" t="s">
        <v>257</v>
      </c>
      <c r="E39" s="8">
        <f>SUM(G39:EF39)</f>
      </c>
      <c r="F39" s="8">
        <f>IF(E39&gt;0,1,0)</f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3">
        <v>1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</row>
    <row r="40" ht="32" customHeight="1" spans="1:136" x14ac:dyDescent="0.25">
      <c r="A40" s="4" t="s">
        <v>6</v>
      </c>
      <c r="B40" s="4" t="s">
        <v>21</v>
      </c>
      <c r="C40" s="4" t="s">
        <v>258</v>
      </c>
      <c r="D40" s="12" t="s">
        <v>259</v>
      </c>
      <c r="E40" s="8">
        <f>SUM(G40:EF40)</f>
      </c>
      <c r="F40" s="8">
        <f>IF(E40&gt;0,1,0)</f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3">
        <v>1</v>
      </c>
      <c r="AN40" s="14">
        <v>0</v>
      </c>
      <c r="AO40" s="14">
        <v>0</v>
      </c>
      <c r="AP40" s="13">
        <v>1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</row>
    <row r="41" ht="32" customHeight="1" spans="1:136" x14ac:dyDescent="0.25">
      <c r="A41" s="4" t="s">
        <v>6</v>
      </c>
      <c r="B41" s="4" t="s">
        <v>21</v>
      </c>
      <c r="C41" s="4" t="s">
        <v>260</v>
      </c>
      <c r="D41" s="12" t="s">
        <v>261</v>
      </c>
      <c r="E41" s="8">
        <f>SUM(G41:EF41)</f>
      </c>
      <c r="F41" s="8">
        <f>IF(E41&gt;0,1,0)</f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3">
        <v>1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</row>
    <row r="42" ht="32" customHeight="1" spans="1:136" x14ac:dyDescent="0.25">
      <c r="A42" s="4" t="s">
        <v>6</v>
      </c>
      <c r="B42" s="4" t="s">
        <v>21</v>
      </c>
      <c r="C42" s="4" t="s">
        <v>262</v>
      </c>
      <c r="D42" s="12" t="s">
        <v>263</v>
      </c>
      <c r="E42" s="8">
        <f>SUM(G42:EF42)</f>
      </c>
      <c r="F42" s="8">
        <f>IF(E42&gt;0,1,0)</f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3">
        <v>1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</row>
    <row r="43" ht="32" customHeight="1" spans="1:136" x14ac:dyDescent="0.25">
      <c r="A43" s="15" t="s">
        <v>6</v>
      </c>
      <c r="B43" s="15" t="s">
        <v>22</v>
      </c>
      <c r="C43" s="15" t="s">
        <v>264</v>
      </c>
      <c r="D43" s="16" t="s">
        <v>265</v>
      </c>
      <c r="E43" s="17">
        <f>SUM(G43:EF43)</f>
      </c>
      <c r="F43" s="17">
        <f>IF(E43&gt;0,1,0)</f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9">
        <v>1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0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0</v>
      </c>
      <c r="DF43" s="18">
        <v>0</v>
      </c>
      <c r="DG43" s="18">
        <v>0</v>
      </c>
      <c r="DH43" s="18">
        <v>0</v>
      </c>
      <c r="DI43" s="18">
        <v>0</v>
      </c>
      <c r="DJ43" s="18">
        <v>0</v>
      </c>
      <c r="DK43" s="18">
        <v>0</v>
      </c>
      <c r="DL43" s="18">
        <v>0</v>
      </c>
      <c r="DM43" s="18">
        <v>0</v>
      </c>
      <c r="DN43" s="18">
        <v>0</v>
      </c>
      <c r="DO43" s="18">
        <v>0</v>
      </c>
      <c r="DP43" s="18">
        <v>0</v>
      </c>
      <c r="DQ43" s="18">
        <v>0</v>
      </c>
      <c r="DR43" s="18">
        <v>0</v>
      </c>
      <c r="DS43" s="18">
        <v>0</v>
      </c>
      <c r="DT43" s="18">
        <v>0</v>
      </c>
      <c r="DU43" s="18">
        <v>0</v>
      </c>
      <c r="DV43" s="18">
        <v>0</v>
      </c>
      <c r="DW43" s="18">
        <v>0</v>
      </c>
      <c r="DX43" s="18">
        <v>0</v>
      </c>
      <c r="DY43" s="18">
        <v>0</v>
      </c>
      <c r="DZ43" s="18">
        <v>0</v>
      </c>
      <c r="EA43" s="18">
        <v>0</v>
      </c>
      <c r="EB43" s="18">
        <v>0</v>
      </c>
      <c r="EC43" s="18">
        <v>0</v>
      </c>
      <c r="ED43" s="18">
        <v>0</v>
      </c>
      <c r="EE43" s="18">
        <v>0</v>
      </c>
      <c r="EF43" s="18">
        <v>0</v>
      </c>
    </row>
    <row r="44" ht="32" customHeight="1" spans="1:136" x14ac:dyDescent="0.25">
      <c r="A44" s="4" t="s">
        <v>6</v>
      </c>
      <c r="B44" s="4" t="s">
        <v>22</v>
      </c>
      <c r="C44" s="4" t="s">
        <v>266</v>
      </c>
      <c r="D44" s="12" t="s">
        <v>267</v>
      </c>
      <c r="E44" s="8">
        <f>SUM(G44:EF44)</f>
      </c>
      <c r="F44" s="8">
        <f>IF(E44&gt;0,1,0)</f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3">
        <v>1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</row>
    <row r="45" ht="32" customHeight="1" spans="1:136" x14ac:dyDescent="0.25">
      <c r="A45" s="4" t="s">
        <v>6</v>
      </c>
      <c r="B45" s="4" t="s">
        <v>22</v>
      </c>
      <c r="C45" s="4" t="s">
        <v>268</v>
      </c>
      <c r="D45" s="12" t="s">
        <v>269</v>
      </c>
      <c r="E45" s="8">
        <f>SUM(G45:EF45)</f>
      </c>
      <c r="F45" s="8">
        <f>IF(E45&gt;0,1,0)</f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3">
        <v>1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  <c r="DQ45" s="14">
        <v>0</v>
      </c>
      <c r="DR45" s="14">
        <v>0</v>
      </c>
      <c r="DS45" s="14">
        <v>0</v>
      </c>
      <c r="DT45" s="14">
        <v>0</v>
      </c>
      <c r="DU45" s="14">
        <v>0</v>
      </c>
      <c r="DV45" s="14">
        <v>0</v>
      </c>
      <c r="DW45" s="14">
        <v>0</v>
      </c>
      <c r="DX45" s="14">
        <v>0</v>
      </c>
      <c r="DY45" s="14">
        <v>0</v>
      </c>
      <c r="DZ45" s="14">
        <v>0</v>
      </c>
      <c r="EA45" s="14">
        <v>0</v>
      </c>
      <c r="EB45" s="14">
        <v>0</v>
      </c>
      <c r="EC45" s="14">
        <v>0</v>
      </c>
      <c r="ED45" s="14">
        <v>0</v>
      </c>
      <c r="EE45" s="14">
        <v>0</v>
      </c>
      <c r="EF45" s="14">
        <v>0</v>
      </c>
    </row>
    <row r="46" ht="32" customHeight="1" spans="1:136" x14ac:dyDescent="0.25">
      <c r="A46" s="4" t="s">
        <v>6</v>
      </c>
      <c r="B46" s="4" t="s">
        <v>22</v>
      </c>
      <c r="C46" s="4" t="s">
        <v>270</v>
      </c>
      <c r="D46" s="12" t="s">
        <v>271</v>
      </c>
      <c r="E46" s="8">
        <f>SUM(G46:EF46)</f>
      </c>
      <c r="F46" s="8">
        <f>IF(E46&gt;0,1,0)</f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3">
        <v>1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  <c r="DP46" s="14">
        <v>0</v>
      </c>
      <c r="DQ46" s="14">
        <v>0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0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</row>
    <row r="47" ht="32" customHeight="1" spans="1:136" x14ac:dyDescent="0.25">
      <c r="A47" s="4" t="s">
        <v>6</v>
      </c>
      <c r="B47" s="4" t="s">
        <v>22</v>
      </c>
      <c r="C47" s="4" t="s">
        <v>272</v>
      </c>
      <c r="D47" s="12" t="s">
        <v>273</v>
      </c>
      <c r="E47" s="8">
        <f>SUM(G47:EF47)</f>
      </c>
      <c r="F47" s="8">
        <f>IF(E47&gt;0,1,0)</f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3">
        <v>1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0</v>
      </c>
      <c r="DT47" s="14">
        <v>0</v>
      </c>
      <c r="DU47" s="14">
        <v>0</v>
      </c>
      <c r="DV47" s="14">
        <v>0</v>
      </c>
      <c r="DW47" s="14">
        <v>0</v>
      </c>
      <c r="DX47" s="14">
        <v>0</v>
      </c>
      <c r="DY47" s="14">
        <v>0</v>
      </c>
      <c r="DZ47" s="14">
        <v>0</v>
      </c>
      <c r="EA47" s="14">
        <v>0</v>
      </c>
      <c r="EB47" s="14">
        <v>0</v>
      </c>
      <c r="EC47" s="14">
        <v>0</v>
      </c>
      <c r="ED47" s="14">
        <v>0</v>
      </c>
      <c r="EE47" s="14">
        <v>0</v>
      </c>
      <c r="EF47" s="14">
        <v>0</v>
      </c>
    </row>
    <row r="48" ht="32" customHeight="1" spans="1:136" x14ac:dyDescent="0.25">
      <c r="A48" s="15" t="s">
        <v>6</v>
      </c>
      <c r="B48" s="15" t="s">
        <v>23</v>
      </c>
      <c r="C48" s="15" t="s">
        <v>274</v>
      </c>
      <c r="D48" s="16" t="s">
        <v>275</v>
      </c>
      <c r="E48" s="17">
        <f>SUM(G48:EF48)</f>
      </c>
      <c r="F48" s="17">
        <f>IF(E48&gt;0,1,0)</f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9">
        <v>1</v>
      </c>
      <c r="AN48" s="18">
        <v>0</v>
      </c>
      <c r="AO48" s="18">
        <v>0</v>
      </c>
      <c r="AP48" s="19">
        <v>1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>
        <v>0</v>
      </c>
    </row>
    <row r="49" ht="32" customHeight="1" spans="1:136" x14ac:dyDescent="0.25">
      <c r="A49" s="4" t="s">
        <v>6</v>
      </c>
      <c r="B49" s="4" t="s">
        <v>23</v>
      </c>
      <c r="C49" s="4" t="s">
        <v>276</v>
      </c>
      <c r="D49" s="12" t="s">
        <v>277</v>
      </c>
      <c r="E49" s="8">
        <f>SUM(G49:EF49)</f>
      </c>
      <c r="F49" s="8">
        <f>IF(E49&gt;0,1,0)</f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3">
        <v>1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</row>
    <row r="50" ht="32" customHeight="1" spans="1:136" x14ac:dyDescent="0.25">
      <c r="A50" s="4" t="s">
        <v>6</v>
      </c>
      <c r="B50" s="4" t="s">
        <v>23</v>
      </c>
      <c r="C50" s="4" t="s">
        <v>278</v>
      </c>
      <c r="D50" s="12" t="s">
        <v>279</v>
      </c>
      <c r="E50" s="8">
        <f>SUM(G50:EF50)</f>
      </c>
      <c r="F50" s="8">
        <f>IF(E50&gt;0,1,0)</f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3">
        <v>1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</row>
    <row r="51" ht="32" customHeight="1" spans="1:136" x14ac:dyDescent="0.25">
      <c r="A51" s="4" t="s">
        <v>6</v>
      </c>
      <c r="B51" s="4" t="s">
        <v>23</v>
      </c>
      <c r="C51" s="4" t="s">
        <v>280</v>
      </c>
      <c r="D51" s="12" t="s">
        <v>281</v>
      </c>
      <c r="E51" s="8">
        <f>SUM(G51:EF51)</f>
      </c>
      <c r="F51" s="8">
        <f>IF(E51&gt;0,1,0)</f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3">
        <v>1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</row>
    <row r="52" ht="32" customHeight="1" spans="1:136" x14ac:dyDescent="0.25">
      <c r="A52" s="4" t="s">
        <v>6</v>
      </c>
      <c r="B52" s="4" t="s">
        <v>23</v>
      </c>
      <c r="C52" s="4" t="s">
        <v>282</v>
      </c>
      <c r="D52" s="12" t="s">
        <v>283</v>
      </c>
      <c r="E52" s="8">
        <f>SUM(G52:EF52)</f>
      </c>
      <c r="F52" s="8">
        <f>IF(E52&gt;0,1,0)</f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3">
        <v>1</v>
      </c>
      <c r="AS52" s="14">
        <v>0</v>
      </c>
      <c r="AT52" s="13">
        <v>1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</row>
    <row r="53" ht="32" customHeight="1" spans="1:136" x14ac:dyDescent="0.25">
      <c r="A53" s="4" t="s">
        <v>6</v>
      </c>
      <c r="B53" s="4" t="s">
        <v>23</v>
      </c>
      <c r="C53" s="4" t="s">
        <v>284</v>
      </c>
      <c r="D53" s="12" t="s">
        <v>285</v>
      </c>
      <c r="E53" s="8">
        <f>SUM(G53:EF53)</f>
      </c>
      <c r="F53" s="8">
        <f>IF(E53&gt;0,1,0)</f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3">
        <v>1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</row>
    <row r="54" ht="32" customHeight="1" spans="1:136" x14ac:dyDescent="0.25">
      <c r="A54" s="15" t="s">
        <v>6</v>
      </c>
      <c r="B54" s="15" t="s">
        <v>24</v>
      </c>
      <c r="C54" s="15" t="s">
        <v>286</v>
      </c>
      <c r="D54" s="16" t="s">
        <v>287</v>
      </c>
      <c r="E54" s="17">
        <f>SUM(G54:EF54)</f>
      </c>
      <c r="F54" s="17">
        <f>IF(E54&gt;0,1,0)</f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9">
        <v>1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18">
        <v>0</v>
      </c>
      <c r="CH54" s="18">
        <v>0</v>
      </c>
      <c r="CI54" s="18">
        <v>0</v>
      </c>
      <c r="CJ54" s="18">
        <v>0</v>
      </c>
      <c r="CK54" s="18">
        <v>0</v>
      </c>
      <c r="CL54" s="18">
        <v>0</v>
      </c>
      <c r="CM54" s="18">
        <v>0</v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  <c r="CY54" s="18">
        <v>0</v>
      </c>
      <c r="CZ54" s="18">
        <v>0</v>
      </c>
      <c r="DA54" s="18">
        <v>0</v>
      </c>
      <c r="DB54" s="18">
        <v>0</v>
      </c>
      <c r="DC54" s="18">
        <v>0</v>
      </c>
      <c r="DD54" s="18">
        <v>0</v>
      </c>
      <c r="DE54" s="18">
        <v>0</v>
      </c>
      <c r="DF54" s="18">
        <v>0</v>
      </c>
      <c r="DG54" s="18">
        <v>0</v>
      </c>
      <c r="DH54" s="18">
        <v>0</v>
      </c>
      <c r="DI54" s="18">
        <v>0</v>
      </c>
      <c r="DJ54" s="18">
        <v>0</v>
      </c>
      <c r="DK54" s="18">
        <v>0</v>
      </c>
      <c r="DL54" s="18">
        <v>0</v>
      </c>
      <c r="DM54" s="18">
        <v>0</v>
      </c>
      <c r="DN54" s="18">
        <v>0</v>
      </c>
      <c r="DO54" s="18">
        <v>0</v>
      </c>
      <c r="DP54" s="18">
        <v>0</v>
      </c>
      <c r="DQ54" s="18">
        <v>0</v>
      </c>
      <c r="DR54" s="18">
        <v>0</v>
      </c>
      <c r="DS54" s="18">
        <v>0</v>
      </c>
      <c r="DT54" s="18">
        <v>0</v>
      </c>
      <c r="DU54" s="18">
        <v>0</v>
      </c>
      <c r="DV54" s="18">
        <v>0</v>
      </c>
      <c r="DW54" s="18">
        <v>0</v>
      </c>
      <c r="DX54" s="18">
        <v>0</v>
      </c>
      <c r="DY54" s="18">
        <v>0</v>
      </c>
      <c r="DZ54" s="18">
        <v>0</v>
      </c>
      <c r="EA54" s="18">
        <v>0</v>
      </c>
      <c r="EB54" s="18">
        <v>0</v>
      </c>
      <c r="EC54" s="18">
        <v>0</v>
      </c>
      <c r="ED54" s="18">
        <v>0</v>
      </c>
      <c r="EE54" s="18">
        <v>0</v>
      </c>
      <c r="EF54" s="18">
        <v>0</v>
      </c>
    </row>
    <row r="55" ht="32" customHeight="1" spans="1:136" x14ac:dyDescent="0.25">
      <c r="A55" s="4" t="s">
        <v>6</v>
      </c>
      <c r="B55" s="4" t="s">
        <v>24</v>
      </c>
      <c r="C55" s="4" t="s">
        <v>288</v>
      </c>
      <c r="D55" s="12" t="s">
        <v>289</v>
      </c>
      <c r="E55" s="8">
        <f>SUM(G55:EF55)</f>
      </c>
      <c r="F55" s="8">
        <f>IF(E55&gt;0,1,0)</f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3">
        <v>1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</row>
    <row r="56" ht="32" customHeight="1" spans="1:136" x14ac:dyDescent="0.25">
      <c r="A56" s="4" t="s">
        <v>6</v>
      </c>
      <c r="B56" s="4" t="s">
        <v>24</v>
      </c>
      <c r="C56" s="4" t="s">
        <v>290</v>
      </c>
      <c r="D56" s="12" t="s">
        <v>291</v>
      </c>
      <c r="E56" s="8">
        <f>SUM(G56:EF56)</f>
      </c>
      <c r="F56" s="8">
        <f>IF(E56&gt;0,1,0)</f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3">
        <v>1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DZ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0</v>
      </c>
      <c r="EF56" s="14">
        <v>0</v>
      </c>
    </row>
    <row r="57" ht="32" customHeight="1" spans="1:136" x14ac:dyDescent="0.25">
      <c r="A57" s="4" t="s">
        <v>6</v>
      </c>
      <c r="B57" s="4" t="s">
        <v>24</v>
      </c>
      <c r="C57" s="4" t="s">
        <v>292</v>
      </c>
      <c r="D57" s="12" t="s">
        <v>293</v>
      </c>
      <c r="E57" s="8">
        <f>SUM(G57:EF57)</f>
      </c>
      <c r="F57" s="8">
        <f>IF(E57&gt;0,1,0)</f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3">
        <v>1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</row>
    <row r="58" ht="32" customHeight="1" spans="1:136" x14ac:dyDescent="0.25">
      <c r="A58" s="4" t="s">
        <v>6</v>
      </c>
      <c r="B58" s="4" t="s">
        <v>24</v>
      </c>
      <c r="C58" s="4" t="s">
        <v>294</v>
      </c>
      <c r="D58" s="12" t="s">
        <v>295</v>
      </c>
      <c r="E58" s="8">
        <f>SUM(G58:EF58)</f>
      </c>
      <c r="F58" s="8">
        <f>IF(E58&gt;0,1,0)</f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3">
        <v>1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3">
        <v>1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</row>
    <row r="59" ht="32" customHeight="1" spans="1:136" x14ac:dyDescent="0.25">
      <c r="A59" s="15" t="s">
        <v>6</v>
      </c>
      <c r="B59" s="15" t="s">
        <v>25</v>
      </c>
      <c r="C59" s="15" t="s">
        <v>296</v>
      </c>
      <c r="D59" s="16" t="s">
        <v>297</v>
      </c>
      <c r="E59" s="17">
        <f>SUM(G59:EF59)</f>
      </c>
      <c r="F59" s="17">
        <f>IF(E59&gt;0,1,0)</f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9">
        <v>1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  <c r="BZ59" s="18">
        <v>0</v>
      </c>
      <c r="CA59" s="18">
        <v>0</v>
      </c>
      <c r="CB59" s="18">
        <v>0</v>
      </c>
      <c r="CC59" s="18">
        <v>0</v>
      </c>
      <c r="CD59" s="18">
        <v>0</v>
      </c>
      <c r="CE59" s="18">
        <v>0</v>
      </c>
      <c r="CF59" s="18">
        <v>0</v>
      </c>
      <c r="CG59" s="18">
        <v>0</v>
      </c>
      <c r="CH59" s="18">
        <v>0</v>
      </c>
      <c r="CI59" s="18">
        <v>0</v>
      </c>
      <c r="CJ59" s="18">
        <v>0</v>
      </c>
      <c r="CK59" s="18">
        <v>0</v>
      </c>
      <c r="CL59" s="18">
        <v>0</v>
      </c>
      <c r="CM59" s="18">
        <v>0</v>
      </c>
      <c r="CN59" s="18">
        <v>0</v>
      </c>
      <c r="CO59" s="18">
        <v>0</v>
      </c>
      <c r="CP59" s="18">
        <v>0</v>
      </c>
      <c r="CQ59" s="18">
        <v>0</v>
      </c>
      <c r="CR59" s="18">
        <v>0</v>
      </c>
      <c r="CS59" s="18">
        <v>0</v>
      </c>
      <c r="CT59" s="18">
        <v>0</v>
      </c>
      <c r="CU59" s="18">
        <v>0</v>
      </c>
      <c r="CV59" s="18">
        <v>0</v>
      </c>
      <c r="CW59" s="18">
        <v>0</v>
      </c>
      <c r="CX59" s="18">
        <v>0</v>
      </c>
      <c r="CY59" s="18">
        <v>0</v>
      </c>
      <c r="CZ59" s="18">
        <v>0</v>
      </c>
      <c r="DA59" s="18">
        <v>0</v>
      </c>
      <c r="DB59" s="18">
        <v>0</v>
      </c>
      <c r="DC59" s="18">
        <v>0</v>
      </c>
      <c r="DD59" s="18">
        <v>0</v>
      </c>
      <c r="DE59" s="18">
        <v>0</v>
      </c>
      <c r="DF59" s="18">
        <v>0</v>
      </c>
      <c r="DG59" s="18">
        <v>0</v>
      </c>
      <c r="DH59" s="18">
        <v>0</v>
      </c>
      <c r="DI59" s="18">
        <v>0</v>
      </c>
      <c r="DJ59" s="18">
        <v>0</v>
      </c>
      <c r="DK59" s="18">
        <v>0</v>
      </c>
      <c r="DL59" s="18">
        <v>0</v>
      </c>
      <c r="DM59" s="18">
        <v>0</v>
      </c>
      <c r="DN59" s="18">
        <v>0</v>
      </c>
      <c r="DO59" s="18">
        <v>0</v>
      </c>
      <c r="DP59" s="18">
        <v>0</v>
      </c>
      <c r="DQ59" s="18">
        <v>0</v>
      </c>
      <c r="DR59" s="18">
        <v>0</v>
      </c>
      <c r="DS59" s="18">
        <v>0</v>
      </c>
      <c r="DT59" s="18">
        <v>0</v>
      </c>
      <c r="DU59" s="18">
        <v>0</v>
      </c>
      <c r="DV59" s="18">
        <v>0</v>
      </c>
      <c r="DW59" s="18">
        <v>0</v>
      </c>
      <c r="DX59" s="18">
        <v>0</v>
      </c>
      <c r="DY59" s="18">
        <v>0</v>
      </c>
      <c r="DZ59" s="18">
        <v>0</v>
      </c>
      <c r="EA59" s="18">
        <v>0</v>
      </c>
      <c r="EB59" s="18">
        <v>0</v>
      </c>
      <c r="EC59" s="18">
        <v>0</v>
      </c>
      <c r="ED59" s="18">
        <v>0</v>
      </c>
      <c r="EE59" s="18">
        <v>0</v>
      </c>
      <c r="EF59" s="18">
        <v>0</v>
      </c>
    </row>
    <row r="60" ht="32" customHeight="1" spans="1:136" x14ac:dyDescent="0.25">
      <c r="A60" s="4" t="s">
        <v>6</v>
      </c>
      <c r="B60" s="4" t="s">
        <v>25</v>
      </c>
      <c r="C60" s="4" t="s">
        <v>298</v>
      </c>
      <c r="D60" s="12" t="s">
        <v>299</v>
      </c>
      <c r="E60" s="8">
        <f>SUM(G60:EF60)</f>
      </c>
      <c r="F60" s="8">
        <f>IF(E60&gt;0,1,0)</f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3">
        <v>1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</row>
    <row r="61" ht="32" customHeight="1" spans="1:136" x14ac:dyDescent="0.25">
      <c r="A61" s="4" t="s">
        <v>6</v>
      </c>
      <c r="B61" s="4" t="s">
        <v>25</v>
      </c>
      <c r="C61" s="4" t="s">
        <v>300</v>
      </c>
      <c r="D61" s="12" t="s">
        <v>301</v>
      </c>
      <c r="E61" s="8">
        <f>SUM(G61:EF61)</f>
      </c>
      <c r="F61" s="8">
        <f>IF(E61&gt;0,1,0)</f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3">
        <v>1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</row>
    <row r="62" ht="32" customHeight="1" spans="1:136" x14ac:dyDescent="0.25">
      <c r="A62" s="4" t="s">
        <v>6</v>
      </c>
      <c r="B62" s="4" t="s">
        <v>25</v>
      </c>
      <c r="C62" s="4" t="s">
        <v>302</v>
      </c>
      <c r="D62" s="12" t="s">
        <v>303</v>
      </c>
      <c r="E62" s="8">
        <f>SUM(G62:EF62)</f>
      </c>
      <c r="F62" s="8">
        <f>IF(E62&gt;0,1,0)</f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3">
        <v>1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</row>
    <row r="63" ht="32" customHeight="1" spans="1:136" x14ac:dyDescent="0.25">
      <c r="A63" s="4" t="s">
        <v>6</v>
      </c>
      <c r="B63" s="4" t="s">
        <v>25</v>
      </c>
      <c r="C63" s="4" t="s">
        <v>304</v>
      </c>
      <c r="D63" s="12" t="s">
        <v>305</v>
      </c>
      <c r="E63" s="8">
        <f>SUM(G63:EF63)</f>
      </c>
      <c r="F63" s="8">
        <f>IF(E63&gt;0,1,0)</f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3">
        <v>1</v>
      </c>
      <c r="AG63" s="14">
        <v>0</v>
      </c>
      <c r="AH63" s="14">
        <v>0</v>
      </c>
      <c r="AI63" s="14">
        <v>0</v>
      </c>
      <c r="AJ63" s="13">
        <v>1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3">
        <v>1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</row>
    <row r="64" ht="32" customHeight="1" spans="1:136" x14ac:dyDescent="0.25">
      <c r="A64" s="15" t="s">
        <v>7</v>
      </c>
      <c r="B64" s="15" t="s">
        <v>26</v>
      </c>
      <c r="C64" s="15" t="s">
        <v>186</v>
      </c>
      <c r="D64" s="16" t="s">
        <v>306</v>
      </c>
      <c r="E64" s="17">
        <f>SUM(G64:EF64)</f>
      </c>
      <c r="F64" s="17">
        <f>IF(E64&gt;0,1,0)</f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9">
        <v>1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0</v>
      </c>
      <c r="BM64" s="18">
        <v>0</v>
      </c>
      <c r="BN64" s="18">
        <v>0</v>
      </c>
      <c r="BO64" s="18">
        <v>0</v>
      </c>
      <c r="BP64" s="18">
        <v>0</v>
      </c>
      <c r="BQ64" s="18">
        <v>0</v>
      </c>
      <c r="BR64" s="18">
        <v>0</v>
      </c>
      <c r="BS64" s="18">
        <v>0</v>
      </c>
      <c r="BT64" s="18">
        <v>0</v>
      </c>
      <c r="BU64" s="18">
        <v>0</v>
      </c>
      <c r="BV64" s="18">
        <v>0</v>
      </c>
      <c r="BW64" s="18">
        <v>0</v>
      </c>
      <c r="BX64" s="18">
        <v>0</v>
      </c>
      <c r="BY64" s="18">
        <v>0</v>
      </c>
      <c r="BZ64" s="18">
        <v>0</v>
      </c>
      <c r="CA64" s="18">
        <v>0</v>
      </c>
      <c r="CB64" s="18">
        <v>0</v>
      </c>
      <c r="CC64" s="18">
        <v>0</v>
      </c>
      <c r="CD64" s="18">
        <v>0</v>
      </c>
      <c r="CE64" s="18">
        <v>0</v>
      </c>
      <c r="CF64" s="18">
        <v>0</v>
      </c>
      <c r="CG64" s="18">
        <v>0</v>
      </c>
      <c r="CH64" s="18">
        <v>0</v>
      </c>
      <c r="CI64" s="18">
        <v>0</v>
      </c>
      <c r="CJ64" s="18">
        <v>0</v>
      </c>
      <c r="CK64" s="18">
        <v>0</v>
      </c>
      <c r="CL64" s="18">
        <v>0</v>
      </c>
      <c r="CM64" s="18">
        <v>0</v>
      </c>
      <c r="CN64" s="18">
        <v>0</v>
      </c>
      <c r="CO64" s="18">
        <v>0</v>
      </c>
      <c r="CP64" s="18">
        <v>0</v>
      </c>
      <c r="CQ64" s="18">
        <v>0</v>
      </c>
      <c r="CR64" s="18">
        <v>0</v>
      </c>
      <c r="CS64" s="18">
        <v>0</v>
      </c>
      <c r="CT64" s="18">
        <v>0</v>
      </c>
      <c r="CU64" s="18">
        <v>0</v>
      </c>
      <c r="CV64" s="18">
        <v>0</v>
      </c>
      <c r="CW64" s="18">
        <v>0</v>
      </c>
      <c r="CX64" s="18">
        <v>0</v>
      </c>
      <c r="CY64" s="18">
        <v>0</v>
      </c>
      <c r="CZ64" s="18">
        <v>0</v>
      </c>
      <c r="DA64" s="18">
        <v>0</v>
      </c>
      <c r="DB64" s="18">
        <v>0</v>
      </c>
      <c r="DC64" s="18">
        <v>0</v>
      </c>
      <c r="DD64" s="18">
        <v>0</v>
      </c>
      <c r="DE64" s="18">
        <v>0</v>
      </c>
      <c r="DF64" s="18">
        <v>0</v>
      </c>
      <c r="DG64" s="18">
        <v>0</v>
      </c>
      <c r="DH64" s="18">
        <v>0</v>
      </c>
      <c r="DI64" s="18">
        <v>0</v>
      </c>
      <c r="DJ64" s="18">
        <v>0</v>
      </c>
      <c r="DK64" s="18">
        <v>0</v>
      </c>
      <c r="DL64" s="18">
        <v>0</v>
      </c>
      <c r="DM64" s="18">
        <v>0</v>
      </c>
      <c r="DN64" s="18">
        <v>0</v>
      </c>
      <c r="DO64" s="18">
        <v>0</v>
      </c>
      <c r="DP64" s="18">
        <v>0</v>
      </c>
      <c r="DQ64" s="18">
        <v>0</v>
      </c>
      <c r="DR64" s="18">
        <v>0</v>
      </c>
      <c r="DS64" s="18">
        <v>0</v>
      </c>
      <c r="DT64" s="18">
        <v>0</v>
      </c>
      <c r="DU64" s="18">
        <v>0</v>
      </c>
      <c r="DV64" s="18">
        <v>0</v>
      </c>
      <c r="DW64" s="18">
        <v>0</v>
      </c>
      <c r="DX64" s="18">
        <v>0</v>
      </c>
      <c r="DY64" s="18">
        <v>0</v>
      </c>
      <c r="DZ64" s="18">
        <v>0</v>
      </c>
      <c r="EA64" s="18">
        <v>0</v>
      </c>
      <c r="EB64" s="18">
        <v>0</v>
      </c>
      <c r="EC64" s="18">
        <v>0</v>
      </c>
      <c r="ED64" s="18">
        <v>0</v>
      </c>
      <c r="EE64" s="18">
        <v>0</v>
      </c>
      <c r="EF64" s="18">
        <v>0</v>
      </c>
    </row>
    <row r="65" ht="32" customHeight="1" spans="1:136" x14ac:dyDescent="0.25">
      <c r="A65" s="4" t="s">
        <v>7</v>
      </c>
      <c r="B65" s="4" t="s">
        <v>26</v>
      </c>
      <c r="C65" s="4" t="s">
        <v>188</v>
      </c>
      <c r="D65" s="12" t="s">
        <v>307</v>
      </c>
      <c r="E65" s="8">
        <f>SUM(G65:EF65)</f>
      </c>
      <c r="F65" s="8">
        <f>IF(E65&gt;0,1,0)</f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3">
        <v>1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</row>
    <row r="66" ht="32" customHeight="1" spans="1:136" x14ac:dyDescent="0.25">
      <c r="A66" s="4" t="s">
        <v>7</v>
      </c>
      <c r="B66" s="4" t="s">
        <v>26</v>
      </c>
      <c r="C66" s="4" t="s">
        <v>190</v>
      </c>
      <c r="D66" s="12" t="s">
        <v>308</v>
      </c>
      <c r="E66" s="8">
        <f>SUM(G66:EF66)</f>
      </c>
      <c r="F66" s="8">
        <f>IF(E66&gt;0,1,0)</f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3">
        <v>1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</row>
    <row r="67" ht="32" customHeight="1" spans="1:136" x14ac:dyDescent="0.25">
      <c r="A67" s="4" t="s">
        <v>7</v>
      </c>
      <c r="B67" s="4" t="s">
        <v>26</v>
      </c>
      <c r="C67" s="4" t="s">
        <v>192</v>
      </c>
      <c r="D67" s="12" t="s">
        <v>309</v>
      </c>
      <c r="E67" s="8">
        <f>SUM(G67:EF67)</f>
      </c>
      <c r="F67" s="8">
        <f>IF(E67&gt;0,1,0)</f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3">
        <v>1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</row>
    <row r="68" ht="32" customHeight="1" spans="1:136" x14ac:dyDescent="0.25">
      <c r="A68" s="4" t="s">
        <v>7</v>
      </c>
      <c r="B68" s="4" t="s">
        <v>26</v>
      </c>
      <c r="C68" s="4" t="s">
        <v>310</v>
      </c>
      <c r="D68" s="12" t="s">
        <v>311</v>
      </c>
      <c r="E68" s="8">
        <f>SUM(G68:EF68)</f>
      </c>
      <c r="F68" s="8">
        <f>IF(E68&gt;0,1,0)</f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3">
        <v>1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0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</row>
    <row r="69" ht="32" customHeight="1" spans="1:136" x14ac:dyDescent="0.25">
      <c r="A69" s="4" t="s">
        <v>7</v>
      </c>
      <c r="B69" s="4" t="s">
        <v>26</v>
      </c>
      <c r="C69" s="4" t="s">
        <v>312</v>
      </c>
      <c r="D69" s="12" t="s">
        <v>313</v>
      </c>
      <c r="E69" s="8">
        <f>SUM(G69:EF69)</f>
      </c>
      <c r="F69" s="8">
        <f>IF(E69&gt;0,1,0)</f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3">
        <v>1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</row>
    <row r="70" ht="32" customHeight="1" spans="1:136" x14ac:dyDescent="0.25">
      <c r="A70" s="4" t="s">
        <v>7</v>
      </c>
      <c r="B70" s="4" t="s">
        <v>26</v>
      </c>
      <c r="C70" s="4" t="s">
        <v>314</v>
      </c>
      <c r="D70" s="12" t="s">
        <v>315</v>
      </c>
      <c r="E70" s="8">
        <f>SUM(G70:EF70)</f>
      </c>
      <c r="F70" s="8">
        <f>IF(E70&gt;0,1,0)</f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3">
        <v>1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</row>
    <row r="71" ht="32" customHeight="1" spans="1:136" x14ac:dyDescent="0.25">
      <c r="A71" s="4" t="s">
        <v>7</v>
      </c>
      <c r="B71" s="4" t="s">
        <v>26</v>
      </c>
      <c r="C71" s="4" t="s">
        <v>316</v>
      </c>
      <c r="D71" s="12" t="s">
        <v>317</v>
      </c>
      <c r="E71" s="8">
        <f>SUM(G71:EF71)</f>
      </c>
      <c r="F71" s="8">
        <f>IF(E71&gt;0,1,0)</f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3">
        <v>1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0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</row>
    <row r="72" ht="32" customHeight="1" spans="1:136" x14ac:dyDescent="0.25">
      <c r="A72" s="4" t="s">
        <v>7</v>
      </c>
      <c r="B72" s="4" t="s">
        <v>26</v>
      </c>
      <c r="C72" s="4" t="s">
        <v>318</v>
      </c>
      <c r="D72" s="12" t="s">
        <v>319</v>
      </c>
      <c r="E72" s="8">
        <f>SUM(G72:EF72)</f>
      </c>
      <c r="F72" s="8">
        <f>IF(E72&gt;0,1,0)</f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3">
        <v>1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</row>
    <row r="73" ht="32" customHeight="1" spans="1:136" x14ac:dyDescent="0.25">
      <c r="A73" s="4" t="s">
        <v>7</v>
      </c>
      <c r="B73" s="4" t="s">
        <v>26</v>
      </c>
      <c r="C73" s="4" t="s">
        <v>320</v>
      </c>
      <c r="D73" s="12" t="s">
        <v>321</v>
      </c>
      <c r="E73" s="8">
        <f>SUM(G73:EF73)</f>
      </c>
      <c r="F73" s="8">
        <f>IF(E73&gt;0,1,0)</f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3">
        <v>1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</row>
    <row r="74" ht="32" customHeight="1" spans="1:136" x14ac:dyDescent="0.25">
      <c r="A74" s="15" t="s">
        <v>7</v>
      </c>
      <c r="B74" s="15" t="s">
        <v>27</v>
      </c>
      <c r="C74" s="15" t="s">
        <v>194</v>
      </c>
      <c r="D74" s="16" t="s">
        <v>322</v>
      </c>
      <c r="E74" s="17">
        <f>SUM(G74:EF74)</f>
      </c>
      <c r="F74" s="17">
        <f>IF(E74&gt;0,1,0)</f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9">
        <v>1</v>
      </c>
      <c r="BK74" s="18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8">
        <v>0</v>
      </c>
      <c r="CE74" s="18">
        <v>0</v>
      </c>
      <c r="CF74" s="18">
        <v>0</v>
      </c>
      <c r="CG74" s="18">
        <v>0</v>
      </c>
      <c r="CH74" s="18">
        <v>0</v>
      </c>
      <c r="CI74" s="18">
        <v>0</v>
      </c>
      <c r="CJ74" s="18">
        <v>0</v>
      </c>
      <c r="CK74" s="18">
        <v>0</v>
      </c>
      <c r="CL74" s="18">
        <v>0</v>
      </c>
      <c r="CM74" s="18">
        <v>0</v>
      </c>
      <c r="CN74" s="18">
        <v>0</v>
      </c>
      <c r="CO74" s="18">
        <v>0</v>
      </c>
      <c r="CP74" s="18">
        <v>0</v>
      </c>
      <c r="CQ74" s="18">
        <v>0</v>
      </c>
      <c r="CR74" s="18">
        <v>0</v>
      </c>
      <c r="CS74" s="18">
        <v>0</v>
      </c>
      <c r="CT74" s="18">
        <v>0</v>
      </c>
      <c r="CU74" s="18">
        <v>0</v>
      </c>
      <c r="CV74" s="18">
        <v>0</v>
      </c>
      <c r="CW74" s="18">
        <v>0</v>
      </c>
      <c r="CX74" s="18">
        <v>0</v>
      </c>
      <c r="CY74" s="18">
        <v>0</v>
      </c>
      <c r="CZ74" s="18">
        <v>0</v>
      </c>
      <c r="DA74" s="18">
        <v>0</v>
      </c>
      <c r="DB74" s="18">
        <v>0</v>
      </c>
      <c r="DC74" s="18">
        <v>0</v>
      </c>
      <c r="DD74" s="18">
        <v>0</v>
      </c>
      <c r="DE74" s="18">
        <v>0</v>
      </c>
      <c r="DF74" s="18">
        <v>0</v>
      </c>
      <c r="DG74" s="18">
        <v>0</v>
      </c>
      <c r="DH74" s="18">
        <v>0</v>
      </c>
      <c r="DI74" s="18">
        <v>0</v>
      </c>
      <c r="DJ74" s="18">
        <v>0</v>
      </c>
      <c r="DK74" s="18">
        <v>0</v>
      </c>
      <c r="DL74" s="18">
        <v>0</v>
      </c>
      <c r="DM74" s="18">
        <v>0</v>
      </c>
      <c r="DN74" s="18">
        <v>0</v>
      </c>
      <c r="DO74" s="18">
        <v>0</v>
      </c>
      <c r="DP74" s="18">
        <v>0</v>
      </c>
      <c r="DQ74" s="18">
        <v>0</v>
      </c>
      <c r="DR74" s="18">
        <v>0</v>
      </c>
      <c r="DS74" s="18">
        <v>0</v>
      </c>
      <c r="DT74" s="18">
        <v>0</v>
      </c>
      <c r="DU74" s="18">
        <v>0</v>
      </c>
      <c r="DV74" s="18">
        <v>0</v>
      </c>
      <c r="DW74" s="18">
        <v>0</v>
      </c>
      <c r="DX74" s="18">
        <v>0</v>
      </c>
      <c r="DY74" s="18">
        <v>0</v>
      </c>
      <c r="DZ74" s="18">
        <v>0</v>
      </c>
      <c r="EA74" s="18">
        <v>0</v>
      </c>
      <c r="EB74" s="18">
        <v>0</v>
      </c>
      <c r="EC74" s="18">
        <v>0</v>
      </c>
      <c r="ED74" s="18">
        <v>0</v>
      </c>
      <c r="EE74" s="18">
        <v>0</v>
      </c>
      <c r="EF74" s="18">
        <v>0</v>
      </c>
    </row>
    <row r="75" ht="32" customHeight="1" spans="1:136" x14ac:dyDescent="0.25">
      <c r="A75" s="4" t="s">
        <v>7</v>
      </c>
      <c r="B75" s="4" t="s">
        <v>27</v>
      </c>
      <c r="C75" s="4" t="s">
        <v>196</v>
      </c>
      <c r="D75" s="12" t="s">
        <v>323</v>
      </c>
      <c r="E75" s="8">
        <f>SUM(G75:EF75)</f>
      </c>
      <c r="F75" s="8">
        <f>IF(E75&gt;0,1,0)</f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3">
        <v>1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0</v>
      </c>
      <c r="DW75" s="14">
        <v>0</v>
      </c>
      <c r="DX75" s="14">
        <v>0</v>
      </c>
      <c r="DY75" s="14">
        <v>0</v>
      </c>
      <c r="DZ75" s="14">
        <v>0</v>
      </c>
      <c r="EA75" s="14">
        <v>0</v>
      </c>
      <c r="EB75" s="14">
        <v>0</v>
      </c>
      <c r="EC75" s="14">
        <v>0</v>
      </c>
      <c r="ED75" s="14">
        <v>0</v>
      </c>
      <c r="EE75" s="14">
        <v>0</v>
      </c>
      <c r="EF75" s="14">
        <v>0</v>
      </c>
    </row>
    <row r="76" ht="32" customHeight="1" spans="1:136" x14ac:dyDescent="0.25">
      <c r="A76" s="4" t="s">
        <v>7</v>
      </c>
      <c r="B76" s="4" t="s">
        <v>27</v>
      </c>
      <c r="C76" s="4" t="s">
        <v>198</v>
      </c>
      <c r="D76" s="12" t="s">
        <v>324</v>
      </c>
      <c r="E76" s="8">
        <f>SUM(G76:EF76)</f>
      </c>
      <c r="F76" s="8">
        <f>IF(E76&gt;0,1,0)</f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3">
        <v>1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14">
        <v>0</v>
      </c>
      <c r="DW76" s="14">
        <v>0</v>
      </c>
      <c r="DX76" s="14">
        <v>0</v>
      </c>
      <c r="DY76" s="14">
        <v>0</v>
      </c>
      <c r="DZ76" s="14">
        <v>0</v>
      </c>
      <c r="EA76" s="14">
        <v>0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</row>
    <row r="77" ht="32" customHeight="1" spans="1:136" x14ac:dyDescent="0.25">
      <c r="A77" s="4" t="s">
        <v>7</v>
      </c>
      <c r="B77" s="4" t="s">
        <v>27</v>
      </c>
      <c r="C77" s="4" t="s">
        <v>200</v>
      </c>
      <c r="D77" s="12" t="s">
        <v>325</v>
      </c>
      <c r="E77" s="8">
        <f>SUM(G77:EF77)</f>
      </c>
      <c r="F77" s="8">
        <f>IF(E77&gt;0,1,0)</f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3">
        <v>1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0</v>
      </c>
      <c r="EA77" s="14">
        <v>0</v>
      </c>
      <c r="EB77" s="14">
        <v>0</v>
      </c>
      <c r="EC77" s="14">
        <v>0</v>
      </c>
      <c r="ED77" s="14">
        <v>0</v>
      </c>
      <c r="EE77" s="14">
        <v>0</v>
      </c>
      <c r="EF77" s="14">
        <v>0</v>
      </c>
    </row>
    <row r="78" ht="32" customHeight="1" spans="1:136" x14ac:dyDescent="0.25">
      <c r="A78" s="4" t="s">
        <v>7</v>
      </c>
      <c r="B78" s="4" t="s">
        <v>27</v>
      </c>
      <c r="C78" s="4" t="s">
        <v>326</v>
      </c>
      <c r="D78" s="12" t="s">
        <v>327</v>
      </c>
      <c r="E78" s="8">
        <f>SUM(G78:EF78)</f>
      </c>
      <c r="F78" s="8">
        <f>IF(E78&gt;0,1,0)</f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3">
        <v>1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  <c r="DQ78" s="14">
        <v>0</v>
      </c>
      <c r="DR78" s="14">
        <v>0</v>
      </c>
      <c r="DS78" s="14">
        <v>0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0</v>
      </c>
      <c r="DZ78" s="14">
        <v>0</v>
      </c>
      <c r="EA78" s="14">
        <v>0</v>
      </c>
      <c r="EB78" s="14">
        <v>0</v>
      </c>
      <c r="EC78" s="14">
        <v>0</v>
      </c>
      <c r="ED78" s="14">
        <v>0</v>
      </c>
      <c r="EE78" s="14">
        <v>0</v>
      </c>
      <c r="EF78" s="14">
        <v>0</v>
      </c>
    </row>
    <row r="79" ht="32" customHeight="1" spans="1:136" x14ac:dyDescent="0.25">
      <c r="A79" s="15" t="s">
        <v>7</v>
      </c>
      <c r="B79" s="15" t="s">
        <v>28</v>
      </c>
      <c r="C79" s="15" t="s">
        <v>202</v>
      </c>
      <c r="D79" s="16" t="s">
        <v>328</v>
      </c>
      <c r="E79" s="17">
        <f>SUM(G79:EF79)</f>
      </c>
      <c r="F79" s="17">
        <f>IF(E79&gt;0,1,0)</f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9">
        <v>1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8">
        <v>0</v>
      </c>
      <c r="DI79" s="18">
        <v>0</v>
      </c>
      <c r="DJ79" s="18">
        <v>0</v>
      </c>
      <c r="DK79" s="18">
        <v>0</v>
      </c>
      <c r="DL79" s="18">
        <v>0</v>
      </c>
      <c r="DM79" s="18">
        <v>0</v>
      </c>
      <c r="DN79" s="18">
        <v>0</v>
      </c>
      <c r="DO79" s="18">
        <v>0</v>
      </c>
      <c r="DP79" s="18">
        <v>0</v>
      </c>
      <c r="DQ79" s="18">
        <v>0</v>
      </c>
      <c r="DR79" s="18">
        <v>0</v>
      </c>
      <c r="DS79" s="18">
        <v>0</v>
      </c>
      <c r="DT79" s="18">
        <v>0</v>
      </c>
      <c r="DU79" s="18">
        <v>0</v>
      </c>
      <c r="DV79" s="18">
        <v>0</v>
      </c>
      <c r="DW79" s="18">
        <v>0</v>
      </c>
      <c r="DX79" s="18">
        <v>0</v>
      </c>
      <c r="DY79" s="18">
        <v>0</v>
      </c>
      <c r="DZ79" s="18">
        <v>0</v>
      </c>
      <c r="EA79" s="18">
        <v>0</v>
      </c>
      <c r="EB79" s="18">
        <v>0</v>
      </c>
      <c r="EC79" s="18">
        <v>0</v>
      </c>
      <c r="ED79" s="18">
        <v>0</v>
      </c>
      <c r="EE79" s="18">
        <v>0</v>
      </c>
      <c r="EF79" s="18">
        <v>0</v>
      </c>
    </row>
    <row r="80" ht="32" customHeight="1" spans="1:136" x14ac:dyDescent="0.25">
      <c r="A80" s="4" t="s">
        <v>7</v>
      </c>
      <c r="B80" s="4" t="s">
        <v>28</v>
      </c>
      <c r="C80" s="4" t="s">
        <v>204</v>
      </c>
      <c r="D80" s="12" t="s">
        <v>329</v>
      </c>
      <c r="E80" s="8">
        <f>SUM(G80:EF80)</f>
      </c>
      <c r="F80" s="8">
        <f>IF(E80&gt;0,1,0)</f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3">
        <v>1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  <c r="DQ80" s="14">
        <v>0</v>
      </c>
      <c r="DR80" s="14">
        <v>0</v>
      </c>
      <c r="DS80" s="14">
        <v>0</v>
      </c>
      <c r="DT80" s="14">
        <v>0</v>
      </c>
      <c r="DU80" s="14">
        <v>0</v>
      </c>
      <c r="DV80" s="14">
        <v>0</v>
      </c>
      <c r="DW80" s="14">
        <v>0</v>
      </c>
      <c r="DX80" s="14">
        <v>0</v>
      </c>
      <c r="DY80" s="14">
        <v>0</v>
      </c>
      <c r="DZ80" s="14">
        <v>0</v>
      </c>
      <c r="EA80" s="14">
        <v>0</v>
      </c>
      <c r="EB80" s="14">
        <v>0</v>
      </c>
      <c r="EC80" s="14">
        <v>0</v>
      </c>
      <c r="ED80" s="14">
        <v>0</v>
      </c>
      <c r="EE80" s="14">
        <v>0</v>
      </c>
      <c r="EF80" s="14">
        <v>0</v>
      </c>
    </row>
    <row r="81" ht="32" customHeight="1" spans="1:136" x14ac:dyDescent="0.25">
      <c r="A81" s="4" t="s">
        <v>7</v>
      </c>
      <c r="B81" s="4" t="s">
        <v>28</v>
      </c>
      <c r="C81" s="4" t="s">
        <v>206</v>
      </c>
      <c r="D81" s="12" t="s">
        <v>330</v>
      </c>
      <c r="E81" s="8">
        <f>SUM(G81:EF81)</f>
      </c>
      <c r="F81" s="8">
        <f>IF(E81&gt;0,1,0)</f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3">
        <v>1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  <c r="DQ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0</v>
      </c>
      <c r="DW81" s="14">
        <v>0</v>
      </c>
      <c r="DX81" s="14">
        <v>0</v>
      </c>
      <c r="DY81" s="14">
        <v>0</v>
      </c>
      <c r="DZ81" s="14">
        <v>0</v>
      </c>
      <c r="EA81" s="14">
        <v>0</v>
      </c>
      <c r="EB81" s="14">
        <v>0</v>
      </c>
      <c r="EC81" s="14">
        <v>0</v>
      </c>
      <c r="ED81" s="14">
        <v>0</v>
      </c>
      <c r="EE81" s="14">
        <v>0</v>
      </c>
      <c r="EF81" s="14">
        <v>0</v>
      </c>
    </row>
    <row r="82" ht="32" customHeight="1" spans="1:136" x14ac:dyDescent="0.25">
      <c r="A82" s="4" t="s">
        <v>7</v>
      </c>
      <c r="B82" s="4" t="s">
        <v>28</v>
      </c>
      <c r="C82" s="4" t="s">
        <v>208</v>
      </c>
      <c r="D82" s="12" t="s">
        <v>331</v>
      </c>
      <c r="E82" s="8">
        <f>SUM(G82:EF82)</f>
      </c>
      <c r="F82" s="8">
        <f>IF(E82&gt;0,1,0)</f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3">
        <v>1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</row>
    <row r="83" ht="32" customHeight="1" spans="1:136" x14ac:dyDescent="0.25">
      <c r="A83" s="4" t="s">
        <v>7</v>
      </c>
      <c r="B83" s="4" t="s">
        <v>28</v>
      </c>
      <c r="C83" s="4" t="s">
        <v>210</v>
      </c>
      <c r="D83" s="12" t="s">
        <v>332</v>
      </c>
      <c r="E83" s="8">
        <f>SUM(G83:EF83)</f>
      </c>
      <c r="F83" s="8">
        <f>IF(E83&gt;0,1,0)</f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3">
        <v>1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DZ83" s="14">
        <v>0</v>
      </c>
      <c r="EA83" s="14">
        <v>0</v>
      </c>
      <c r="EB83" s="14">
        <v>0</v>
      </c>
      <c r="EC83" s="14">
        <v>0</v>
      </c>
      <c r="ED83" s="14">
        <v>0</v>
      </c>
      <c r="EE83" s="14">
        <v>0</v>
      </c>
      <c r="EF83" s="14">
        <v>0</v>
      </c>
    </row>
    <row r="84" ht="32" customHeight="1" spans="1:136" x14ac:dyDescent="0.25">
      <c r="A84" s="15" t="s">
        <v>7</v>
      </c>
      <c r="B84" s="15" t="s">
        <v>29</v>
      </c>
      <c r="C84" s="15" t="s">
        <v>212</v>
      </c>
      <c r="D84" s="16" t="s">
        <v>333</v>
      </c>
      <c r="E84" s="17">
        <f>SUM(G84:EF84)</f>
      </c>
      <c r="F84" s="17">
        <f>IF(E84&gt;0,1,0)</f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9">
        <v>1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  <c r="CF84" s="18">
        <v>0</v>
      </c>
      <c r="CG84" s="18">
        <v>0</v>
      </c>
      <c r="CH84" s="18">
        <v>0</v>
      </c>
      <c r="CI84" s="18">
        <v>0</v>
      </c>
      <c r="CJ84" s="18">
        <v>0</v>
      </c>
      <c r="CK84" s="18">
        <v>0</v>
      </c>
      <c r="CL84" s="18">
        <v>0</v>
      </c>
      <c r="CM84" s="18">
        <v>0</v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  <c r="CT84" s="18">
        <v>0</v>
      </c>
      <c r="CU84" s="18">
        <v>0</v>
      </c>
      <c r="CV84" s="18">
        <v>0</v>
      </c>
      <c r="CW84" s="18">
        <v>0</v>
      </c>
      <c r="CX84" s="18">
        <v>0</v>
      </c>
      <c r="CY84" s="18">
        <v>0</v>
      </c>
      <c r="CZ84" s="18">
        <v>0</v>
      </c>
      <c r="DA84" s="18">
        <v>0</v>
      </c>
      <c r="DB84" s="18">
        <v>0</v>
      </c>
      <c r="DC84" s="18">
        <v>0</v>
      </c>
      <c r="DD84" s="18">
        <v>0</v>
      </c>
      <c r="DE84" s="18">
        <v>0</v>
      </c>
      <c r="DF84" s="18">
        <v>0</v>
      </c>
      <c r="DG84" s="18">
        <v>0</v>
      </c>
      <c r="DH84" s="18">
        <v>0</v>
      </c>
      <c r="DI84" s="18">
        <v>0</v>
      </c>
      <c r="DJ84" s="18">
        <v>0</v>
      </c>
      <c r="DK84" s="18">
        <v>0</v>
      </c>
      <c r="DL84" s="18">
        <v>0</v>
      </c>
      <c r="DM84" s="18">
        <v>0</v>
      </c>
      <c r="DN84" s="18">
        <v>0</v>
      </c>
      <c r="DO84" s="18">
        <v>0</v>
      </c>
      <c r="DP84" s="18">
        <v>0</v>
      </c>
      <c r="DQ84" s="18">
        <v>0</v>
      </c>
      <c r="DR84" s="18">
        <v>0</v>
      </c>
      <c r="DS84" s="18">
        <v>0</v>
      </c>
      <c r="DT84" s="18">
        <v>0</v>
      </c>
      <c r="DU84" s="18">
        <v>0</v>
      </c>
      <c r="DV84" s="18">
        <v>0</v>
      </c>
      <c r="DW84" s="18">
        <v>0</v>
      </c>
      <c r="DX84" s="18">
        <v>0</v>
      </c>
      <c r="DY84" s="18">
        <v>0</v>
      </c>
      <c r="DZ84" s="18">
        <v>0</v>
      </c>
      <c r="EA84" s="18">
        <v>0</v>
      </c>
      <c r="EB84" s="18">
        <v>0</v>
      </c>
      <c r="EC84" s="18">
        <v>0</v>
      </c>
      <c r="ED84" s="18">
        <v>0</v>
      </c>
      <c r="EE84" s="18">
        <v>0</v>
      </c>
      <c r="EF84" s="18">
        <v>0</v>
      </c>
    </row>
    <row r="85" ht="32" customHeight="1" spans="1:136" x14ac:dyDescent="0.25">
      <c r="A85" s="4" t="s">
        <v>7</v>
      </c>
      <c r="B85" s="4" t="s">
        <v>29</v>
      </c>
      <c r="C85" s="4" t="s">
        <v>214</v>
      </c>
      <c r="D85" s="12" t="s">
        <v>334</v>
      </c>
      <c r="E85" s="8">
        <f>SUM(G85:EF85)</f>
      </c>
      <c r="F85" s="8">
        <f>IF(E85&gt;0,1,0)</f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3">
        <v>1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4">
        <v>0</v>
      </c>
      <c r="EA85" s="14">
        <v>0</v>
      </c>
      <c r="EB85" s="14">
        <v>0</v>
      </c>
      <c r="EC85" s="14">
        <v>0</v>
      </c>
      <c r="ED85" s="14">
        <v>0</v>
      </c>
      <c r="EE85" s="14">
        <v>0</v>
      </c>
      <c r="EF85" s="14">
        <v>0</v>
      </c>
    </row>
    <row r="86" ht="32" customHeight="1" spans="1:136" x14ac:dyDescent="0.25">
      <c r="A86" s="4" t="s">
        <v>7</v>
      </c>
      <c r="B86" s="4" t="s">
        <v>29</v>
      </c>
      <c r="C86" s="4" t="s">
        <v>216</v>
      </c>
      <c r="D86" s="12" t="s">
        <v>335</v>
      </c>
      <c r="E86" s="8">
        <f>SUM(G86:EF86)</f>
      </c>
      <c r="F86" s="8">
        <f>IF(E86&gt;0,1,0)</f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3">
        <v>1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0</v>
      </c>
      <c r="DZ86" s="14">
        <v>0</v>
      </c>
      <c r="EA86" s="14">
        <v>0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</row>
    <row r="87" ht="32" customHeight="1" spans="1:136" x14ac:dyDescent="0.25">
      <c r="A87" s="4" t="s">
        <v>7</v>
      </c>
      <c r="B87" s="4" t="s">
        <v>29</v>
      </c>
      <c r="C87" s="4" t="s">
        <v>218</v>
      </c>
      <c r="D87" s="12" t="s">
        <v>336</v>
      </c>
      <c r="E87" s="8">
        <f>SUM(G87:EF87)</f>
      </c>
      <c r="F87" s="8">
        <f>IF(E87&gt;0,1,0)</f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3">
        <v>1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0</v>
      </c>
      <c r="DQ87" s="14">
        <v>0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0</v>
      </c>
      <c r="DZ87" s="14">
        <v>0</v>
      </c>
      <c r="EA87" s="14">
        <v>0</v>
      </c>
      <c r="EB87" s="14">
        <v>0</v>
      </c>
      <c r="EC87" s="14">
        <v>0</v>
      </c>
      <c r="ED87" s="14">
        <v>0</v>
      </c>
      <c r="EE87" s="14">
        <v>0</v>
      </c>
      <c r="EF87" s="14">
        <v>0</v>
      </c>
    </row>
    <row r="88" ht="32" customHeight="1" spans="1:136" x14ac:dyDescent="0.25">
      <c r="A88" s="4" t="s">
        <v>7</v>
      </c>
      <c r="B88" s="4" t="s">
        <v>29</v>
      </c>
      <c r="C88" s="4" t="s">
        <v>220</v>
      </c>
      <c r="D88" s="12" t="s">
        <v>332</v>
      </c>
      <c r="E88" s="8">
        <f>SUM(G88:EF88)</f>
      </c>
      <c r="F88" s="8">
        <f>IF(E88&gt;0,1,0)</f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3">
        <v>1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0</v>
      </c>
      <c r="DQ88" s="14">
        <v>0</v>
      </c>
      <c r="DR88" s="14">
        <v>0</v>
      </c>
      <c r="DS88" s="14">
        <v>0</v>
      </c>
      <c r="DT88" s="14">
        <v>0</v>
      </c>
      <c r="DU88" s="14">
        <v>0</v>
      </c>
      <c r="DV88" s="14">
        <v>0</v>
      </c>
      <c r="DW88" s="14">
        <v>0</v>
      </c>
      <c r="DX88" s="14">
        <v>0</v>
      </c>
      <c r="DY88" s="14">
        <v>0</v>
      </c>
      <c r="DZ88" s="14">
        <v>0</v>
      </c>
      <c r="EA88" s="14">
        <v>0</v>
      </c>
      <c r="EB88" s="14">
        <v>0</v>
      </c>
      <c r="EC88" s="14">
        <v>0</v>
      </c>
      <c r="ED88" s="14">
        <v>0</v>
      </c>
      <c r="EE88" s="14">
        <v>0</v>
      </c>
      <c r="EF88" s="14">
        <v>0</v>
      </c>
    </row>
    <row r="89" ht="32" customHeight="1" spans="1:136" x14ac:dyDescent="0.25">
      <c r="A89" s="15" t="s">
        <v>7</v>
      </c>
      <c r="B89" s="15" t="s">
        <v>30</v>
      </c>
      <c r="C89" s="15" t="s">
        <v>222</v>
      </c>
      <c r="D89" s="16" t="s">
        <v>337</v>
      </c>
      <c r="E89" s="17">
        <f>SUM(G89:EF89)</f>
      </c>
      <c r="F89" s="17">
        <f>IF(E89&gt;0,1,0)</f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9">
        <v>1</v>
      </c>
      <c r="BS89" s="18">
        <v>0</v>
      </c>
      <c r="BT89" s="18">
        <v>0</v>
      </c>
      <c r="BU89" s="18">
        <v>0</v>
      </c>
      <c r="BV89" s="18">
        <v>0</v>
      </c>
      <c r="BW89" s="18">
        <v>0</v>
      </c>
      <c r="BX89" s="18">
        <v>0</v>
      </c>
      <c r="BY89" s="18">
        <v>0</v>
      </c>
      <c r="BZ89" s="18">
        <v>0</v>
      </c>
      <c r="CA89" s="18">
        <v>0</v>
      </c>
      <c r="CB89" s="18">
        <v>0</v>
      </c>
      <c r="CC89" s="18">
        <v>0</v>
      </c>
      <c r="CD89" s="18">
        <v>0</v>
      </c>
      <c r="CE89" s="18">
        <v>0</v>
      </c>
      <c r="CF89" s="18">
        <v>0</v>
      </c>
      <c r="CG89" s="18">
        <v>0</v>
      </c>
      <c r="CH89" s="18">
        <v>0</v>
      </c>
      <c r="CI89" s="18">
        <v>0</v>
      </c>
      <c r="CJ89" s="18">
        <v>0</v>
      </c>
      <c r="CK89" s="18">
        <v>0</v>
      </c>
      <c r="CL89" s="18">
        <v>0</v>
      </c>
      <c r="CM89" s="18">
        <v>0</v>
      </c>
      <c r="CN89" s="18">
        <v>0</v>
      </c>
      <c r="CO89" s="18">
        <v>0</v>
      </c>
      <c r="CP89" s="18">
        <v>0</v>
      </c>
      <c r="CQ89" s="18">
        <v>0</v>
      </c>
      <c r="CR89" s="18">
        <v>0</v>
      </c>
      <c r="CS89" s="18">
        <v>0</v>
      </c>
      <c r="CT89" s="18">
        <v>0</v>
      </c>
      <c r="CU89" s="18">
        <v>0</v>
      </c>
      <c r="CV89" s="18">
        <v>0</v>
      </c>
      <c r="CW89" s="18">
        <v>0</v>
      </c>
      <c r="CX89" s="18">
        <v>0</v>
      </c>
      <c r="CY89" s="18">
        <v>0</v>
      </c>
      <c r="CZ89" s="18">
        <v>0</v>
      </c>
      <c r="DA89" s="18">
        <v>0</v>
      </c>
      <c r="DB89" s="18">
        <v>0</v>
      </c>
      <c r="DC89" s="18">
        <v>0</v>
      </c>
      <c r="DD89" s="18">
        <v>0</v>
      </c>
      <c r="DE89" s="18">
        <v>0</v>
      </c>
      <c r="DF89" s="18">
        <v>0</v>
      </c>
      <c r="DG89" s="18">
        <v>0</v>
      </c>
      <c r="DH89" s="18">
        <v>0</v>
      </c>
      <c r="DI89" s="18">
        <v>0</v>
      </c>
      <c r="DJ89" s="18">
        <v>0</v>
      </c>
      <c r="DK89" s="18">
        <v>0</v>
      </c>
      <c r="DL89" s="18">
        <v>0</v>
      </c>
      <c r="DM89" s="18">
        <v>0</v>
      </c>
      <c r="DN89" s="18">
        <v>0</v>
      </c>
      <c r="DO89" s="18">
        <v>0</v>
      </c>
      <c r="DP89" s="18">
        <v>0</v>
      </c>
      <c r="DQ89" s="18">
        <v>0</v>
      </c>
      <c r="DR89" s="18">
        <v>0</v>
      </c>
      <c r="DS89" s="18">
        <v>0</v>
      </c>
      <c r="DT89" s="18">
        <v>0</v>
      </c>
      <c r="DU89" s="18">
        <v>0</v>
      </c>
      <c r="DV89" s="18">
        <v>0</v>
      </c>
      <c r="DW89" s="18">
        <v>0</v>
      </c>
      <c r="DX89" s="18">
        <v>0</v>
      </c>
      <c r="DY89" s="18">
        <v>0</v>
      </c>
      <c r="DZ89" s="18">
        <v>0</v>
      </c>
      <c r="EA89" s="18">
        <v>0</v>
      </c>
      <c r="EB89" s="18">
        <v>0</v>
      </c>
      <c r="EC89" s="18">
        <v>0</v>
      </c>
      <c r="ED89" s="18">
        <v>0</v>
      </c>
      <c r="EE89" s="18">
        <v>0</v>
      </c>
      <c r="EF89" s="18">
        <v>0</v>
      </c>
    </row>
    <row r="90" ht="32" customHeight="1" spans="1:136" x14ac:dyDescent="0.25">
      <c r="A90" s="4" t="s">
        <v>7</v>
      </c>
      <c r="B90" s="4" t="s">
        <v>30</v>
      </c>
      <c r="C90" s="4" t="s">
        <v>224</v>
      </c>
      <c r="D90" s="12" t="s">
        <v>338</v>
      </c>
      <c r="E90" s="8">
        <f>SUM(G90:EF90)</f>
      </c>
      <c r="F90" s="8">
        <f>IF(E90&gt;0,1,0)</f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3">
        <v>1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Q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0</v>
      </c>
      <c r="DY90" s="14">
        <v>0</v>
      </c>
      <c r="DZ90" s="14">
        <v>0</v>
      </c>
      <c r="EA90" s="14">
        <v>0</v>
      </c>
      <c r="EB90" s="14">
        <v>0</v>
      </c>
      <c r="EC90" s="14">
        <v>0</v>
      </c>
      <c r="ED90" s="14">
        <v>0</v>
      </c>
      <c r="EE90" s="14">
        <v>0</v>
      </c>
      <c r="EF90" s="14">
        <v>0</v>
      </c>
    </row>
    <row r="91" ht="32" customHeight="1" spans="1:136" x14ac:dyDescent="0.25">
      <c r="A91" s="4" t="s">
        <v>7</v>
      </c>
      <c r="B91" s="4" t="s">
        <v>30</v>
      </c>
      <c r="C91" s="4" t="s">
        <v>226</v>
      </c>
      <c r="D91" s="12" t="s">
        <v>339</v>
      </c>
      <c r="E91" s="8">
        <f>SUM(G91:EF91)</f>
      </c>
      <c r="F91" s="8">
        <f>IF(E91&gt;0,1,0)</f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3">
        <v>1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0</v>
      </c>
      <c r="DN91" s="14">
        <v>0</v>
      </c>
      <c r="DO91" s="14">
        <v>0</v>
      </c>
      <c r="DP91" s="14">
        <v>0</v>
      </c>
      <c r="DQ91" s="14">
        <v>0</v>
      </c>
      <c r="DR91" s="14">
        <v>0</v>
      </c>
      <c r="DS91" s="14">
        <v>0</v>
      </c>
      <c r="DT91" s="14">
        <v>0</v>
      </c>
      <c r="DU91" s="14">
        <v>0</v>
      </c>
      <c r="DV91" s="14">
        <v>0</v>
      </c>
      <c r="DW91" s="14">
        <v>0</v>
      </c>
      <c r="DX91" s="14">
        <v>0</v>
      </c>
      <c r="DY91" s="14">
        <v>0</v>
      </c>
      <c r="DZ91" s="14">
        <v>0</v>
      </c>
      <c r="EA91" s="14">
        <v>0</v>
      </c>
      <c r="EB91" s="14">
        <v>0</v>
      </c>
      <c r="EC91" s="14">
        <v>0</v>
      </c>
      <c r="ED91" s="14">
        <v>0</v>
      </c>
      <c r="EE91" s="14">
        <v>0</v>
      </c>
      <c r="EF91" s="14">
        <v>0</v>
      </c>
    </row>
    <row r="92" ht="32" customHeight="1" spans="1:136" x14ac:dyDescent="0.25">
      <c r="A92" s="4" t="s">
        <v>7</v>
      </c>
      <c r="B92" s="4" t="s">
        <v>30</v>
      </c>
      <c r="C92" s="4" t="s">
        <v>228</v>
      </c>
      <c r="D92" s="12" t="s">
        <v>340</v>
      </c>
      <c r="E92" s="8">
        <f>SUM(G92:EF92)</f>
      </c>
      <c r="F92" s="8">
        <f>IF(E92&gt;0,1,0)</f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3">
        <v>1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0</v>
      </c>
      <c r="DQ92" s="14">
        <v>0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0</v>
      </c>
      <c r="DY92" s="14">
        <v>0</v>
      </c>
      <c r="DZ92" s="14">
        <v>0</v>
      </c>
      <c r="EA92" s="14">
        <v>0</v>
      </c>
      <c r="EB92" s="14">
        <v>0</v>
      </c>
      <c r="EC92" s="14">
        <v>0</v>
      </c>
      <c r="ED92" s="14">
        <v>0</v>
      </c>
      <c r="EE92" s="14">
        <v>0</v>
      </c>
      <c r="EF92" s="14">
        <v>0</v>
      </c>
    </row>
    <row r="93" ht="32" customHeight="1" spans="1:136" x14ac:dyDescent="0.25">
      <c r="A93" s="4" t="s">
        <v>7</v>
      </c>
      <c r="B93" s="4" t="s">
        <v>30</v>
      </c>
      <c r="C93" s="4" t="s">
        <v>230</v>
      </c>
      <c r="D93" s="12" t="s">
        <v>341</v>
      </c>
      <c r="E93" s="8">
        <f>SUM(G93:EF93)</f>
      </c>
      <c r="F93" s="8">
        <f>IF(E93&gt;0,1,0)</f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4">
        <v>0</v>
      </c>
      <c r="AT93" s="14">
        <v>0</v>
      </c>
      <c r="AU93" s="14">
        <v>0</v>
      </c>
      <c r="AV93" s="14">
        <v>0</v>
      </c>
      <c r="AW93" s="14">
        <v>0</v>
      </c>
      <c r="AX93" s="14">
        <v>0</v>
      </c>
      <c r="AY93" s="14">
        <v>0</v>
      </c>
      <c r="AZ93" s="14">
        <v>0</v>
      </c>
      <c r="BA93" s="14">
        <v>0</v>
      </c>
      <c r="BB93" s="14">
        <v>0</v>
      </c>
      <c r="BC93" s="14">
        <v>0</v>
      </c>
      <c r="BD93" s="14">
        <v>0</v>
      </c>
      <c r="BE93" s="14">
        <v>0</v>
      </c>
      <c r="BF93" s="14">
        <v>0</v>
      </c>
      <c r="BG93" s="14">
        <v>0</v>
      </c>
      <c r="BH93" s="14">
        <v>0</v>
      </c>
      <c r="BI93" s="14">
        <v>0</v>
      </c>
      <c r="BJ93" s="14">
        <v>0</v>
      </c>
      <c r="BK93" s="14">
        <v>0</v>
      </c>
      <c r="BL93" s="14">
        <v>0</v>
      </c>
      <c r="BM93" s="14">
        <v>0</v>
      </c>
      <c r="BN93" s="14">
        <v>0</v>
      </c>
      <c r="BO93" s="14">
        <v>0</v>
      </c>
      <c r="BP93" s="14">
        <v>0</v>
      </c>
      <c r="BQ93" s="14">
        <v>0</v>
      </c>
      <c r="BR93" s="14">
        <v>0</v>
      </c>
      <c r="BS93" s="14">
        <v>0</v>
      </c>
      <c r="BT93" s="14">
        <v>0</v>
      </c>
      <c r="BU93" s="13">
        <v>1</v>
      </c>
      <c r="BV93" s="13">
        <v>1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4">
        <v>0</v>
      </c>
      <c r="CH93" s="14">
        <v>0</v>
      </c>
      <c r="CI93" s="14">
        <v>0</v>
      </c>
      <c r="CJ93" s="14">
        <v>0</v>
      </c>
      <c r="CK93" s="14">
        <v>0</v>
      </c>
      <c r="CL93" s="14">
        <v>0</v>
      </c>
      <c r="CM93" s="14">
        <v>0</v>
      </c>
      <c r="CN93" s="14">
        <v>0</v>
      </c>
      <c r="CO93" s="14">
        <v>0</v>
      </c>
      <c r="CP93" s="14">
        <v>0</v>
      </c>
      <c r="CQ93" s="14">
        <v>0</v>
      </c>
      <c r="CR93" s="14">
        <v>0</v>
      </c>
      <c r="CS93" s="14">
        <v>0</v>
      </c>
      <c r="CT93" s="14">
        <v>0</v>
      </c>
      <c r="CU93" s="14">
        <v>0</v>
      </c>
      <c r="CV93" s="14">
        <v>0</v>
      </c>
      <c r="CW93" s="14">
        <v>0</v>
      </c>
      <c r="CX93" s="14">
        <v>0</v>
      </c>
      <c r="CY93" s="14">
        <v>0</v>
      </c>
      <c r="CZ93" s="14">
        <v>0</v>
      </c>
      <c r="DA93" s="14">
        <v>0</v>
      </c>
      <c r="DB93" s="14">
        <v>0</v>
      </c>
      <c r="DC93" s="14">
        <v>0</v>
      </c>
      <c r="DD93" s="14">
        <v>0</v>
      </c>
      <c r="DE93" s="14">
        <v>0</v>
      </c>
      <c r="DF93" s="14">
        <v>0</v>
      </c>
      <c r="DG93" s="14">
        <v>0</v>
      </c>
      <c r="DH93" s="14">
        <v>0</v>
      </c>
      <c r="DI93" s="14">
        <v>0</v>
      </c>
      <c r="DJ93" s="14">
        <v>0</v>
      </c>
      <c r="DK93" s="14">
        <v>0</v>
      </c>
      <c r="DL93" s="14">
        <v>0</v>
      </c>
      <c r="DM93" s="14">
        <v>0</v>
      </c>
      <c r="DN93" s="14">
        <v>0</v>
      </c>
      <c r="DO93" s="14">
        <v>0</v>
      </c>
      <c r="DP93" s="14">
        <v>0</v>
      </c>
      <c r="DQ93" s="14">
        <v>0</v>
      </c>
      <c r="DR93" s="14">
        <v>0</v>
      </c>
      <c r="DS93" s="14">
        <v>0</v>
      </c>
      <c r="DT93" s="14">
        <v>0</v>
      </c>
      <c r="DU93" s="14">
        <v>0</v>
      </c>
      <c r="DV93" s="14">
        <v>0</v>
      </c>
      <c r="DW93" s="14">
        <v>0</v>
      </c>
      <c r="DX93" s="14">
        <v>0</v>
      </c>
      <c r="DY93" s="14">
        <v>0</v>
      </c>
      <c r="DZ93" s="14">
        <v>0</v>
      </c>
      <c r="EA93" s="14">
        <v>0</v>
      </c>
      <c r="EB93" s="14">
        <v>0</v>
      </c>
      <c r="EC93" s="14">
        <v>0</v>
      </c>
      <c r="ED93" s="14">
        <v>0</v>
      </c>
      <c r="EE93" s="14">
        <v>0</v>
      </c>
      <c r="EF93" s="14">
        <v>0</v>
      </c>
    </row>
    <row r="94" ht="32" customHeight="1" spans="1:136" x14ac:dyDescent="0.25">
      <c r="A94" s="15" t="s">
        <v>7</v>
      </c>
      <c r="B94" s="15" t="s">
        <v>31</v>
      </c>
      <c r="C94" s="15" t="s">
        <v>234</v>
      </c>
      <c r="D94" s="16" t="s">
        <v>342</v>
      </c>
      <c r="E94" s="17">
        <f>SUM(G94:EF94)</f>
      </c>
      <c r="F94" s="17">
        <f>IF(E94&gt;0,1,0)</f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0</v>
      </c>
      <c r="AE94" s="18">
        <v>0</v>
      </c>
      <c r="AF94" s="18">
        <v>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0</v>
      </c>
      <c r="BM94" s="18">
        <v>0</v>
      </c>
      <c r="BN94" s="18">
        <v>0</v>
      </c>
      <c r="BO94" s="18">
        <v>0</v>
      </c>
      <c r="BP94" s="18">
        <v>0</v>
      </c>
      <c r="BQ94" s="18">
        <v>0</v>
      </c>
      <c r="BR94" s="18">
        <v>0</v>
      </c>
      <c r="BS94" s="19">
        <v>1</v>
      </c>
      <c r="BT94" s="18">
        <v>0</v>
      </c>
      <c r="BU94" s="18">
        <v>0</v>
      </c>
      <c r="BV94" s="18">
        <v>0</v>
      </c>
      <c r="BW94" s="18">
        <v>0</v>
      </c>
      <c r="BX94" s="18">
        <v>0</v>
      </c>
      <c r="BY94" s="18">
        <v>0</v>
      </c>
      <c r="BZ94" s="18">
        <v>0</v>
      </c>
      <c r="CA94" s="18">
        <v>0</v>
      </c>
      <c r="CB94" s="18">
        <v>0</v>
      </c>
      <c r="CC94" s="18">
        <v>0</v>
      </c>
      <c r="CD94" s="18">
        <v>0</v>
      </c>
      <c r="CE94" s="18">
        <v>0</v>
      </c>
      <c r="CF94" s="18">
        <v>0</v>
      </c>
      <c r="CG94" s="18">
        <v>0</v>
      </c>
      <c r="CH94" s="18">
        <v>0</v>
      </c>
      <c r="CI94" s="18">
        <v>0</v>
      </c>
      <c r="CJ94" s="18">
        <v>0</v>
      </c>
      <c r="CK94" s="18">
        <v>0</v>
      </c>
      <c r="CL94" s="18">
        <v>0</v>
      </c>
      <c r="CM94" s="18">
        <v>0</v>
      </c>
      <c r="CN94" s="18">
        <v>0</v>
      </c>
      <c r="CO94" s="18">
        <v>0</v>
      </c>
      <c r="CP94" s="18">
        <v>0</v>
      </c>
      <c r="CQ94" s="18">
        <v>0</v>
      </c>
      <c r="CR94" s="18">
        <v>0</v>
      </c>
      <c r="CS94" s="18">
        <v>0</v>
      </c>
      <c r="CT94" s="18">
        <v>0</v>
      </c>
      <c r="CU94" s="18">
        <v>0</v>
      </c>
      <c r="CV94" s="18">
        <v>0</v>
      </c>
      <c r="CW94" s="18">
        <v>0</v>
      </c>
      <c r="CX94" s="18">
        <v>0</v>
      </c>
      <c r="CY94" s="18">
        <v>0</v>
      </c>
      <c r="CZ94" s="18">
        <v>0</v>
      </c>
      <c r="DA94" s="18">
        <v>0</v>
      </c>
      <c r="DB94" s="18">
        <v>0</v>
      </c>
      <c r="DC94" s="18">
        <v>0</v>
      </c>
      <c r="DD94" s="18">
        <v>0</v>
      </c>
      <c r="DE94" s="18">
        <v>0</v>
      </c>
      <c r="DF94" s="18">
        <v>0</v>
      </c>
      <c r="DG94" s="18">
        <v>0</v>
      </c>
      <c r="DH94" s="18">
        <v>0</v>
      </c>
      <c r="DI94" s="18">
        <v>0</v>
      </c>
      <c r="DJ94" s="18">
        <v>0</v>
      </c>
      <c r="DK94" s="18">
        <v>0</v>
      </c>
      <c r="DL94" s="18">
        <v>0</v>
      </c>
      <c r="DM94" s="18">
        <v>0</v>
      </c>
      <c r="DN94" s="18">
        <v>0</v>
      </c>
      <c r="DO94" s="18">
        <v>0</v>
      </c>
      <c r="DP94" s="18">
        <v>0</v>
      </c>
      <c r="DQ94" s="18">
        <v>0</v>
      </c>
      <c r="DR94" s="18">
        <v>0</v>
      </c>
      <c r="DS94" s="18">
        <v>0</v>
      </c>
      <c r="DT94" s="18">
        <v>0</v>
      </c>
      <c r="DU94" s="18">
        <v>0</v>
      </c>
      <c r="DV94" s="18">
        <v>0</v>
      </c>
      <c r="DW94" s="18">
        <v>0</v>
      </c>
      <c r="DX94" s="18">
        <v>0</v>
      </c>
      <c r="DY94" s="18">
        <v>0</v>
      </c>
      <c r="DZ94" s="18">
        <v>0</v>
      </c>
      <c r="EA94" s="18">
        <v>0</v>
      </c>
      <c r="EB94" s="18">
        <v>0</v>
      </c>
      <c r="EC94" s="18">
        <v>0</v>
      </c>
      <c r="ED94" s="18">
        <v>0</v>
      </c>
      <c r="EE94" s="18">
        <v>0</v>
      </c>
      <c r="EF94" s="18">
        <v>0</v>
      </c>
    </row>
    <row r="95" ht="32" customHeight="1" spans="1:136" x14ac:dyDescent="0.25">
      <c r="A95" s="4" t="s">
        <v>7</v>
      </c>
      <c r="B95" s="4" t="s">
        <v>31</v>
      </c>
      <c r="C95" s="4" t="s">
        <v>236</v>
      </c>
      <c r="D95" s="12" t="s">
        <v>343</v>
      </c>
      <c r="E95" s="8">
        <f>SUM(G95:EF95)</f>
      </c>
      <c r="F95" s="8">
        <f>IF(E95&gt;0,1,0)</f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0</v>
      </c>
      <c r="BB95" s="14">
        <v>0</v>
      </c>
      <c r="BC95" s="14">
        <v>0</v>
      </c>
      <c r="BD95" s="14">
        <v>0</v>
      </c>
      <c r="BE95" s="14">
        <v>0</v>
      </c>
      <c r="BF95" s="14">
        <v>0</v>
      </c>
      <c r="BG95" s="14">
        <v>0</v>
      </c>
      <c r="BH95" s="14">
        <v>0</v>
      </c>
      <c r="BI95" s="14">
        <v>0</v>
      </c>
      <c r="BJ95" s="14">
        <v>0</v>
      </c>
      <c r="BK95" s="14">
        <v>0</v>
      </c>
      <c r="BL95" s="14">
        <v>0</v>
      </c>
      <c r="BM95" s="14">
        <v>0</v>
      </c>
      <c r="BN95" s="14">
        <v>0</v>
      </c>
      <c r="BO95" s="14">
        <v>0</v>
      </c>
      <c r="BP95" s="14">
        <v>0</v>
      </c>
      <c r="BQ95" s="14">
        <v>0</v>
      </c>
      <c r="BR95" s="14">
        <v>0</v>
      </c>
      <c r="BS95" s="14">
        <v>0</v>
      </c>
      <c r="BT95" s="14">
        <v>0</v>
      </c>
      <c r="BU95" s="14">
        <v>0</v>
      </c>
      <c r="BV95" s="14">
        <v>0</v>
      </c>
      <c r="BW95" s="13">
        <v>1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4">
        <v>0</v>
      </c>
      <c r="CH95" s="14">
        <v>0</v>
      </c>
      <c r="CI95" s="14">
        <v>0</v>
      </c>
      <c r="CJ95" s="14">
        <v>0</v>
      </c>
      <c r="CK95" s="14">
        <v>0</v>
      </c>
      <c r="CL95" s="14">
        <v>0</v>
      </c>
      <c r="CM95" s="14">
        <v>0</v>
      </c>
      <c r="CN95" s="14">
        <v>0</v>
      </c>
      <c r="CO95" s="14">
        <v>0</v>
      </c>
      <c r="CP95" s="14">
        <v>0</v>
      </c>
      <c r="CQ95" s="14">
        <v>0</v>
      </c>
      <c r="CR95" s="14">
        <v>0</v>
      </c>
      <c r="CS95" s="14">
        <v>0</v>
      </c>
      <c r="CT95" s="14">
        <v>0</v>
      </c>
      <c r="CU95" s="14">
        <v>0</v>
      </c>
      <c r="CV95" s="14">
        <v>0</v>
      </c>
      <c r="CW95" s="14">
        <v>0</v>
      </c>
      <c r="CX95" s="14">
        <v>0</v>
      </c>
      <c r="CY95" s="14">
        <v>0</v>
      </c>
      <c r="CZ95" s="14">
        <v>0</v>
      </c>
      <c r="DA95" s="14">
        <v>0</v>
      </c>
      <c r="DB95" s="14">
        <v>0</v>
      </c>
      <c r="DC95" s="14">
        <v>0</v>
      </c>
      <c r="DD95" s="14">
        <v>0</v>
      </c>
      <c r="DE95" s="14">
        <v>0</v>
      </c>
      <c r="DF95" s="14">
        <v>0</v>
      </c>
      <c r="DG95" s="14">
        <v>0</v>
      </c>
      <c r="DH95" s="14">
        <v>0</v>
      </c>
      <c r="DI95" s="14">
        <v>0</v>
      </c>
      <c r="DJ95" s="14">
        <v>0</v>
      </c>
      <c r="DK95" s="14">
        <v>0</v>
      </c>
      <c r="DL95" s="14">
        <v>0</v>
      </c>
      <c r="DM95" s="14">
        <v>0</v>
      </c>
      <c r="DN95" s="14">
        <v>0</v>
      </c>
      <c r="DO95" s="14">
        <v>0</v>
      </c>
      <c r="DP95" s="14">
        <v>0</v>
      </c>
      <c r="DQ95" s="14">
        <v>0</v>
      </c>
      <c r="DR95" s="14">
        <v>0</v>
      </c>
      <c r="DS95" s="14">
        <v>0</v>
      </c>
      <c r="DT95" s="14">
        <v>0</v>
      </c>
      <c r="DU95" s="14">
        <v>0</v>
      </c>
      <c r="DV95" s="14">
        <v>0</v>
      </c>
      <c r="DW95" s="14">
        <v>0</v>
      </c>
      <c r="DX95" s="14">
        <v>0</v>
      </c>
      <c r="DY95" s="14">
        <v>0</v>
      </c>
      <c r="DZ95" s="14">
        <v>0</v>
      </c>
      <c r="EA95" s="14">
        <v>0</v>
      </c>
      <c r="EB95" s="14">
        <v>0</v>
      </c>
      <c r="EC95" s="14">
        <v>0</v>
      </c>
      <c r="ED95" s="14">
        <v>0</v>
      </c>
      <c r="EE95" s="14">
        <v>0</v>
      </c>
      <c r="EF95" s="14">
        <v>0</v>
      </c>
    </row>
    <row r="96" ht="32" customHeight="1" spans="1:136" x14ac:dyDescent="0.25">
      <c r="A96" s="4" t="s">
        <v>7</v>
      </c>
      <c r="B96" s="4" t="s">
        <v>31</v>
      </c>
      <c r="C96" s="4" t="s">
        <v>238</v>
      </c>
      <c r="D96" s="12" t="s">
        <v>344</v>
      </c>
      <c r="E96" s="8">
        <f>SUM(G96:EF96)</f>
      </c>
      <c r="F96" s="8">
        <f>IF(E96&gt;0,1,0)</f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4">
        <v>0</v>
      </c>
      <c r="AZ96" s="14">
        <v>0</v>
      </c>
      <c r="BA96" s="14">
        <v>0</v>
      </c>
      <c r="BB96" s="14">
        <v>0</v>
      </c>
      <c r="BC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0</v>
      </c>
      <c r="BI96" s="14">
        <v>0</v>
      </c>
      <c r="BJ96" s="14">
        <v>0</v>
      </c>
      <c r="BK96" s="14">
        <v>0</v>
      </c>
      <c r="BL96" s="14">
        <v>0</v>
      </c>
      <c r="BM96" s="14">
        <v>0</v>
      </c>
      <c r="BN96" s="14">
        <v>0</v>
      </c>
      <c r="BO96" s="14">
        <v>0</v>
      </c>
      <c r="BP96" s="14">
        <v>0</v>
      </c>
      <c r="BQ96" s="14">
        <v>0</v>
      </c>
      <c r="BR96" s="14">
        <v>0</v>
      </c>
      <c r="BS96" s="14">
        <v>0</v>
      </c>
      <c r="BT96" s="14">
        <v>0</v>
      </c>
      <c r="BU96" s="14">
        <v>0</v>
      </c>
      <c r="BV96" s="14">
        <v>0</v>
      </c>
      <c r="BW96" s="14">
        <v>0</v>
      </c>
      <c r="BX96" s="13">
        <v>1</v>
      </c>
      <c r="BY96" s="14">
        <v>0</v>
      </c>
      <c r="BZ96" s="14">
        <v>0</v>
      </c>
      <c r="CA96" s="14">
        <v>0</v>
      </c>
      <c r="CB96" s="14">
        <v>0</v>
      </c>
      <c r="CC96" s="14">
        <v>0</v>
      </c>
      <c r="CD96" s="14">
        <v>0</v>
      </c>
      <c r="CE96" s="14">
        <v>0</v>
      </c>
      <c r="CF96" s="14">
        <v>0</v>
      </c>
      <c r="CG96" s="14">
        <v>0</v>
      </c>
      <c r="CH96" s="14">
        <v>0</v>
      </c>
      <c r="CI96" s="14">
        <v>0</v>
      </c>
      <c r="CJ96" s="14">
        <v>0</v>
      </c>
      <c r="CK96" s="14">
        <v>0</v>
      </c>
      <c r="CL96" s="14">
        <v>0</v>
      </c>
      <c r="CM96" s="14">
        <v>0</v>
      </c>
      <c r="CN96" s="14">
        <v>0</v>
      </c>
      <c r="CO96" s="14">
        <v>0</v>
      </c>
      <c r="CP96" s="14">
        <v>0</v>
      </c>
      <c r="CQ96" s="14">
        <v>0</v>
      </c>
      <c r="CR96" s="14">
        <v>0</v>
      </c>
      <c r="CS96" s="14">
        <v>0</v>
      </c>
      <c r="CT96" s="14">
        <v>0</v>
      </c>
      <c r="CU96" s="14">
        <v>0</v>
      </c>
      <c r="CV96" s="14">
        <v>0</v>
      </c>
      <c r="CW96" s="14">
        <v>0</v>
      </c>
      <c r="CX96" s="14">
        <v>0</v>
      </c>
      <c r="CY96" s="14">
        <v>0</v>
      </c>
      <c r="CZ96" s="14">
        <v>0</v>
      </c>
      <c r="DA96" s="14">
        <v>0</v>
      </c>
      <c r="DB96" s="14">
        <v>0</v>
      </c>
      <c r="DC96" s="14">
        <v>0</v>
      </c>
      <c r="DD96" s="14">
        <v>0</v>
      </c>
      <c r="DE96" s="14">
        <v>0</v>
      </c>
      <c r="DF96" s="14">
        <v>0</v>
      </c>
      <c r="DG96" s="14">
        <v>0</v>
      </c>
      <c r="DH96" s="14">
        <v>0</v>
      </c>
      <c r="DI96" s="14">
        <v>0</v>
      </c>
      <c r="DJ96" s="14">
        <v>0</v>
      </c>
      <c r="DK96" s="14">
        <v>0</v>
      </c>
      <c r="DL96" s="14">
        <v>0</v>
      </c>
      <c r="DM96" s="14">
        <v>0</v>
      </c>
      <c r="DN96" s="14">
        <v>0</v>
      </c>
      <c r="DO96" s="14">
        <v>0</v>
      </c>
      <c r="DP96" s="14">
        <v>0</v>
      </c>
      <c r="DQ96" s="14">
        <v>0</v>
      </c>
      <c r="DR96" s="14">
        <v>0</v>
      </c>
      <c r="DS96" s="14">
        <v>0</v>
      </c>
      <c r="DT96" s="14">
        <v>0</v>
      </c>
      <c r="DU96" s="14">
        <v>0</v>
      </c>
      <c r="DV96" s="14">
        <v>0</v>
      </c>
      <c r="DW96" s="14">
        <v>0</v>
      </c>
      <c r="DX96" s="14">
        <v>0</v>
      </c>
      <c r="DY96" s="14">
        <v>0</v>
      </c>
      <c r="DZ96" s="14">
        <v>0</v>
      </c>
      <c r="EA96" s="14">
        <v>0</v>
      </c>
      <c r="EB96" s="14">
        <v>0</v>
      </c>
      <c r="EC96" s="14">
        <v>0</v>
      </c>
      <c r="ED96" s="14">
        <v>0</v>
      </c>
      <c r="EE96" s="14">
        <v>0</v>
      </c>
      <c r="EF96" s="14">
        <v>0</v>
      </c>
    </row>
    <row r="97" ht="32" customHeight="1" spans="1:136" x14ac:dyDescent="0.25">
      <c r="A97" s="4" t="s">
        <v>7</v>
      </c>
      <c r="B97" s="4" t="s">
        <v>31</v>
      </c>
      <c r="C97" s="4" t="s">
        <v>240</v>
      </c>
      <c r="D97" s="12" t="s">
        <v>345</v>
      </c>
      <c r="E97" s="8">
        <f>SUM(G97:EF97)</f>
      </c>
      <c r="F97" s="8">
        <f>IF(E97&gt;0,1,0)</f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0</v>
      </c>
      <c r="BB97" s="14">
        <v>0</v>
      </c>
      <c r="BC97" s="14">
        <v>0</v>
      </c>
      <c r="BD97" s="14">
        <v>0</v>
      </c>
      <c r="BE97" s="14">
        <v>0</v>
      </c>
      <c r="BF97" s="14">
        <v>0</v>
      </c>
      <c r="BG97" s="14">
        <v>0</v>
      </c>
      <c r="BH97" s="14">
        <v>0</v>
      </c>
      <c r="BI97" s="14">
        <v>0</v>
      </c>
      <c r="BJ97" s="14">
        <v>0</v>
      </c>
      <c r="BK97" s="14">
        <v>0</v>
      </c>
      <c r="BL97" s="14">
        <v>0</v>
      </c>
      <c r="BM97" s="14">
        <v>0</v>
      </c>
      <c r="BN97" s="14">
        <v>0</v>
      </c>
      <c r="BO97" s="14">
        <v>0</v>
      </c>
      <c r="BP97" s="14">
        <v>0</v>
      </c>
      <c r="BQ97" s="14">
        <v>0</v>
      </c>
      <c r="BR97" s="14">
        <v>0</v>
      </c>
      <c r="BS97" s="13">
        <v>1</v>
      </c>
      <c r="BT97" s="14">
        <v>0</v>
      </c>
      <c r="BU97" s="14">
        <v>0</v>
      </c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4">
        <v>0</v>
      </c>
      <c r="CH97" s="14">
        <v>0</v>
      </c>
      <c r="CI97" s="14">
        <v>0</v>
      </c>
      <c r="CJ97" s="14">
        <v>0</v>
      </c>
      <c r="CK97" s="14">
        <v>0</v>
      </c>
      <c r="CL97" s="14">
        <v>0</v>
      </c>
      <c r="CM97" s="14">
        <v>0</v>
      </c>
      <c r="CN97" s="14">
        <v>0</v>
      </c>
      <c r="CO97" s="14">
        <v>0</v>
      </c>
      <c r="CP97" s="14">
        <v>0</v>
      </c>
      <c r="CQ97" s="14">
        <v>0</v>
      </c>
      <c r="CR97" s="14">
        <v>0</v>
      </c>
      <c r="CS97" s="14">
        <v>0</v>
      </c>
      <c r="CT97" s="14">
        <v>0</v>
      </c>
      <c r="CU97" s="14">
        <v>0</v>
      </c>
      <c r="CV97" s="14">
        <v>0</v>
      </c>
      <c r="CW97" s="14">
        <v>0</v>
      </c>
      <c r="CX97" s="14">
        <v>0</v>
      </c>
      <c r="CY97" s="14">
        <v>0</v>
      </c>
      <c r="CZ97" s="14">
        <v>0</v>
      </c>
      <c r="DA97" s="14">
        <v>0</v>
      </c>
      <c r="DB97" s="14">
        <v>0</v>
      </c>
      <c r="DC97" s="14">
        <v>0</v>
      </c>
      <c r="DD97" s="14">
        <v>0</v>
      </c>
      <c r="DE97" s="14">
        <v>0</v>
      </c>
      <c r="DF97" s="14">
        <v>0</v>
      </c>
      <c r="DG97" s="14">
        <v>0</v>
      </c>
      <c r="DH97" s="14">
        <v>0</v>
      </c>
      <c r="DI97" s="14">
        <v>0</v>
      </c>
      <c r="DJ97" s="14">
        <v>0</v>
      </c>
      <c r="DK97" s="14">
        <v>0</v>
      </c>
      <c r="DL97" s="14">
        <v>0</v>
      </c>
      <c r="DM97" s="14">
        <v>0</v>
      </c>
      <c r="DN97" s="14">
        <v>0</v>
      </c>
      <c r="DO97" s="14">
        <v>0</v>
      </c>
      <c r="DP97" s="14">
        <v>0</v>
      </c>
      <c r="DQ97" s="14">
        <v>0</v>
      </c>
      <c r="DR97" s="14">
        <v>0</v>
      </c>
      <c r="DS97" s="14">
        <v>0</v>
      </c>
      <c r="DT97" s="14">
        <v>0</v>
      </c>
      <c r="DU97" s="14">
        <v>0</v>
      </c>
      <c r="DV97" s="14">
        <v>0</v>
      </c>
      <c r="DW97" s="14">
        <v>0</v>
      </c>
      <c r="DX97" s="14">
        <v>0</v>
      </c>
      <c r="DY97" s="14">
        <v>0</v>
      </c>
      <c r="DZ97" s="14">
        <v>0</v>
      </c>
      <c r="EA97" s="14">
        <v>0</v>
      </c>
      <c r="EB97" s="14">
        <v>0</v>
      </c>
      <c r="EC97" s="14">
        <v>0</v>
      </c>
      <c r="ED97" s="14">
        <v>0</v>
      </c>
      <c r="EE97" s="14">
        <v>0</v>
      </c>
      <c r="EF97" s="14">
        <v>0</v>
      </c>
    </row>
    <row r="98" ht="32" customHeight="1" spans="1:136" x14ac:dyDescent="0.25">
      <c r="A98" s="4" t="s">
        <v>7</v>
      </c>
      <c r="B98" s="4" t="s">
        <v>31</v>
      </c>
      <c r="C98" s="4" t="s">
        <v>242</v>
      </c>
      <c r="D98" s="12" t="s">
        <v>346</v>
      </c>
      <c r="E98" s="8">
        <f>SUM(G98:EF98)</f>
      </c>
      <c r="F98" s="8">
        <f>IF(E98&gt;0,1,0)</f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  <c r="AS98" s="14">
        <v>0</v>
      </c>
      <c r="AT98" s="14">
        <v>0</v>
      </c>
      <c r="AU98" s="14">
        <v>0</v>
      </c>
      <c r="AV98" s="14">
        <v>0</v>
      </c>
      <c r="AW98" s="14">
        <v>0</v>
      </c>
      <c r="AX98" s="14">
        <v>0</v>
      </c>
      <c r="AY98" s="14">
        <v>0</v>
      </c>
      <c r="AZ98" s="14">
        <v>0</v>
      </c>
      <c r="BA98" s="14">
        <v>0</v>
      </c>
      <c r="BB98" s="14">
        <v>0</v>
      </c>
      <c r="BC98" s="14">
        <v>0</v>
      </c>
      <c r="BD98" s="14">
        <v>0</v>
      </c>
      <c r="BE98" s="14">
        <v>0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0</v>
      </c>
      <c r="BL98" s="14">
        <v>0</v>
      </c>
      <c r="BM98" s="14">
        <v>0</v>
      </c>
      <c r="BN98" s="14">
        <v>0</v>
      </c>
      <c r="BO98" s="14">
        <v>0</v>
      </c>
      <c r="BP98" s="14">
        <v>0</v>
      </c>
      <c r="BQ98" s="14">
        <v>0</v>
      </c>
      <c r="BR98" s="14">
        <v>0</v>
      </c>
      <c r="BS98" s="14">
        <v>0</v>
      </c>
      <c r="BT98" s="14">
        <v>0</v>
      </c>
      <c r="BU98" s="14">
        <v>0</v>
      </c>
      <c r="BV98" s="14">
        <v>0</v>
      </c>
      <c r="BW98" s="14">
        <v>0</v>
      </c>
      <c r="BX98" s="14">
        <v>0</v>
      </c>
      <c r="BY98" s="13">
        <v>1</v>
      </c>
      <c r="BZ98" s="14">
        <v>0</v>
      </c>
      <c r="CA98" s="14">
        <v>0</v>
      </c>
      <c r="CB98" s="14">
        <v>0</v>
      </c>
      <c r="CC98" s="14">
        <v>0</v>
      </c>
      <c r="CD98" s="14">
        <v>0</v>
      </c>
      <c r="CE98" s="14">
        <v>0</v>
      </c>
      <c r="CF98" s="14">
        <v>0</v>
      </c>
      <c r="CG98" s="14">
        <v>0</v>
      </c>
      <c r="CH98" s="14">
        <v>0</v>
      </c>
      <c r="CI98" s="14">
        <v>0</v>
      </c>
      <c r="CJ98" s="14">
        <v>0</v>
      </c>
      <c r="CK98" s="14">
        <v>0</v>
      </c>
      <c r="CL98" s="14">
        <v>0</v>
      </c>
      <c r="CM98" s="14">
        <v>0</v>
      </c>
      <c r="CN98" s="14">
        <v>0</v>
      </c>
      <c r="CO98" s="14">
        <v>0</v>
      </c>
      <c r="CP98" s="14">
        <v>0</v>
      </c>
      <c r="CQ98" s="14">
        <v>0</v>
      </c>
      <c r="CR98" s="14">
        <v>0</v>
      </c>
      <c r="CS98" s="14">
        <v>0</v>
      </c>
      <c r="CT98" s="14">
        <v>0</v>
      </c>
      <c r="CU98" s="14">
        <v>0</v>
      </c>
      <c r="CV98" s="14">
        <v>0</v>
      </c>
      <c r="CW98" s="14">
        <v>0</v>
      </c>
      <c r="CX98" s="14">
        <v>0</v>
      </c>
      <c r="CY98" s="14">
        <v>0</v>
      </c>
      <c r="CZ98" s="14">
        <v>0</v>
      </c>
      <c r="DA98" s="14">
        <v>0</v>
      </c>
      <c r="DB98" s="14">
        <v>0</v>
      </c>
      <c r="DC98" s="14">
        <v>0</v>
      </c>
      <c r="DD98" s="14">
        <v>0</v>
      </c>
      <c r="DE98" s="14">
        <v>0</v>
      </c>
      <c r="DF98" s="14">
        <v>0</v>
      </c>
      <c r="DG98" s="14">
        <v>0</v>
      </c>
      <c r="DH98" s="14">
        <v>0</v>
      </c>
      <c r="DI98" s="14">
        <v>0</v>
      </c>
      <c r="DJ98" s="14">
        <v>0</v>
      </c>
      <c r="DK98" s="14">
        <v>0</v>
      </c>
      <c r="DL98" s="14">
        <v>0</v>
      </c>
      <c r="DM98" s="14">
        <v>0</v>
      </c>
      <c r="DN98" s="14">
        <v>0</v>
      </c>
      <c r="DO98" s="14">
        <v>0</v>
      </c>
      <c r="DP98" s="14">
        <v>0</v>
      </c>
      <c r="DQ98" s="14">
        <v>0</v>
      </c>
      <c r="DR98" s="14">
        <v>0</v>
      </c>
      <c r="DS98" s="14">
        <v>0</v>
      </c>
      <c r="DT98" s="14">
        <v>0</v>
      </c>
      <c r="DU98" s="14">
        <v>0</v>
      </c>
      <c r="DV98" s="14">
        <v>0</v>
      </c>
      <c r="DW98" s="14">
        <v>0</v>
      </c>
      <c r="DX98" s="14">
        <v>0</v>
      </c>
      <c r="DY98" s="14">
        <v>0</v>
      </c>
      <c r="DZ98" s="14">
        <v>0</v>
      </c>
      <c r="EA98" s="14">
        <v>0</v>
      </c>
      <c r="EB98" s="14">
        <v>0</v>
      </c>
      <c r="EC98" s="14">
        <v>0</v>
      </c>
      <c r="ED98" s="14">
        <v>0</v>
      </c>
      <c r="EE98" s="14">
        <v>0</v>
      </c>
      <c r="EF98" s="14">
        <v>0</v>
      </c>
    </row>
    <row r="99" ht="32" customHeight="1" spans="1:136" x14ac:dyDescent="0.25">
      <c r="A99" s="15" t="s">
        <v>7</v>
      </c>
      <c r="B99" s="15" t="s">
        <v>32</v>
      </c>
      <c r="C99" s="15" t="s">
        <v>244</v>
      </c>
      <c r="D99" s="16" t="s">
        <v>347</v>
      </c>
      <c r="E99" s="17">
        <f>SUM(G99:EF99)</f>
      </c>
      <c r="F99" s="17">
        <f>IF(E99&gt;0,1,0)</f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18">
        <v>0</v>
      </c>
      <c r="BN99" s="18">
        <v>0</v>
      </c>
      <c r="BO99" s="18">
        <v>0</v>
      </c>
      <c r="BP99" s="18">
        <v>0</v>
      </c>
      <c r="BQ99" s="18">
        <v>0</v>
      </c>
      <c r="BR99" s="18">
        <v>0</v>
      </c>
      <c r="BS99" s="18">
        <v>0</v>
      </c>
      <c r="BT99" s="18">
        <v>0</v>
      </c>
      <c r="BU99" s="18">
        <v>0</v>
      </c>
      <c r="BV99" s="18">
        <v>0</v>
      </c>
      <c r="BW99" s="18">
        <v>0</v>
      </c>
      <c r="BX99" s="18">
        <v>0</v>
      </c>
      <c r="BY99" s="18">
        <v>0</v>
      </c>
      <c r="BZ99" s="19">
        <v>1</v>
      </c>
      <c r="CA99" s="18">
        <v>0</v>
      </c>
      <c r="CB99" s="18">
        <v>0</v>
      </c>
      <c r="CC99" s="18">
        <v>0</v>
      </c>
      <c r="CD99" s="18">
        <v>0</v>
      </c>
      <c r="CE99" s="18">
        <v>0</v>
      </c>
      <c r="CF99" s="18">
        <v>0</v>
      </c>
      <c r="CG99" s="18">
        <v>0</v>
      </c>
      <c r="CH99" s="18">
        <v>0</v>
      </c>
      <c r="CI99" s="18">
        <v>0</v>
      </c>
      <c r="CJ99" s="18">
        <v>0</v>
      </c>
      <c r="CK99" s="18">
        <v>0</v>
      </c>
      <c r="CL99" s="18">
        <v>0</v>
      </c>
      <c r="CM99" s="18">
        <v>0</v>
      </c>
      <c r="CN99" s="18">
        <v>0</v>
      </c>
      <c r="CO99" s="18">
        <v>0</v>
      </c>
      <c r="CP99" s="18">
        <v>0</v>
      </c>
      <c r="CQ99" s="18">
        <v>0</v>
      </c>
      <c r="CR99" s="18">
        <v>0</v>
      </c>
      <c r="CS99" s="18">
        <v>0</v>
      </c>
      <c r="CT99" s="18">
        <v>0</v>
      </c>
      <c r="CU99" s="18">
        <v>0</v>
      </c>
      <c r="CV99" s="18">
        <v>0</v>
      </c>
      <c r="CW99" s="18">
        <v>0</v>
      </c>
      <c r="CX99" s="18">
        <v>0</v>
      </c>
      <c r="CY99" s="18">
        <v>0</v>
      </c>
      <c r="CZ99" s="18">
        <v>0</v>
      </c>
      <c r="DA99" s="18">
        <v>0</v>
      </c>
      <c r="DB99" s="18">
        <v>0</v>
      </c>
      <c r="DC99" s="18">
        <v>0</v>
      </c>
      <c r="DD99" s="18">
        <v>0</v>
      </c>
      <c r="DE99" s="18">
        <v>0</v>
      </c>
      <c r="DF99" s="18">
        <v>0</v>
      </c>
      <c r="DG99" s="18">
        <v>0</v>
      </c>
      <c r="DH99" s="18">
        <v>0</v>
      </c>
      <c r="DI99" s="18">
        <v>0</v>
      </c>
      <c r="DJ99" s="18">
        <v>0</v>
      </c>
      <c r="DK99" s="18">
        <v>0</v>
      </c>
      <c r="DL99" s="18">
        <v>0</v>
      </c>
      <c r="DM99" s="18">
        <v>0</v>
      </c>
      <c r="DN99" s="18">
        <v>0</v>
      </c>
      <c r="DO99" s="18">
        <v>0</v>
      </c>
      <c r="DP99" s="18">
        <v>0</v>
      </c>
      <c r="DQ99" s="18">
        <v>0</v>
      </c>
      <c r="DR99" s="18">
        <v>0</v>
      </c>
      <c r="DS99" s="18">
        <v>0</v>
      </c>
      <c r="DT99" s="18">
        <v>0</v>
      </c>
      <c r="DU99" s="18">
        <v>0</v>
      </c>
      <c r="DV99" s="18">
        <v>0</v>
      </c>
      <c r="DW99" s="18">
        <v>0</v>
      </c>
      <c r="DX99" s="18">
        <v>0</v>
      </c>
      <c r="DY99" s="18">
        <v>0</v>
      </c>
      <c r="DZ99" s="18">
        <v>0</v>
      </c>
      <c r="EA99" s="18">
        <v>0</v>
      </c>
      <c r="EB99" s="18">
        <v>0</v>
      </c>
      <c r="EC99" s="18">
        <v>0</v>
      </c>
      <c r="ED99" s="18">
        <v>0</v>
      </c>
      <c r="EE99" s="18">
        <v>0</v>
      </c>
      <c r="EF99" s="18">
        <v>0</v>
      </c>
    </row>
    <row r="100" ht="32" customHeight="1" spans="1:136" x14ac:dyDescent="0.25">
      <c r="A100" s="4" t="s">
        <v>7</v>
      </c>
      <c r="B100" s="4" t="s">
        <v>32</v>
      </c>
      <c r="C100" s="4" t="s">
        <v>246</v>
      </c>
      <c r="D100" s="12" t="s">
        <v>348</v>
      </c>
      <c r="E100" s="8">
        <f>SUM(G100:EF100)</f>
      </c>
      <c r="F100" s="8">
        <f>IF(E100&gt;0,1,0)</f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14">
        <v>0</v>
      </c>
      <c r="BB100" s="14">
        <v>0</v>
      </c>
      <c r="BC100" s="14">
        <v>0</v>
      </c>
      <c r="BD100" s="14">
        <v>0</v>
      </c>
      <c r="BE100" s="14">
        <v>0</v>
      </c>
      <c r="BF100" s="14">
        <v>0</v>
      </c>
      <c r="BG100" s="14">
        <v>0</v>
      </c>
      <c r="BH100" s="14">
        <v>0</v>
      </c>
      <c r="BI100" s="14">
        <v>0</v>
      </c>
      <c r="BJ100" s="14">
        <v>0</v>
      </c>
      <c r="BK100" s="14">
        <v>0</v>
      </c>
      <c r="BL100" s="14">
        <v>0</v>
      </c>
      <c r="BM100" s="14">
        <v>0</v>
      </c>
      <c r="BN100" s="14">
        <v>0</v>
      </c>
      <c r="BO100" s="14">
        <v>0</v>
      </c>
      <c r="BP100" s="14">
        <v>0</v>
      </c>
      <c r="BQ100" s="14">
        <v>0</v>
      </c>
      <c r="BR100" s="14">
        <v>0</v>
      </c>
      <c r="BS100" s="14">
        <v>0</v>
      </c>
      <c r="BT100" s="14">
        <v>0</v>
      </c>
      <c r="BU100" s="14">
        <v>0</v>
      </c>
      <c r="BV100" s="14">
        <v>0</v>
      </c>
      <c r="BW100" s="14">
        <v>0</v>
      </c>
      <c r="BX100" s="14">
        <v>0</v>
      </c>
      <c r="BY100" s="14">
        <v>0</v>
      </c>
      <c r="BZ100" s="14">
        <v>0</v>
      </c>
      <c r="CA100" s="13">
        <v>1</v>
      </c>
      <c r="CB100" s="14">
        <v>0</v>
      </c>
      <c r="CC100" s="14">
        <v>0</v>
      </c>
      <c r="CD100" s="14">
        <v>0</v>
      </c>
      <c r="CE100" s="14">
        <v>0</v>
      </c>
      <c r="CF100" s="14">
        <v>0</v>
      </c>
      <c r="CG100" s="14">
        <v>0</v>
      </c>
      <c r="CH100" s="14">
        <v>0</v>
      </c>
      <c r="CI100" s="14">
        <v>0</v>
      </c>
      <c r="CJ100" s="14">
        <v>0</v>
      </c>
      <c r="CK100" s="14">
        <v>0</v>
      </c>
      <c r="CL100" s="14">
        <v>0</v>
      </c>
      <c r="CM100" s="14">
        <v>0</v>
      </c>
      <c r="CN100" s="14">
        <v>0</v>
      </c>
      <c r="CO100" s="14">
        <v>0</v>
      </c>
      <c r="CP100" s="14">
        <v>0</v>
      </c>
      <c r="CQ100" s="14">
        <v>0</v>
      </c>
      <c r="CR100" s="14">
        <v>0</v>
      </c>
      <c r="CS100" s="14">
        <v>0</v>
      </c>
      <c r="CT100" s="14">
        <v>0</v>
      </c>
      <c r="CU100" s="14">
        <v>0</v>
      </c>
      <c r="CV100" s="14">
        <v>0</v>
      </c>
      <c r="CW100" s="14">
        <v>0</v>
      </c>
      <c r="CX100" s="14">
        <v>0</v>
      </c>
      <c r="CY100" s="14">
        <v>0</v>
      </c>
      <c r="CZ100" s="14">
        <v>0</v>
      </c>
      <c r="DA100" s="14">
        <v>0</v>
      </c>
      <c r="DB100" s="14">
        <v>0</v>
      </c>
      <c r="DC100" s="14">
        <v>0</v>
      </c>
      <c r="DD100" s="14">
        <v>0</v>
      </c>
      <c r="DE100" s="14">
        <v>0</v>
      </c>
      <c r="DF100" s="14">
        <v>0</v>
      </c>
      <c r="DG100" s="14">
        <v>0</v>
      </c>
      <c r="DH100" s="14">
        <v>0</v>
      </c>
      <c r="DI100" s="14">
        <v>0</v>
      </c>
      <c r="DJ100" s="14">
        <v>0</v>
      </c>
      <c r="DK100" s="14">
        <v>0</v>
      </c>
      <c r="DL100" s="14">
        <v>0</v>
      </c>
      <c r="DM100" s="14">
        <v>0</v>
      </c>
      <c r="DN100" s="14">
        <v>0</v>
      </c>
      <c r="DO100" s="14">
        <v>0</v>
      </c>
      <c r="DP100" s="14">
        <v>0</v>
      </c>
      <c r="DQ100" s="14">
        <v>0</v>
      </c>
      <c r="DR100" s="14">
        <v>0</v>
      </c>
      <c r="DS100" s="14">
        <v>0</v>
      </c>
      <c r="DT100" s="14">
        <v>0</v>
      </c>
      <c r="DU100" s="14">
        <v>0</v>
      </c>
      <c r="DV100" s="14">
        <v>0</v>
      </c>
      <c r="DW100" s="14">
        <v>0</v>
      </c>
      <c r="DX100" s="14">
        <v>0</v>
      </c>
      <c r="DY100" s="14">
        <v>0</v>
      </c>
      <c r="DZ100" s="14">
        <v>0</v>
      </c>
      <c r="EA100" s="14">
        <v>0</v>
      </c>
      <c r="EB100" s="14">
        <v>0</v>
      </c>
      <c r="EC100" s="14">
        <v>0</v>
      </c>
      <c r="ED100" s="14">
        <v>0</v>
      </c>
      <c r="EE100" s="14">
        <v>0</v>
      </c>
      <c r="EF100" s="14">
        <v>0</v>
      </c>
    </row>
    <row r="101" ht="32" customHeight="1" spans="1:136" x14ac:dyDescent="0.25">
      <c r="A101" s="4" t="s">
        <v>7</v>
      </c>
      <c r="B101" s="4" t="s">
        <v>32</v>
      </c>
      <c r="C101" s="4" t="s">
        <v>248</v>
      </c>
      <c r="D101" s="12" t="s">
        <v>349</v>
      </c>
      <c r="E101" s="8">
        <f>SUM(G101:EF101)</f>
      </c>
      <c r="F101" s="8">
        <f>IF(E101&gt;0,1,0)</f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0</v>
      </c>
      <c r="AV101" s="14">
        <v>0</v>
      </c>
      <c r="AW101" s="14">
        <v>0</v>
      </c>
      <c r="AX101" s="14">
        <v>0</v>
      </c>
      <c r="AY101" s="14">
        <v>0</v>
      </c>
      <c r="AZ101" s="14">
        <v>0</v>
      </c>
      <c r="BA101" s="14">
        <v>0</v>
      </c>
      <c r="BB101" s="14">
        <v>0</v>
      </c>
      <c r="BC101" s="14">
        <v>0</v>
      </c>
      <c r="BD101" s="14">
        <v>0</v>
      </c>
      <c r="BE101" s="14">
        <v>0</v>
      </c>
      <c r="BF101" s="14">
        <v>0</v>
      </c>
      <c r="BG101" s="14">
        <v>0</v>
      </c>
      <c r="BH101" s="14">
        <v>0</v>
      </c>
      <c r="BI101" s="14">
        <v>0</v>
      </c>
      <c r="BJ101" s="14">
        <v>0</v>
      </c>
      <c r="BK101" s="14">
        <v>0</v>
      </c>
      <c r="BL101" s="14">
        <v>0</v>
      </c>
      <c r="BM101" s="14">
        <v>0</v>
      </c>
      <c r="BN101" s="14">
        <v>0</v>
      </c>
      <c r="BO101" s="14">
        <v>0</v>
      </c>
      <c r="BP101" s="14">
        <v>0</v>
      </c>
      <c r="BQ101" s="14">
        <v>0</v>
      </c>
      <c r="BR101" s="14">
        <v>0</v>
      </c>
      <c r="BS101" s="14">
        <v>0</v>
      </c>
      <c r="BT101" s="14">
        <v>0</v>
      </c>
      <c r="BU101" s="14">
        <v>0</v>
      </c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3">
        <v>1</v>
      </c>
      <c r="CC101" s="14">
        <v>0</v>
      </c>
      <c r="CD101" s="14">
        <v>0</v>
      </c>
      <c r="CE101" s="14">
        <v>0</v>
      </c>
      <c r="CF101" s="14">
        <v>0</v>
      </c>
      <c r="CG101" s="14">
        <v>0</v>
      </c>
      <c r="CH101" s="14">
        <v>0</v>
      </c>
      <c r="CI101" s="14">
        <v>0</v>
      </c>
      <c r="CJ101" s="14">
        <v>0</v>
      </c>
      <c r="CK101" s="14">
        <v>0</v>
      </c>
      <c r="CL101" s="14">
        <v>0</v>
      </c>
      <c r="CM101" s="14">
        <v>0</v>
      </c>
      <c r="CN101" s="14">
        <v>0</v>
      </c>
      <c r="CO101" s="14">
        <v>0</v>
      </c>
      <c r="CP101" s="14">
        <v>0</v>
      </c>
      <c r="CQ101" s="14">
        <v>0</v>
      </c>
      <c r="CR101" s="14">
        <v>0</v>
      </c>
      <c r="CS101" s="14">
        <v>0</v>
      </c>
      <c r="CT101" s="14">
        <v>0</v>
      </c>
      <c r="CU101" s="14">
        <v>0</v>
      </c>
      <c r="CV101" s="14">
        <v>0</v>
      </c>
      <c r="CW101" s="14">
        <v>0</v>
      </c>
      <c r="CX101" s="14">
        <v>0</v>
      </c>
      <c r="CY101" s="14">
        <v>0</v>
      </c>
      <c r="CZ101" s="14">
        <v>0</v>
      </c>
      <c r="DA101" s="14">
        <v>0</v>
      </c>
      <c r="DB101" s="14">
        <v>0</v>
      </c>
      <c r="DC101" s="14">
        <v>0</v>
      </c>
      <c r="DD101" s="14">
        <v>0</v>
      </c>
      <c r="DE101" s="14">
        <v>0</v>
      </c>
      <c r="DF101" s="14">
        <v>0</v>
      </c>
      <c r="DG101" s="14">
        <v>0</v>
      </c>
      <c r="DH101" s="14">
        <v>0</v>
      </c>
      <c r="DI101" s="14">
        <v>0</v>
      </c>
      <c r="DJ101" s="14">
        <v>0</v>
      </c>
      <c r="DK101" s="14">
        <v>0</v>
      </c>
      <c r="DL101" s="14">
        <v>0</v>
      </c>
      <c r="DM101" s="14">
        <v>0</v>
      </c>
      <c r="DN101" s="14">
        <v>0</v>
      </c>
      <c r="DO101" s="14">
        <v>0</v>
      </c>
      <c r="DP101" s="14">
        <v>0</v>
      </c>
      <c r="DQ101" s="14">
        <v>0</v>
      </c>
      <c r="DR101" s="14">
        <v>0</v>
      </c>
      <c r="DS101" s="14">
        <v>0</v>
      </c>
      <c r="DT101" s="14">
        <v>0</v>
      </c>
      <c r="DU101" s="14">
        <v>0</v>
      </c>
      <c r="DV101" s="14">
        <v>0</v>
      </c>
      <c r="DW101" s="14">
        <v>0</v>
      </c>
      <c r="DX101" s="14">
        <v>0</v>
      </c>
      <c r="DY101" s="14">
        <v>0</v>
      </c>
      <c r="DZ101" s="14">
        <v>0</v>
      </c>
      <c r="EA101" s="14">
        <v>0</v>
      </c>
      <c r="EB101" s="14">
        <v>0</v>
      </c>
      <c r="EC101" s="14">
        <v>0</v>
      </c>
      <c r="ED101" s="14">
        <v>0</v>
      </c>
      <c r="EE101" s="14">
        <v>0</v>
      </c>
      <c r="EF101" s="14">
        <v>0</v>
      </c>
    </row>
    <row r="102" ht="32" customHeight="1" spans="1:136" x14ac:dyDescent="0.25">
      <c r="A102" s="4" t="s">
        <v>7</v>
      </c>
      <c r="B102" s="4" t="s">
        <v>32</v>
      </c>
      <c r="C102" s="4" t="s">
        <v>250</v>
      </c>
      <c r="D102" s="12" t="s">
        <v>350</v>
      </c>
      <c r="E102" s="8">
        <f>SUM(G102:EF102)</f>
      </c>
      <c r="F102" s="8">
        <f>IF(E102&gt;0,1,0)</f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3">
        <v>1</v>
      </c>
      <c r="AD102" s="14">
        <v>0</v>
      </c>
      <c r="AE102" s="14">
        <v>0</v>
      </c>
      <c r="AF102" s="14">
        <v>0</v>
      </c>
      <c r="AG102" s="13">
        <v>1</v>
      </c>
      <c r="AH102" s="14">
        <v>0</v>
      </c>
      <c r="AI102" s="14">
        <v>0</v>
      </c>
      <c r="AJ102" s="14">
        <v>0</v>
      </c>
      <c r="AK102" s="13">
        <v>1</v>
      </c>
      <c r="AL102" s="14">
        <v>0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4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0</v>
      </c>
      <c r="AY102" s="14">
        <v>0</v>
      </c>
      <c r="AZ102" s="14">
        <v>0</v>
      </c>
      <c r="BA102" s="14">
        <v>0</v>
      </c>
      <c r="BB102" s="14">
        <v>0</v>
      </c>
      <c r="BC102" s="14">
        <v>0</v>
      </c>
      <c r="BD102" s="14">
        <v>0</v>
      </c>
      <c r="BE102" s="14">
        <v>0</v>
      </c>
      <c r="BF102" s="14">
        <v>0</v>
      </c>
      <c r="BG102" s="14">
        <v>0</v>
      </c>
      <c r="BH102" s="14">
        <v>0</v>
      </c>
      <c r="BI102" s="14">
        <v>0</v>
      </c>
      <c r="BJ102" s="14">
        <v>0</v>
      </c>
      <c r="BK102" s="14">
        <v>0</v>
      </c>
      <c r="BL102" s="14">
        <v>0</v>
      </c>
      <c r="BM102" s="13">
        <v>1</v>
      </c>
      <c r="BN102" s="14">
        <v>0</v>
      </c>
      <c r="BO102" s="14">
        <v>0</v>
      </c>
      <c r="BP102" s="14">
        <v>0</v>
      </c>
      <c r="BQ102" s="14">
        <v>0</v>
      </c>
      <c r="BR102" s="14">
        <v>0</v>
      </c>
      <c r="BS102" s="14">
        <v>0</v>
      </c>
      <c r="BT102" s="14">
        <v>0</v>
      </c>
      <c r="BU102" s="14">
        <v>0</v>
      </c>
      <c r="BV102" s="14">
        <v>0</v>
      </c>
      <c r="BW102" s="14">
        <v>0</v>
      </c>
      <c r="BX102" s="14">
        <v>0</v>
      </c>
      <c r="BY102" s="14">
        <v>0</v>
      </c>
      <c r="BZ102" s="14">
        <v>0</v>
      </c>
      <c r="CA102" s="14">
        <v>0</v>
      </c>
      <c r="CB102" s="14">
        <v>0</v>
      </c>
      <c r="CC102" s="13">
        <v>1</v>
      </c>
      <c r="CD102" s="13">
        <v>1</v>
      </c>
      <c r="CE102" s="14">
        <v>0</v>
      </c>
      <c r="CF102" s="14">
        <v>0</v>
      </c>
      <c r="CG102" s="14">
        <v>0</v>
      </c>
      <c r="CH102" s="14">
        <v>0</v>
      </c>
      <c r="CI102" s="14">
        <v>0</v>
      </c>
      <c r="CJ102" s="14">
        <v>0</v>
      </c>
      <c r="CK102" s="14">
        <v>0</v>
      </c>
      <c r="CL102" s="14">
        <v>0</v>
      </c>
      <c r="CM102" s="14">
        <v>0</v>
      </c>
      <c r="CN102" s="14">
        <v>0</v>
      </c>
      <c r="CO102" s="14">
        <v>0</v>
      </c>
      <c r="CP102" s="14">
        <v>0</v>
      </c>
      <c r="CQ102" s="14">
        <v>0</v>
      </c>
      <c r="CR102" s="14">
        <v>0</v>
      </c>
      <c r="CS102" s="14">
        <v>0</v>
      </c>
      <c r="CT102" s="14">
        <v>0</v>
      </c>
      <c r="CU102" s="14">
        <v>0</v>
      </c>
      <c r="CV102" s="14">
        <v>0</v>
      </c>
      <c r="CW102" s="14">
        <v>0</v>
      </c>
      <c r="CX102" s="14">
        <v>0</v>
      </c>
      <c r="CY102" s="14">
        <v>0</v>
      </c>
      <c r="CZ102" s="14">
        <v>0</v>
      </c>
      <c r="DA102" s="14">
        <v>0</v>
      </c>
      <c r="DB102" s="14">
        <v>0</v>
      </c>
      <c r="DC102" s="13">
        <v>1</v>
      </c>
      <c r="DD102" s="14">
        <v>0</v>
      </c>
      <c r="DE102" s="14">
        <v>0</v>
      </c>
      <c r="DF102" s="14">
        <v>0</v>
      </c>
      <c r="DG102" s="14">
        <v>0</v>
      </c>
      <c r="DH102" s="14">
        <v>0</v>
      </c>
      <c r="DI102" s="14">
        <v>0</v>
      </c>
      <c r="DJ102" s="14">
        <v>0</v>
      </c>
      <c r="DK102" s="14">
        <v>0</v>
      </c>
      <c r="DL102" s="14">
        <v>0</v>
      </c>
      <c r="DM102" s="14">
        <v>0</v>
      </c>
      <c r="DN102" s="14">
        <v>0</v>
      </c>
      <c r="DO102" s="14">
        <v>0</v>
      </c>
      <c r="DP102" s="14">
        <v>0</v>
      </c>
      <c r="DQ102" s="14">
        <v>0</v>
      </c>
      <c r="DR102" s="14">
        <v>0</v>
      </c>
      <c r="DS102" s="14">
        <v>0</v>
      </c>
      <c r="DT102" s="14">
        <v>0</v>
      </c>
      <c r="DU102" s="14">
        <v>0</v>
      </c>
      <c r="DV102" s="14">
        <v>0</v>
      </c>
      <c r="DW102" s="14">
        <v>0</v>
      </c>
      <c r="DX102" s="14">
        <v>0</v>
      </c>
      <c r="DY102" s="14">
        <v>0</v>
      </c>
      <c r="DZ102" s="14">
        <v>0</v>
      </c>
      <c r="EA102" s="14">
        <v>0</v>
      </c>
      <c r="EB102" s="14">
        <v>0</v>
      </c>
      <c r="EC102" s="14">
        <v>0</v>
      </c>
      <c r="ED102" s="14">
        <v>0</v>
      </c>
      <c r="EE102" s="14">
        <v>0</v>
      </c>
      <c r="EF102" s="14">
        <v>0</v>
      </c>
    </row>
    <row r="103" ht="32" customHeight="1" spans="1:136" x14ac:dyDescent="0.25">
      <c r="A103" s="4" t="s">
        <v>7</v>
      </c>
      <c r="B103" s="4" t="s">
        <v>32</v>
      </c>
      <c r="C103" s="4" t="s">
        <v>252</v>
      </c>
      <c r="D103" s="12" t="s">
        <v>351</v>
      </c>
      <c r="E103" s="8">
        <f>SUM(G103:EF103)</f>
      </c>
      <c r="F103" s="8">
        <f>IF(E103&gt;0,1,0)</f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</v>
      </c>
      <c r="AY103" s="14">
        <v>0</v>
      </c>
      <c r="AZ103" s="14">
        <v>0</v>
      </c>
      <c r="BA103" s="14">
        <v>0</v>
      </c>
      <c r="BB103" s="14">
        <v>0</v>
      </c>
      <c r="BC103" s="14">
        <v>0</v>
      </c>
      <c r="BD103" s="14">
        <v>0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>
        <v>0</v>
      </c>
      <c r="BL103" s="14">
        <v>0</v>
      </c>
      <c r="BM103" s="14">
        <v>0</v>
      </c>
      <c r="BN103" s="14">
        <v>0</v>
      </c>
      <c r="BO103" s="14">
        <v>0</v>
      </c>
      <c r="BP103" s="14">
        <v>0</v>
      </c>
      <c r="BQ103" s="14">
        <v>0</v>
      </c>
      <c r="BR103" s="14">
        <v>0</v>
      </c>
      <c r="BS103" s="14">
        <v>0</v>
      </c>
      <c r="BT103" s="14">
        <v>0</v>
      </c>
      <c r="BU103" s="14">
        <v>0</v>
      </c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3">
        <v>1</v>
      </c>
      <c r="CF103" s="14">
        <v>0</v>
      </c>
      <c r="CG103" s="14">
        <v>0</v>
      </c>
      <c r="CH103" s="14">
        <v>0</v>
      </c>
      <c r="CI103" s="14">
        <v>0</v>
      </c>
      <c r="CJ103" s="14">
        <v>0</v>
      </c>
      <c r="CK103" s="14">
        <v>0</v>
      </c>
      <c r="CL103" s="14">
        <v>0</v>
      </c>
      <c r="CM103" s="14">
        <v>0</v>
      </c>
      <c r="CN103" s="14">
        <v>0</v>
      </c>
      <c r="CO103" s="14">
        <v>0</v>
      </c>
      <c r="CP103" s="14">
        <v>0</v>
      </c>
      <c r="CQ103" s="14">
        <v>0</v>
      </c>
      <c r="CR103" s="14">
        <v>0</v>
      </c>
      <c r="CS103" s="14">
        <v>0</v>
      </c>
      <c r="CT103" s="14">
        <v>0</v>
      </c>
      <c r="CU103" s="14">
        <v>0</v>
      </c>
      <c r="CV103" s="14">
        <v>0</v>
      </c>
      <c r="CW103" s="14">
        <v>0</v>
      </c>
      <c r="CX103" s="14">
        <v>0</v>
      </c>
      <c r="CY103" s="14">
        <v>0</v>
      </c>
      <c r="CZ103" s="14">
        <v>0</v>
      </c>
      <c r="DA103" s="14">
        <v>0</v>
      </c>
      <c r="DB103" s="14">
        <v>0</v>
      </c>
      <c r="DC103" s="14">
        <v>0</v>
      </c>
      <c r="DD103" s="14">
        <v>0</v>
      </c>
      <c r="DE103" s="14">
        <v>0</v>
      </c>
      <c r="DF103" s="14">
        <v>0</v>
      </c>
      <c r="DG103" s="14">
        <v>0</v>
      </c>
      <c r="DH103" s="14">
        <v>0</v>
      </c>
      <c r="DI103" s="14">
        <v>0</v>
      </c>
      <c r="DJ103" s="14">
        <v>0</v>
      </c>
      <c r="DK103" s="14">
        <v>0</v>
      </c>
      <c r="DL103" s="14">
        <v>0</v>
      </c>
      <c r="DM103" s="14">
        <v>0</v>
      </c>
      <c r="DN103" s="14">
        <v>0</v>
      </c>
      <c r="DO103" s="14">
        <v>0</v>
      </c>
      <c r="DP103" s="14">
        <v>0</v>
      </c>
      <c r="DQ103" s="14">
        <v>0</v>
      </c>
      <c r="DR103" s="14">
        <v>0</v>
      </c>
      <c r="DS103" s="14">
        <v>0</v>
      </c>
      <c r="DT103" s="14">
        <v>0</v>
      </c>
      <c r="DU103" s="14">
        <v>0</v>
      </c>
      <c r="DV103" s="14">
        <v>0</v>
      </c>
      <c r="DW103" s="14">
        <v>0</v>
      </c>
      <c r="DX103" s="14">
        <v>0</v>
      </c>
      <c r="DY103" s="14">
        <v>0</v>
      </c>
      <c r="DZ103" s="14">
        <v>0</v>
      </c>
      <c r="EA103" s="14">
        <v>0</v>
      </c>
      <c r="EB103" s="14">
        <v>0</v>
      </c>
      <c r="EC103" s="14">
        <v>0</v>
      </c>
      <c r="ED103" s="14">
        <v>0</v>
      </c>
      <c r="EE103" s="14">
        <v>0</v>
      </c>
      <c r="EF103" s="14">
        <v>0</v>
      </c>
    </row>
    <row r="104" ht="32" customHeight="1" spans="1:136" x14ac:dyDescent="0.25">
      <c r="A104" s="4" t="s">
        <v>7</v>
      </c>
      <c r="B104" s="4" t="s">
        <v>32</v>
      </c>
      <c r="C104" s="4" t="s">
        <v>352</v>
      </c>
      <c r="D104" s="12" t="s">
        <v>353</v>
      </c>
      <c r="E104" s="8">
        <f>SUM(G104:EF104)</f>
      </c>
      <c r="F104" s="8">
        <f>IF(E104&gt;0,1,0)</f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4">
        <v>0</v>
      </c>
      <c r="AT104" s="14">
        <v>0</v>
      </c>
      <c r="AU104" s="14">
        <v>0</v>
      </c>
      <c r="AV104" s="14">
        <v>0</v>
      </c>
      <c r="AW104" s="14">
        <v>0</v>
      </c>
      <c r="AX104" s="14">
        <v>0</v>
      </c>
      <c r="AY104" s="14">
        <v>0</v>
      </c>
      <c r="AZ104" s="14">
        <v>0</v>
      </c>
      <c r="BA104" s="14">
        <v>0</v>
      </c>
      <c r="BB104" s="14">
        <v>0</v>
      </c>
      <c r="BC104" s="14">
        <v>0</v>
      </c>
      <c r="BD104" s="14">
        <v>0</v>
      </c>
      <c r="BE104" s="14">
        <v>0</v>
      </c>
      <c r="BF104" s="14">
        <v>0</v>
      </c>
      <c r="BG104" s="14">
        <v>0</v>
      </c>
      <c r="BH104" s="14">
        <v>0</v>
      </c>
      <c r="BI104" s="14">
        <v>0</v>
      </c>
      <c r="BJ104" s="14">
        <v>0</v>
      </c>
      <c r="BK104" s="14">
        <v>0</v>
      </c>
      <c r="BL104" s="14">
        <v>0</v>
      </c>
      <c r="BM104" s="14">
        <v>0</v>
      </c>
      <c r="BN104" s="14">
        <v>0</v>
      </c>
      <c r="BO104" s="14">
        <v>0</v>
      </c>
      <c r="BP104" s="14">
        <v>0</v>
      </c>
      <c r="BQ104" s="14">
        <v>0</v>
      </c>
      <c r="BR104" s="14">
        <v>0</v>
      </c>
      <c r="BS104" s="14">
        <v>0</v>
      </c>
      <c r="BT104" s="14">
        <v>0</v>
      </c>
      <c r="BU104" s="14">
        <v>0</v>
      </c>
      <c r="BV104" s="14">
        <v>0</v>
      </c>
      <c r="BW104" s="14">
        <v>0</v>
      </c>
      <c r="BX104" s="14">
        <v>0</v>
      </c>
      <c r="BY104" s="14">
        <v>0</v>
      </c>
      <c r="BZ104" s="14">
        <v>0</v>
      </c>
      <c r="CA104" s="14">
        <v>0</v>
      </c>
      <c r="CB104" s="14">
        <v>0</v>
      </c>
      <c r="CC104" s="14">
        <v>0</v>
      </c>
      <c r="CD104" s="14">
        <v>0</v>
      </c>
      <c r="CE104" s="14">
        <v>0</v>
      </c>
      <c r="CF104" s="13">
        <v>1</v>
      </c>
      <c r="CG104" s="13">
        <v>1</v>
      </c>
      <c r="CH104" s="14">
        <v>0</v>
      </c>
      <c r="CI104" s="14">
        <v>0</v>
      </c>
      <c r="CJ104" s="14">
        <v>0</v>
      </c>
      <c r="CK104" s="14">
        <v>0</v>
      </c>
      <c r="CL104" s="14">
        <v>0</v>
      </c>
      <c r="CM104" s="14">
        <v>0</v>
      </c>
      <c r="CN104" s="14">
        <v>0</v>
      </c>
      <c r="CO104" s="14">
        <v>0</v>
      </c>
      <c r="CP104" s="14">
        <v>0</v>
      </c>
      <c r="CQ104" s="14">
        <v>0</v>
      </c>
      <c r="CR104" s="14">
        <v>0</v>
      </c>
      <c r="CS104" s="14">
        <v>0</v>
      </c>
      <c r="CT104" s="14">
        <v>0</v>
      </c>
      <c r="CU104" s="14">
        <v>0</v>
      </c>
      <c r="CV104" s="14">
        <v>0</v>
      </c>
      <c r="CW104" s="14">
        <v>0</v>
      </c>
      <c r="CX104" s="14">
        <v>0</v>
      </c>
      <c r="CY104" s="14">
        <v>0</v>
      </c>
      <c r="CZ104" s="14">
        <v>0</v>
      </c>
      <c r="DA104" s="14">
        <v>0</v>
      </c>
      <c r="DB104" s="14">
        <v>0</v>
      </c>
      <c r="DC104" s="14">
        <v>0</v>
      </c>
      <c r="DD104" s="14">
        <v>0</v>
      </c>
      <c r="DE104" s="14">
        <v>0</v>
      </c>
      <c r="DF104" s="14">
        <v>0</v>
      </c>
      <c r="DG104" s="14">
        <v>0</v>
      </c>
      <c r="DH104" s="14">
        <v>0</v>
      </c>
      <c r="DI104" s="14">
        <v>0</v>
      </c>
      <c r="DJ104" s="14">
        <v>0</v>
      </c>
      <c r="DK104" s="14">
        <v>0</v>
      </c>
      <c r="DL104" s="14">
        <v>0</v>
      </c>
      <c r="DM104" s="14">
        <v>0</v>
      </c>
      <c r="DN104" s="14">
        <v>0</v>
      </c>
      <c r="DO104" s="14">
        <v>0</v>
      </c>
      <c r="DP104" s="14">
        <v>0</v>
      </c>
      <c r="DQ104" s="14">
        <v>0</v>
      </c>
      <c r="DR104" s="14">
        <v>0</v>
      </c>
      <c r="DS104" s="14">
        <v>0</v>
      </c>
      <c r="DT104" s="14">
        <v>0</v>
      </c>
      <c r="DU104" s="14">
        <v>0</v>
      </c>
      <c r="DV104" s="14">
        <v>0</v>
      </c>
      <c r="DW104" s="14">
        <v>0</v>
      </c>
      <c r="DX104" s="14">
        <v>0</v>
      </c>
      <c r="DY104" s="14">
        <v>0</v>
      </c>
      <c r="DZ104" s="14">
        <v>0</v>
      </c>
      <c r="EA104" s="14">
        <v>0</v>
      </c>
      <c r="EB104" s="14">
        <v>0</v>
      </c>
      <c r="EC104" s="14">
        <v>0</v>
      </c>
      <c r="ED104" s="14">
        <v>0</v>
      </c>
      <c r="EE104" s="14">
        <v>0</v>
      </c>
      <c r="EF104" s="14">
        <v>0</v>
      </c>
    </row>
    <row r="105" ht="32" customHeight="1" spans="1:136" x14ac:dyDescent="0.25">
      <c r="A105" s="4" t="s">
        <v>7</v>
      </c>
      <c r="B105" s="4" t="s">
        <v>32</v>
      </c>
      <c r="C105" s="4" t="s">
        <v>354</v>
      </c>
      <c r="D105" s="12" t="s">
        <v>355</v>
      </c>
      <c r="E105" s="8">
        <f>SUM(G105:EF105)</f>
      </c>
      <c r="F105" s="8">
        <f>IF(E105&gt;0,1,0)</f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4">
        <v>0</v>
      </c>
      <c r="AZ105" s="14">
        <v>0</v>
      </c>
      <c r="BA105" s="14">
        <v>0</v>
      </c>
      <c r="BB105" s="14">
        <v>0</v>
      </c>
      <c r="BC105" s="14">
        <v>0</v>
      </c>
      <c r="BD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0</v>
      </c>
      <c r="BJ105" s="14">
        <v>0</v>
      </c>
      <c r="BK105" s="14">
        <v>0</v>
      </c>
      <c r="BL105" s="14">
        <v>0</v>
      </c>
      <c r="BM105" s="14">
        <v>0</v>
      </c>
      <c r="BN105" s="14">
        <v>0</v>
      </c>
      <c r="BO105" s="14">
        <v>0</v>
      </c>
      <c r="BP105" s="14">
        <v>0</v>
      </c>
      <c r="BQ105" s="14">
        <v>0</v>
      </c>
      <c r="BR105" s="14">
        <v>0</v>
      </c>
      <c r="BS105" s="14">
        <v>0</v>
      </c>
      <c r="BT105" s="14">
        <v>0</v>
      </c>
      <c r="BU105" s="14">
        <v>0</v>
      </c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4">
        <v>0</v>
      </c>
      <c r="CH105" s="13">
        <v>1</v>
      </c>
      <c r="CI105" s="14">
        <v>0</v>
      </c>
      <c r="CJ105" s="14">
        <v>0</v>
      </c>
      <c r="CK105" s="14">
        <v>0</v>
      </c>
      <c r="CL105" s="14">
        <v>0</v>
      </c>
      <c r="CM105" s="14">
        <v>0</v>
      </c>
      <c r="CN105" s="14">
        <v>0</v>
      </c>
      <c r="CO105" s="14">
        <v>0</v>
      </c>
      <c r="CP105" s="14">
        <v>0</v>
      </c>
      <c r="CQ105" s="14">
        <v>0</v>
      </c>
      <c r="CR105" s="14">
        <v>0</v>
      </c>
      <c r="CS105" s="14">
        <v>0</v>
      </c>
      <c r="CT105" s="14">
        <v>0</v>
      </c>
      <c r="CU105" s="14">
        <v>0</v>
      </c>
      <c r="CV105" s="14">
        <v>0</v>
      </c>
      <c r="CW105" s="14">
        <v>0</v>
      </c>
      <c r="CX105" s="14">
        <v>0</v>
      </c>
      <c r="CY105" s="14">
        <v>0</v>
      </c>
      <c r="CZ105" s="14">
        <v>0</v>
      </c>
      <c r="DA105" s="14">
        <v>0</v>
      </c>
      <c r="DB105" s="14">
        <v>0</v>
      </c>
      <c r="DC105" s="14">
        <v>0</v>
      </c>
      <c r="DD105" s="14">
        <v>0</v>
      </c>
      <c r="DE105" s="14">
        <v>0</v>
      </c>
      <c r="DF105" s="14">
        <v>0</v>
      </c>
      <c r="DG105" s="14">
        <v>0</v>
      </c>
      <c r="DH105" s="14">
        <v>0</v>
      </c>
      <c r="DI105" s="14">
        <v>0</v>
      </c>
      <c r="DJ105" s="14">
        <v>0</v>
      </c>
      <c r="DK105" s="14">
        <v>0</v>
      </c>
      <c r="DL105" s="14">
        <v>0</v>
      </c>
      <c r="DM105" s="14">
        <v>0</v>
      </c>
      <c r="DN105" s="14">
        <v>0</v>
      </c>
      <c r="DO105" s="14">
        <v>0</v>
      </c>
      <c r="DP105" s="14">
        <v>0</v>
      </c>
      <c r="DQ105" s="14">
        <v>0</v>
      </c>
      <c r="DR105" s="14">
        <v>0</v>
      </c>
      <c r="DS105" s="14">
        <v>0</v>
      </c>
      <c r="DT105" s="14">
        <v>0</v>
      </c>
      <c r="DU105" s="14">
        <v>0</v>
      </c>
      <c r="DV105" s="14">
        <v>0</v>
      </c>
      <c r="DW105" s="14">
        <v>0</v>
      </c>
      <c r="DX105" s="14">
        <v>0</v>
      </c>
      <c r="DY105" s="14">
        <v>0</v>
      </c>
      <c r="DZ105" s="14">
        <v>0</v>
      </c>
      <c r="EA105" s="14">
        <v>0</v>
      </c>
      <c r="EB105" s="14">
        <v>0</v>
      </c>
      <c r="EC105" s="14">
        <v>0</v>
      </c>
      <c r="ED105" s="14">
        <v>0</v>
      </c>
      <c r="EE105" s="14">
        <v>0</v>
      </c>
      <c r="EF105" s="14">
        <v>0</v>
      </c>
    </row>
    <row r="106" ht="32" customHeight="1" spans="1:136" x14ac:dyDescent="0.25">
      <c r="A106" s="15" t="s">
        <v>7</v>
      </c>
      <c r="B106" s="15" t="s">
        <v>33</v>
      </c>
      <c r="C106" s="15" t="s">
        <v>254</v>
      </c>
      <c r="D106" s="16" t="s">
        <v>356</v>
      </c>
      <c r="E106" s="17">
        <f>SUM(G106:EF106)</f>
      </c>
      <c r="F106" s="17">
        <f>IF(E106&gt;0,1,0)</f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0</v>
      </c>
      <c r="AF106" s="18">
        <v>0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18">
        <v>0</v>
      </c>
      <c r="BN106" s="18">
        <v>0</v>
      </c>
      <c r="BO106" s="18">
        <v>0</v>
      </c>
      <c r="BP106" s="18">
        <v>0</v>
      </c>
      <c r="BQ106" s="18">
        <v>0</v>
      </c>
      <c r="BR106" s="18">
        <v>0</v>
      </c>
      <c r="BS106" s="18">
        <v>0</v>
      </c>
      <c r="BT106" s="18">
        <v>0</v>
      </c>
      <c r="BU106" s="18">
        <v>0</v>
      </c>
      <c r="BV106" s="18">
        <v>0</v>
      </c>
      <c r="BW106" s="18">
        <v>0</v>
      </c>
      <c r="BX106" s="18">
        <v>0</v>
      </c>
      <c r="BY106" s="18">
        <v>0</v>
      </c>
      <c r="BZ106" s="18">
        <v>0</v>
      </c>
      <c r="CA106" s="18">
        <v>0</v>
      </c>
      <c r="CB106" s="18">
        <v>0</v>
      </c>
      <c r="CC106" s="18">
        <v>0</v>
      </c>
      <c r="CD106" s="18">
        <v>0</v>
      </c>
      <c r="CE106" s="18">
        <v>0</v>
      </c>
      <c r="CF106" s="18">
        <v>0</v>
      </c>
      <c r="CG106" s="18">
        <v>0</v>
      </c>
      <c r="CH106" s="18">
        <v>0</v>
      </c>
      <c r="CI106" s="19">
        <v>1</v>
      </c>
      <c r="CJ106" s="18">
        <v>0</v>
      </c>
      <c r="CK106" s="18">
        <v>0</v>
      </c>
      <c r="CL106" s="18">
        <v>0</v>
      </c>
      <c r="CM106" s="18">
        <v>0</v>
      </c>
      <c r="CN106" s="18">
        <v>0</v>
      </c>
      <c r="CO106" s="18">
        <v>0</v>
      </c>
      <c r="CP106" s="18">
        <v>0</v>
      </c>
      <c r="CQ106" s="18">
        <v>0</v>
      </c>
      <c r="CR106" s="18">
        <v>0</v>
      </c>
      <c r="CS106" s="18">
        <v>0</v>
      </c>
      <c r="CT106" s="18">
        <v>0</v>
      </c>
      <c r="CU106" s="18">
        <v>0</v>
      </c>
      <c r="CV106" s="18">
        <v>0</v>
      </c>
      <c r="CW106" s="18">
        <v>0</v>
      </c>
      <c r="CX106" s="18">
        <v>0</v>
      </c>
      <c r="CY106" s="18">
        <v>0</v>
      </c>
      <c r="CZ106" s="18">
        <v>0</v>
      </c>
      <c r="DA106" s="18">
        <v>0</v>
      </c>
      <c r="DB106" s="18">
        <v>0</v>
      </c>
      <c r="DC106" s="18">
        <v>0</v>
      </c>
      <c r="DD106" s="18">
        <v>0</v>
      </c>
      <c r="DE106" s="18">
        <v>0</v>
      </c>
      <c r="DF106" s="18">
        <v>0</v>
      </c>
      <c r="DG106" s="18">
        <v>0</v>
      </c>
      <c r="DH106" s="18">
        <v>0</v>
      </c>
      <c r="DI106" s="18">
        <v>0</v>
      </c>
      <c r="DJ106" s="18">
        <v>0</v>
      </c>
      <c r="DK106" s="18">
        <v>0</v>
      </c>
      <c r="DL106" s="18">
        <v>0</v>
      </c>
      <c r="DM106" s="18">
        <v>0</v>
      </c>
      <c r="DN106" s="18">
        <v>0</v>
      </c>
      <c r="DO106" s="18">
        <v>0</v>
      </c>
      <c r="DP106" s="18">
        <v>0</v>
      </c>
      <c r="DQ106" s="18">
        <v>0</v>
      </c>
      <c r="DR106" s="18">
        <v>0</v>
      </c>
      <c r="DS106" s="18">
        <v>0</v>
      </c>
      <c r="DT106" s="18">
        <v>0</v>
      </c>
      <c r="DU106" s="18">
        <v>0</v>
      </c>
      <c r="DV106" s="18">
        <v>0</v>
      </c>
      <c r="DW106" s="18">
        <v>0</v>
      </c>
      <c r="DX106" s="18">
        <v>0</v>
      </c>
      <c r="DY106" s="18">
        <v>0</v>
      </c>
      <c r="DZ106" s="18">
        <v>0</v>
      </c>
      <c r="EA106" s="18">
        <v>0</v>
      </c>
      <c r="EB106" s="18">
        <v>0</v>
      </c>
      <c r="EC106" s="18">
        <v>0</v>
      </c>
      <c r="ED106" s="18">
        <v>0</v>
      </c>
      <c r="EE106" s="18">
        <v>0</v>
      </c>
      <c r="EF106" s="18">
        <v>0</v>
      </c>
    </row>
    <row r="107" ht="32" customHeight="1" spans="1:136" x14ac:dyDescent="0.25">
      <c r="A107" s="4" t="s">
        <v>7</v>
      </c>
      <c r="B107" s="4" t="s">
        <v>33</v>
      </c>
      <c r="C107" s="4" t="s">
        <v>256</v>
      </c>
      <c r="D107" s="12" t="s">
        <v>357</v>
      </c>
      <c r="E107" s="8">
        <f>SUM(G107:EF107)</f>
      </c>
      <c r="F107" s="8">
        <f>IF(E107&gt;0,1,0)</f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</v>
      </c>
      <c r="BC107" s="14">
        <v>0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0</v>
      </c>
      <c r="BL107" s="14">
        <v>0</v>
      </c>
      <c r="BM107" s="14">
        <v>0</v>
      </c>
      <c r="BN107" s="14">
        <v>0</v>
      </c>
      <c r="BO107" s="14">
        <v>0</v>
      </c>
      <c r="BP107" s="14">
        <v>0</v>
      </c>
      <c r="BQ107" s="14">
        <v>0</v>
      </c>
      <c r="BR107" s="14">
        <v>0</v>
      </c>
      <c r="BS107" s="14">
        <v>0</v>
      </c>
      <c r="BT107" s="14">
        <v>0</v>
      </c>
      <c r="BU107" s="14">
        <v>0</v>
      </c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4">
        <v>0</v>
      </c>
      <c r="CH107" s="14">
        <v>0</v>
      </c>
      <c r="CI107" s="14">
        <v>0</v>
      </c>
      <c r="CJ107" s="13">
        <v>1</v>
      </c>
      <c r="CK107" s="13">
        <v>1</v>
      </c>
      <c r="CL107" s="14">
        <v>0</v>
      </c>
      <c r="CM107" s="14">
        <v>0</v>
      </c>
      <c r="CN107" s="14">
        <v>0</v>
      </c>
      <c r="CO107" s="14">
        <v>0</v>
      </c>
      <c r="CP107" s="14">
        <v>0</v>
      </c>
      <c r="CQ107" s="14">
        <v>0</v>
      </c>
      <c r="CR107" s="14">
        <v>0</v>
      </c>
      <c r="CS107" s="14">
        <v>0</v>
      </c>
      <c r="CT107" s="14">
        <v>0</v>
      </c>
      <c r="CU107" s="14">
        <v>0</v>
      </c>
      <c r="CV107" s="14">
        <v>0</v>
      </c>
      <c r="CW107" s="14">
        <v>0</v>
      </c>
      <c r="CX107" s="14">
        <v>0</v>
      </c>
      <c r="CY107" s="14">
        <v>0</v>
      </c>
      <c r="CZ107" s="14">
        <v>0</v>
      </c>
      <c r="DA107" s="14">
        <v>0</v>
      </c>
      <c r="DB107" s="14">
        <v>0</v>
      </c>
      <c r="DC107" s="14">
        <v>0</v>
      </c>
      <c r="DD107" s="14">
        <v>0</v>
      </c>
      <c r="DE107" s="14">
        <v>0</v>
      </c>
      <c r="DF107" s="14">
        <v>0</v>
      </c>
      <c r="DG107" s="14">
        <v>0</v>
      </c>
      <c r="DH107" s="14">
        <v>0</v>
      </c>
      <c r="DI107" s="14">
        <v>0</v>
      </c>
      <c r="DJ107" s="14">
        <v>0</v>
      </c>
      <c r="DK107" s="14">
        <v>0</v>
      </c>
      <c r="DL107" s="14">
        <v>0</v>
      </c>
      <c r="DM107" s="14">
        <v>0</v>
      </c>
      <c r="DN107" s="14">
        <v>0</v>
      </c>
      <c r="DO107" s="14">
        <v>0</v>
      </c>
      <c r="DP107" s="14">
        <v>0</v>
      </c>
      <c r="DQ107" s="14">
        <v>0</v>
      </c>
      <c r="DR107" s="14">
        <v>0</v>
      </c>
      <c r="DS107" s="14">
        <v>0</v>
      </c>
      <c r="DT107" s="14">
        <v>0</v>
      </c>
      <c r="DU107" s="14">
        <v>0</v>
      </c>
      <c r="DV107" s="14">
        <v>0</v>
      </c>
      <c r="DW107" s="14">
        <v>0</v>
      </c>
      <c r="DX107" s="14">
        <v>0</v>
      </c>
      <c r="DY107" s="14">
        <v>0</v>
      </c>
      <c r="DZ107" s="14">
        <v>0</v>
      </c>
      <c r="EA107" s="14">
        <v>0</v>
      </c>
      <c r="EB107" s="14">
        <v>0</v>
      </c>
      <c r="EC107" s="14">
        <v>0</v>
      </c>
      <c r="ED107" s="14">
        <v>0</v>
      </c>
      <c r="EE107" s="14">
        <v>0</v>
      </c>
      <c r="EF107" s="14">
        <v>0</v>
      </c>
    </row>
    <row r="108" ht="32" customHeight="1" spans="1:136" x14ac:dyDescent="0.25">
      <c r="A108" s="4" t="s">
        <v>7</v>
      </c>
      <c r="B108" s="4" t="s">
        <v>33</v>
      </c>
      <c r="C108" s="4" t="s">
        <v>258</v>
      </c>
      <c r="D108" s="12" t="s">
        <v>358</v>
      </c>
      <c r="E108" s="8">
        <f>SUM(G108:EF108)</f>
      </c>
      <c r="F108" s="8">
        <f>IF(E108&gt;0,1,0)</f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13">
        <v>1</v>
      </c>
      <c r="CM108" s="13">
        <v>1</v>
      </c>
      <c r="CN108" s="14">
        <v>0</v>
      </c>
      <c r="CO108" s="14">
        <v>0</v>
      </c>
      <c r="CP108" s="14">
        <v>0</v>
      </c>
      <c r="CQ108" s="14">
        <v>0</v>
      </c>
      <c r="CR108" s="14">
        <v>0</v>
      </c>
      <c r="CS108" s="14">
        <v>0</v>
      </c>
      <c r="CT108" s="14">
        <v>0</v>
      </c>
      <c r="CU108" s="14">
        <v>0</v>
      </c>
      <c r="CV108" s="14">
        <v>0</v>
      </c>
      <c r="CW108" s="14">
        <v>0</v>
      </c>
      <c r="CX108" s="14">
        <v>0</v>
      </c>
      <c r="CY108" s="14">
        <v>0</v>
      </c>
      <c r="CZ108" s="14">
        <v>0</v>
      </c>
      <c r="DA108" s="14">
        <v>0</v>
      </c>
      <c r="DB108" s="14">
        <v>0</v>
      </c>
      <c r="DC108" s="14">
        <v>0</v>
      </c>
      <c r="DD108" s="14">
        <v>0</v>
      </c>
      <c r="DE108" s="14">
        <v>0</v>
      </c>
      <c r="DF108" s="14">
        <v>0</v>
      </c>
      <c r="DG108" s="14">
        <v>0</v>
      </c>
      <c r="DH108" s="14">
        <v>0</v>
      </c>
      <c r="DI108" s="14">
        <v>0</v>
      </c>
      <c r="DJ108" s="14">
        <v>0</v>
      </c>
      <c r="DK108" s="14">
        <v>0</v>
      </c>
      <c r="DL108" s="14">
        <v>0</v>
      </c>
      <c r="DM108" s="14">
        <v>0</v>
      </c>
      <c r="DN108" s="14">
        <v>0</v>
      </c>
      <c r="DO108" s="14">
        <v>0</v>
      </c>
      <c r="DP108" s="14">
        <v>0</v>
      </c>
      <c r="DQ108" s="14">
        <v>0</v>
      </c>
      <c r="DR108" s="14">
        <v>0</v>
      </c>
      <c r="DS108" s="14">
        <v>0</v>
      </c>
      <c r="DT108" s="14">
        <v>0</v>
      </c>
      <c r="DU108" s="14">
        <v>0</v>
      </c>
      <c r="DV108" s="14">
        <v>0</v>
      </c>
      <c r="DW108" s="14">
        <v>0</v>
      </c>
      <c r="DX108" s="14">
        <v>0</v>
      </c>
      <c r="DY108" s="14">
        <v>0</v>
      </c>
      <c r="DZ108" s="14">
        <v>0</v>
      </c>
      <c r="EA108" s="14">
        <v>0</v>
      </c>
      <c r="EB108" s="14">
        <v>0</v>
      </c>
      <c r="EC108" s="14">
        <v>0</v>
      </c>
      <c r="ED108" s="14">
        <v>0</v>
      </c>
      <c r="EE108" s="14">
        <v>0</v>
      </c>
      <c r="EF108" s="14">
        <v>0</v>
      </c>
    </row>
    <row r="109" ht="32" customHeight="1" spans="1:136" x14ac:dyDescent="0.25">
      <c r="A109" s="4" t="s">
        <v>7</v>
      </c>
      <c r="B109" s="4" t="s">
        <v>33</v>
      </c>
      <c r="C109" s="4" t="s">
        <v>260</v>
      </c>
      <c r="D109" s="12" t="s">
        <v>359</v>
      </c>
      <c r="E109" s="8">
        <f>SUM(G109:EF109)</f>
      </c>
      <c r="F109" s="8">
        <f>IF(E109&gt;0,1,0)</f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</v>
      </c>
      <c r="AU109" s="14">
        <v>0</v>
      </c>
      <c r="AV109" s="14">
        <v>0</v>
      </c>
      <c r="AW109" s="14">
        <v>0</v>
      </c>
      <c r="AX109" s="14">
        <v>0</v>
      </c>
      <c r="AY109" s="14">
        <v>0</v>
      </c>
      <c r="AZ109" s="14">
        <v>0</v>
      </c>
      <c r="BA109" s="14">
        <v>0</v>
      </c>
      <c r="BB109" s="14">
        <v>0</v>
      </c>
      <c r="BC109" s="14">
        <v>0</v>
      </c>
      <c r="BD109" s="14">
        <v>0</v>
      </c>
      <c r="BE109" s="14">
        <v>0</v>
      </c>
      <c r="BF109" s="14">
        <v>0</v>
      </c>
      <c r="BG109" s="14">
        <v>0</v>
      </c>
      <c r="BH109" s="14">
        <v>0</v>
      </c>
      <c r="BI109" s="14">
        <v>0</v>
      </c>
      <c r="BJ109" s="14">
        <v>0</v>
      </c>
      <c r="BK109" s="14">
        <v>0</v>
      </c>
      <c r="BL109" s="14">
        <v>0</v>
      </c>
      <c r="BM109" s="14">
        <v>0</v>
      </c>
      <c r="BN109" s="14">
        <v>0</v>
      </c>
      <c r="BO109" s="14">
        <v>0</v>
      </c>
      <c r="BP109" s="14">
        <v>0</v>
      </c>
      <c r="BQ109" s="14">
        <v>0</v>
      </c>
      <c r="BR109" s="14">
        <v>0</v>
      </c>
      <c r="BS109" s="14">
        <v>0</v>
      </c>
      <c r="BT109" s="14">
        <v>0</v>
      </c>
      <c r="BU109" s="14">
        <v>0</v>
      </c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4">
        <v>0</v>
      </c>
      <c r="CH109" s="14">
        <v>0</v>
      </c>
      <c r="CI109" s="14">
        <v>0</v>
      </c>
      <c r="CJ109" s="14">
        <v>0</v>
      </c>
      <c r="CK109" s="14">
        <v>0</v>
      </c>
      <c r="CL109" s="14">
        <v>0</v>
      </c>
      <c r="CM109" s="14">
        <v>0</v>
      </c>
      <c r="CN109" s="13">
        <v>1</v>
      </c>
      <c r="CO109" s="13">
        <v>1</v>
      </c>
      <c r="CP109" s="14">
        <v>0</v>
      </c>
      <c r="CQ109" s="14">
        <v>0</v>
      </c>
      <c r="CR109" s="14">
        <v>0</v>
      </c>
      <c r="CS109" s="14">
        <v>0</v>
      </c>
      <c r="CT109" s="14">
        <v>0</v>
      </c>
      <c r="CU109" s="14">
        <v>0</v>
      </c>
      <c r="CV109" s="14">
        <v>0</v>
      </c>
      <c r="CW109" s="14">
        <v>0</v>
      </c>
      <c r="CX109" s="14">
        <v>0</v>
      </c>
      <c r="CY109" s="14">
        <v>0</v>
      </c>
      <c r="CZ109" s="14">
        <v>0</v>
      </c>
      <c r="DA109" s="14">
        <v>0</v>
      </c>
      <c r="DB109" s="14">
        <v>0</v>
      </c>
      <c r="DC109" s="14">
        <v>0</v>
      </c>
      <c r="DD109" s="14">
        <v>0</v>
      </c>
      <c r="DE109" s="14">
        <v>0</v>
      </c>
      <c r="DF109" s="14">
        <v>0</v>
      </c>
      <c r="DG109" s="14">
        <v>0</v>
      </c>
      <c r="DH109" s="14">
        <v>0</v>
      </c>
      <c r="DI109" s="14">
        <v>0</v>
      </c>
      <c r="DJ109" s="14">
        <v>0</v>
      </c>
      <c r="DK109" s="14">
        <v>0</v>
      </c>
      <c r="DL109" s="14">
        <v>0</v>
      </c>
      <c r="DM109" s="14">
        <v>0</v>
      </c>
      <c r="DN109" s="14">
        <v>0</v>
      </c>
      <c r="DO109" s="14">
        <v>0</v>
      </c>
      <c r="DP109" s="14">
        <v>0</v>
      </c>
      <c r="DQ109" s="14">
        <v>0</v>
      </c>
      <c r="DR109" s="14">
        <v>0</v>
      </c>
      <c r="DS109" s="14">
        <v>0</v>
      </c>
      <c r="DT109" s="14">
        <v>0</v>
      </c>
      <c r="DU109" s="14">
        <v>0</v>
      </c>
      <c r="DV109" s="14">
        <v>0</v>
      </c>
      <c r="DW109" s="14">
        <v>0</v>
      </c>
      <c r="DX109" s="14">
        <v>0</v>
      </c>
      <c r="DY109" s="14">
        <v>0</v>
      </c>
      <c r="DZ109" s="14">
        <v>0</v>
      </c>
      <c r="EA109" s="14">
        <v>0</v>
      </c>
      <c r="EB109" s="14">
        <v>0</v>
      </c>
      <c r="EC109" s="14">
        <v>0</v>
      </c>
      <c r="ED109" s="14">
        <v>0</v>
      </c>
      <c r="EE109" s="14">
        <v>0</v>
      </c>
      <c r="EF109" s="14">
        <v>0</v>
      </c>
    </row>
    <row r="110" ht="32" customHeight="1" spans="1:136" x14ac:dyDescent="0.25">
      <c r="A110" s="4" t="s">
        <v>7</v>
      </c>
      <c r="B110" s="4" t="s">
        <v>33</v>
      </c>
      <c r="C110" s="4" t="s">
        <v>262</v>
      </c>
      <c r="D110" s="12" t="s">
        <v>360</v>
      </c>
      <c r="E110" s="8">
        <f>SUM(G110:EF110)</f>
      </c>
      <c r="F110" s="8">
        <f>IF(E110&gt;0,1,0)</f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3">
        <v>1</v>
      </c>
      <c r="CJ110" s="14">
        <v>0</v>
      </c>
      <c r="CK110" s="14">
        <v>0</v>
      </c>
      <c r="CL110" s="14">
        <v>0</v>
      </c>
      <c r="CM110" s="14">
        <v>0</v>
      </c>
      <c r="CN110" s="14">
        <v>0</v>
      </c>
      <c r="CO110" s="14">
        <v>0</v>
      </c>
      <c r="CP110" s="13">
        <v>1</v>
      </c>
      <c r="CQ110" s="14">
        <v>0</v>
      </c>
      <c r="CR110" s="14">
        <v>0</v>
      </c>
      <c r="CS110" s="14">
        <v>0</v>
      </c>
      <c r="CT110" s="14">
        <v>0</v>
      </c>
      <c r="CU110" s="14">
        <v>0</v>
      </c>
      <c r="CV110" s="14">
        <v>0</v>
      </c>
      <c r="CW110" s="14">
        <v>0</v>
      </c>
      <c r="CX110" s="14">
        <v>0</v>
      </c>
      <c r="CY110" s="14">
        <v>0</v>
      </c>
      <c r="CZ110" s="14">
        <v>0</v>
      </c>
      <c r="DA110" s="14">
        <v>0</v>
      </c>
      <c r="DB110" s="14">
        <v>0</v>
      </c>
      <c r="DC110" s="14">
        <v>0</v>
      </c>
      <c r="DD110" s="14">
        <v>0</v>
      </c>
      <c r="DE110" s="14">
        <v>0</v>
      </c>
      <c r="DF110" s="14">
        <v>0</v>
      </c>
      <c r="DG110" s="14">
        <v>0</v>
      </c>
      <c r="DH110" s="14">
        <v>0</v>
      </c>
      <c r="DI110" s="14">
        <v>0</v>
      </c>
      <c r="DJ110" s="14">
        <v>0</v>
      </c>
      <c r="DK110" s="14">
        <v>0</v>
      </c>
      <c r="DL110" s="14">
        <v>0</v>
      </c>
      <c r="DM110" s="14">
        <v>0</v>
      </c>
      <c r="DN110" s="14">
        <v>0</v>
      </c>
      <c r="DO110" s="14">
        <v>0</v>
      </c>
      <c r="DP110" s="14">
        <v>0</v>
      </c>
      <c r="DQ110" s="14">
        <v>0</v>
      </c>
      <c r="DR110" s="14">
        <v>0</v>
      </c>
      <c r="DS110" s="14">
        <v>0</v>
      </c>
      <c r="DT110" s="14">
        <v>0</v>
      </c>
      <c r="DU110" s="14">
        <v>0</v>
      </c>
      <c r="DV110" s="14">
        <v>0</v>
      </c>
      <c r="DW110" s="14">
        <v>0</v>
      </c>
      <c r="DX110" s="14">
        <v>0</v>
      </c>
      <c r="DY110" s="14">
        <v>0</v>
      </c>
      <c r="DZ110" s="14">
        <v>0</v>
      </c>
      <c r="EA110" s="14">
        <v>0</v>
      </c>
      <c r="EB110" s="14">
        <v>0</v>
      </c>
      <c r="EC110" s="14">
        <v>0</v>
      </c>
      <c r="ED110" s="14">
        <v>0</v>
      </c>
      <c r="EE110" s="14">
        <v>0</v>
      </c>
      <c r="EF110" s="14">
        <v>0</v>
      </c>
    </row>
    <row r="111" ht="32" customHeight="1" spans="1:136" x14ac:dyDescent="0.25">
      <c r="A111" s="15" t="s">
        <v>7</v>
      </c>
      <c r="B111" s="15" t="s">
        <v>34</v>
      </c>
      <c r="C111" s="15" t="s">
        <v>264</v>
      </c>
      <c r="D111" s="16" t="s">
        <v>361</v>
      </c>
      <c r="E111" s="17">
        <f>SUM(G111:EF111)</f>
      </c>
      <c r="F111" s="17">
        <f>IF(E111&gt;0,1,0)</f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D111" s="18">
        <v>0</v>
      </c>
      <c r="AE111" s="18">
        <v>0</v>
      </c>
      <c r="AF111" s="18">
        <v>0</v>
      </c>
      <c r="AG111" s="18">
        <v>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18">
        <v>0</v>
      </c>
      <c r="BI111" s="18">
        <v>0</v>
      </c>
      <c r="BJ111" s="18">
        <v>0</v>
      </c>
      <c r="BK111" s="18">
        <v>0</v>
      </c>
      <c r="BL111" s="18">
        <v>0</v>
      </c>
      <c r="BM111" s="18">
        <v>0</v>
      </c>
      <c r="BN111" s="18">
        <v>0</v>
      </c>
      <c r="BO111" s="18">
        <v>0</v>
      </c>
      <c r="BP111" s="18">
        <v>0</v>
      </c>
      <c r="BQ111" s="18">
        <v>0</v>
      </c>
      <c r="BR111" s="18">
        <v>0</v>
      </c>
      <c r="BS111" s="18">
        <v>0</v>
      </c>
      <c r="BT111" s="18">
        <v>0</v>
      </c>
      <c r="BU111" s="18">
        <v>0</v>
      </c>
      <c r="BV111" s="18">
        <v>0</v>
      </c>
      <c r="BW111" s="18">
        <v>0</v>
      </c>
      <c r="BX111" s="18">
        <v>0</v>
      </c>
      <c r="BY111" s="18">
        <v>0</v>
      </c>
      <c r="BZ111" s="18">
        <v>0</v>
      </c>
      <c r="CA111" s="18">
        <v>0</v>
      </c>
      <c r="CB111" s="18">
        <v>0</v>
      </c>
      <c r="CC111" s="18">
        <v>0</v>
      </c>
      <c r="CD111" s="18">
        <v>0</v>
      </c>
      <c r="CE111" s="18">
        <v>0</v>
      </c>
      <c r="CF111" s="18">
        <v>0</v>
      </c>
      <c r="CG111" s="18">
        <v>0</v>
      </c>
      <c r="CH111" s="18">
        <v>0</v>
      </c>
      <c r="CI111" s="18">
        <v>0</v>
      </c>
      <c r="CJ111" s="18">
        <v>0</v>
      </c>
      <c r="CK111" s="18">
        <v>0</v>
      </c>
      <c r="CL111" s="18">
        <v>0</v>
      </c>
      <c r="CM111" s="18">
        <v>0</v>
      </c>
      <c r="CN111" s="18">
        <v>0</v>
      </c>
      <c r="CO111" s="18">
        <v>0</v>
      </c>
      <c r="CP111" s="18">
        <v>0</v>
      </c>
      <c r="CQ111" s="19">
        <v>1</v>
      </c>
      <c r="CR111" s="18">
        <v>0</v>
      </c>
      <c r="CS111" s="18">
        <v>0</v>
      </c>
      <c r="CT111" s="18">
        <v>0</v>
      </c>
      <c r="CU111" s="18">
        <v>0</v>
      </c>
      <c r="CV111" s="18">
        <v>0</v>
      </c>
      <c r="CW111" s="18">
        <v>0</v>
      </c>
      <c r="CX111" s="18">
        <v>0</v>
      </c>
      <c r="CY111" s="18">
        <v>0</v>
      </c>
      <c r="CZ111" s="18">
        <v>0</v>
      </c>
      <c r="DA111" s="18">
        <v>0</v>
      </c>
      <c r="DB111" s="18">
        <v>0</v>
      </c>
      <c r="DC111" s="18">
        <v>0</v>
      </c>
      <c r="DD111" s="18">
        <v>0</v>
      </c>
      <c r="DE111" s="18">
        <v>0</v>
      </c>
      <c r="DF111" s="18">
        <v>0</v>
      </c>
      <c r="DG111" s="18">
        <v>0</v>
      </c>
      <c r="DH111" s="18">
        <v>0</v>
      </c>
      <c r="DI111" s="18">
        <v>0</v>
      </c>
      <c r="DJ111" s="18">
        <v>0</v>
      </c>
      <c r="DK111" s="18">
        <v>0</v>
      </c>
      <c r="DL111" s="18">
        <v>0</v>
      </c>
      <c r="DM111" s="18">
        <v>0</v>
      </c>
      <c r="DN111" s="18">
        <v>0</v>
      </c>
      <c r="DO111" s="18">
        <v>0</v>
      </c>
      <c r="DP111" s="18">
        <v>0</v>
      </c>
      <c r="DQ111" s="18">
        <v>0</v>
      </c>
      <c r="DR111" s="18">
        <v>0</v>
      </c>
      <c r="DS111" s="18">
        <v>0</v>
      </c>
      <c r="DT111" s="18">
        <v>0</v>
      </c>
      <c r="DU111" s="18">
        <v>0</v>
      </c>
      <c r="DV111" s="18">
        <v>0</v>
      </c>
      <c r="DW111" s="18">
        <v>0</v>
      </c>
      <c r="DX111" s="18">
        <v>0</v>
      </c>
      <c r="DY111" s="18">
        <v>0</v>
      </c>
      <c r="DZ111" s="18">
        <v>0</v>
      </c>
      <c r="EA111" s="18">
        <v>0</v>
      </c>
      <c r="EB111" s="18">
        <v>0</v>
      </c>
      <c r="EC111" s="18">
        <v>0</v>
      </c>
      <c r="ED111" s="18">
        <v>0</v>
      </c>
      <c r="EE111" s="18">
        <v>0</v>
      </c>
      <c r="EF111" s="18">
        <v>0</v>
      </c>
    </row>
    <row r="112" ht="32" customHeight="1" spans="1:136" x14ac:dyDescent="0.25">
      <c r="A112" s="4" t="s">
        <v>7</v>
      </c>
      <c r="B112" s="4" t="s">
        <v>34</v>
      </c>
      <c r="C112" s="4" t="s">
        <v>266</v>
      </c>
      <c r="D112" s="12" t="s">
        <v>362</v>
      </c>
      <c r="E112" s="8">
        <f>SUM(G112:EF112)</f>
      </c>
      <c r="F112" s="8">
        <f>IF(E112&gt;0,1,0)</f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14">
        <v>0</v>
      </c>
      <c r="CM112" s="14">
        <v>0</v>
      </c>
      <c r="CN112" s="14">
        <v>0</v>
      </c>
      <c r="CO112" s="14">
        <v>0</v>
      </c>
      <c r="CP112" s="14">
        <v>0</v>
      </c>
      <c r="CQ112" s="14">
        <v>0</v>
      </c>
      <c r="CR112" s="13">
        <v>1</v>
      </c>
      <c r="CS112" s="14">
        <v>0</v>
      </c>
      <c r="CT112" s="14">
        <v>0</v>
      </c>
      <c r="CU112" s="14">
        <v>0</v>
      </c>
      <c r="CV112" s="14">
        <v>0</v>
      </c>
      <c r="CW112" s="14">
        <v>0</v>
      </c>
      <c r="CX112" s="14">
        <v>0</v>
      </c>
      <c r="CY112" s="14">
        <v>0</v>
      </c>
      <c r="CZ112" s="14">
        <v>0</v>
      </c>
      <c r="DA112" s="14">
        <v>0</v>
      </c>
      <c r="DB112" s="14">
        <v>0</v>
      </c>
      <c r="DC112" s="14">
        <v>0</v>
      </c>
      <c r="DD112" s="14">
        <v>0</v>
      </c>
      <c r="DE112" s="14">
        <v>0</v>
      </c>
      <c r="DF112" s="14">
        <v>0</v>
      </c>
      <c r="DG112" s="14">
        <v>0</v>
      </c>
      <c r="DH112" s="14">
        <v>0</v>
      </c>
      <c r="DI112" s="14">
        <v>0</v>
      </c>
      <c r="DJ112" s="14">
        <v>0</v>
      </c>
      <c r="DK112" s="14">
        <v>0</v>
      </c>
      <c r="DL112" s="14">
        <v>0</v>
      </c>
      <c r="DM112" s="14">
        <v>0</v>
      </c>
      <c r="DN112" s="14">
        <v>0</v>
      </c>
      <c r="DO112" s="14">
        <v>0</v>
      </c>
      <c r="DP112" s="14">
        <v>0</v>
      </c>
      <c r="DQ112" s="14">
        <v>0</v>
      </c>
      <c r="DR112" s="14">
        <v>0</v>
      </c>
      <c r="DS112" s="14">
        <v>0</v>
      </c>
      <c r="DT112" s="14">
        <v>0</v>
      </c>
      <c r="DU112" s="14">
        <v>0</v>
      </c>
      <c r="DV112" s="14">
        <v>0</v>
      </c>
      <c r="DW112" s="14">
        <v>0</v>
      </c>
      <c r="DX112" s="14">
        <v>0</v>
      </c>
      <c r="DY112" s="14">
        <v>0</v>
      </c>
      <c r="DZ112" s="14">
        <v>0</v>
      </c>
      <c r="EA112" s="14">
        <v>0</v>
      </c>
      <c r="EB112" s="14">
        <v>0</v>
      </c>
      <c r="EC112" s="14">
        <v>0</v>
      </c>
      <c r="ED112" s="14">
        <v>0</v>
      </c>
      <c r="EE112" s="14">
        <v>0</v>
      </c>
      <c r="EF112" s="14">
        <v>0</v>
      </c>
    </row>
    <row r="113" ht="32" customHeight="1" spans="1:136" x14ac:dyDescent="0.25">
      <c r="A113" s="4" t="s">
        <v>7</v>
      </c>
      <c r="B113" s="4" t="s">
        <v>34</v>
      </c>
      <c r="C113" s="4" t="s">
        <v>268</v>
      </c>
      <c r="D113" s="12" t="s">
        <v>363</v>
      </c>
      <c r="E113" s="8">
        <f>SUM(G113:EF113)</f>
      </c>
      <c r="F113" s="8">
        <f>IF(E113&gt;0,1,0)</f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0</v>
      </c>
      <c r="AT113" s="14">
        <v>0</v>
      </c>
      <c r="AU113" s="14">
        <v>0</v>
      </c>
      <c r="AV113" s="14">
        <v>0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0</v>
      </c>
      <c r="BC113" s="14">
        <v>0</v>
      </c>
      <c r="BD113" s="14">
        <v>0</v>
      </c>
      <c r="BE113" s="14">
        <v>0</v>
      </c>
      <c r="BF113" s="14">
        <v>0</v>
      </c>
      <c r="BG113" s="14">
        <v>0</v>
      </c>
      <c r="BH113" s="14">
        <v>0</v>
      </c>
      <c r="BI113" s="14">
        <v>0</v>
      </c>
      <c r="BJ113" s="14">
        <v>0</v>
      </c>
      <c r="BK113" s="14">
        <v>0</v>
      </c>
      <c r="BL113" s="14">
        <v>0</v>
      </c>
      <c r="BM113" s="14">
        <v>0</v>
      </c>
      <c r="BN113" s="14">
        <v>0</v>
      </c>
      <c r="BO113" s="14">
        <v>0</v>
      </c>
      <c r="BP113" s="14">
        <v>0</v>
      </c>
      <c r="BQ113" s="14">
        <v>0</v>
      </c>
      <c r="BR113" s="14">
        <v>0</v>
      </c>
      <c r="BS113" s="14">
        <v>0</v>
      </c>
      <c r="BT113" s="14">
        <v>0</v>
      </c>
      <c r="BU113" s="14">
        <v>0</v>
      </c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4">
        <v>0</v>
      </c>
      <c r="CH113" s="14">
        <v>0</v>
      </c>
      <c r="CI113" s="14">
        <v>0</v>
      </c>
      <c r="CJ113" s="14">
        <v>0</v>
      </c>
      <c r="CK113" s="14">
        <v>0</v>
      </c>
      <c r="CL113" s="14">
        <v>0</v>
      </c>
      <c r="CM113" s="14">
        <v>0</v>
      </c>
      <c r="CN113" s="14">
        <v>0</v>
      </c>
      <c r="CO113" s="14">
        <v>0</v>
      </c>
      <c r="CP113" s="14">
        <v>0</v>
      </c>
      <c r="CQ113" s="14">
        <v>0</v>
      </c>
      <c r="CR113" s="14">
        <v>0</v>
      </c>
      <c r="CS113" s="13">
        <v>1</v>
      </c>
      <c r="CT113" s="14">
        <v>0</v>
      </c>
      <c r="CU113" s="14">
        <v>0</v>
      </c>
      <c r="CV113" s="14">
        <v>0</v>
      </c>
      <c r="CW113" s="14">
        <v>0</v>
      </c>
      <c r="CX113" s="14">
        <v>0</v>
      </c>
      <c r="CY113" s="14">
        <v>0</v>
      </c>
      <c r="CZ113" s="14">
        <v>0</v>
      </c>
      <c r="DA113" s="14">
        <v>0</v>
      </c>
      <c r="DB113" s="14">
        <v>0</v>
      </c>
      <c r="DC113" s="14">
        <v>0</v>
      </c>
      <c r="DD113" s="14">
        <v>0</v>
      </c>
      <c r="DE113" s="14">
        <v>0</v>
      </c>
      <c r="DF113" s="14">
        <v>0</v>
      </c>
      <c r="DG113" s="14">
        <v>0</v>
      </c>
      <c r="DH113" s="14">
        <v>0</v>
      </c>
      <c r="DI113" s="14">
        <v>0</v>
      </c>
      <c r="DJ113" s="14">
        <v>0</v>
      </c>
      <c r="DK113" s="14">
        <v>0</v>
      </c>
      <c r="DL113" s="14">
        <v>0</v>
      </c>
      <c r="DM113" s="14">
        <v>0</v>
      </c>
      <c r="DN113" s="14">
        <v>0</v>
      </c>
      <c r="DO113" s="14">
        <v>0</v>
      </c>
      <c r="DP113" s="14">
        <v>0</v>
      </c>
      <c r="DQ113" s="14">
        <v>0</v>
      </c>
      <c r="DR113" s="14">
        <v>0</v>
      </c>
      <c r="DS113" s="14">
        <v>0</v>
      </c>
      <c r="DT113" s="14">
        <v>0</v>
      </c>
      <c r="DU113" s="14">
        <v>0</v>
      </c>
      <c r="DV113" s="14">
        <v>0</v>
      </c>
      <c r="DW113" s="14">
        <v>0</v>
      </c>
      <c r="DX113" s="14">
        <v>0</v>
      </c>
      <c r="DY113" s="14">
        <v>0</v>
      </c>
      <c r="DZ113" s="14">
        <v>0</v>
      </c>
      <c r="EA113" s="14">
        <v>0</v>
      </c>
      <c r="EB113" s="14">
        <v>0</v>
      </c>
      <c r="EC113" s="14">
        <v>0</v>
      </c>
      <c r="ED113" s="14">
        <v>0</v>
      </c>
      <c r="EE113" s="14">
        <v>0</v>
      </c>
      <c r="EF113" s="14">
        <v>0</v>
      </c>
    </row>
    <row r="114" ht="32" customHeight="1" spans="1:136" x14ac:dyDescent="0.25">
      <c r="A114" s="4" t="s">
        <v>7</v>
      </c>
      <c r="B114" s="4" t="s">
        <v>34</v>
      </c>
      <c r="C114" s="4" t="s">
        <v>270</v>
      </c>
      <c r="D114" s="12" t="s">
        <v>364</v>
      </c>
      <c r="E114" s="8">
        <f>SUM(G114:EF114)</f>
      </c>
      <c r="F114" s="8">
        <f>IF(E114&gt;0,1,0)</f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14">
        <v>0</v>
      </c>
      <c r="CM114" s="14">
        <v>0</v>
      </c>
      <c r="CN114" s="14">
        <v>0</v>
      </c>
      <c r="CO114" s="14">
        <v>0</v>
      </c>
      <c r="CP114" s="14">
        <v>0</v>
      </c>
      <c r="CQ114" s="14">
        <v>0</v>
      </c>
      <c r="CR114" s="14">
        <v>0</v>
      </c>
      <c r="CS114" s="14">
        <v>0</v>
      </c>
      <c r="CT114" s="13">
        <v>1</v>
      </c>
      <c r="CU114" s="14">
        <v>0</v>
      </c>
      <c r="CV114" s="14">
        <v>0</v>
      </c>
      <c r="CW114" s="14">
        <v>0</v>
      </c>
      <c r="CX114" s="14">
        <v>0</v>
      </c>
      <c r="CY114" s="14">
        <v>0</v>
      </c>
      <c r="CZ114" s="14">
        <v>0</v>
      </c>
      <c r="DA114" s="14">
        <v>0</v>
      </c>
      <c r="DB114" s="14">
        <v>0</v>
      </c>
      <c r="DC114" s="14">
        <v>0</v>
      </c>
      <c r="DD114" s="14">
        <v>0</v>
      </c>
      <c r="DE114" s="14">
        <v>0</v>
      </c>
      <c r="DF114" s="14">
        <v>0</v>
      </c>
      <c r="DG114" s="14">
        <v>0</v>
      </c>
      <c r="DH114" s="14">
        <v>0</v>
      </c>
      <c r="DI114" s="14">
        <v>0</v>
      </c>
      <c r="DJ114" s="14">
        <v>0</v>
      </c>
      <c r="DK114" s="14">
        <v>0</v>
      </c>
      <c r="DL114" s="14">
        <v>0</v>
      </c>
      <c r="DM114" s="14">
        <v>0</v>
      </c>
      <c r="DN114" s="14">
        <v>0</v>
      </c>
      <c r="DO114" s="14">
        <v>0</v>
      </c>
      <c r="DP114" s="14">
        <v>0</v>
      </c>
      <c r="DQ114" s="14">
        <v>0</v>
      </c>
      <c r="DR114" s="14">
        <v>0</v>
      </c>
      <c r="DS114" s="14">
        <v>0</v>
      </c>
      <c r="DT114" s="14">
        <v>0</v>
      </c>
      <c r="DU114" s="14">
        <v>0</v>
      </c>
      <c r="DV114" s="14">
        <v>0</v>
      </c>
      <c r="DW114" s="14">
        <v>0</v>
      </c>
      <c r="DX114" s="14">
        <v>0</v>
      </c>
      <c r="DY114" s="14">
        <v>0</v>
      </c>
      <c r="DZ114" s="14">
        <v>0</v>
      </c>
      <c r="EA114" s="14">
        <v>0</v>
      </c>
      <c r="EB114" s="14">
        <v>0</v>
      </c>
      <c r="EC114" s="14">
        <v>0</v>
      </c>
      <c r="ED114" s="14">
        <v>0</v>
      </c>
      <c r="EE114" s="14">
        <v>0</v>
      </c>
      <c r="EF114" s="14">
        <v>0</v>
      </c>
    </row>
    <row r="115" ht="32" customHeight="1" spans="1:136" x14ac:dyDescent="0.25">
      <c r="A115" s="4" t="s">
        <v>7</v>
      </c>
      <c r="B115" s="4" t="s">
        <v>34</v>
      </c>
      <c r="C115" s="4" t="s">
        <v>272</v>
      </c>
      <c r="D115" s="12" t="s">
        <v>365</v>
      </c>
      <c r="E115" s="8">
        <f>SUM(G115:EF115)</f>
      </c>
      <c r="F115" s="8">
        <f>IF(E115&gt;0,1,0)</f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0</v>
      </c>
      <c r="AY115" s="14">
        <v>0</v>
      </c>
      <c r="AZ115" s="14">
        <v>0</v>
      </c>
      <c r="BA115" s="14">
        <v>0</v>
      </c>
      <c r="BB115" s="14">
        <v>0</v>
      </c>
      <c r="BC115" s="14">
        <v>0</v>
      </c>
      <c r="BD115" s="14">
        <v>0</v>
      </c>
      <c r="BE115" s="14">
        <v>0</v>
      </c>
      <c r="BF115" s="14">
        <v>0</v>
      </c>
      <c r="BG115" s="14">
        <v>0</v>
      </c>
      <c r="BH115" s="14">
        <v>0</v>
      </c>
      <c r="BI115" s="14">
        <v>0</v>
      </c>
      <c r="BJ115" s="14">
        <v>0</v>
      </c>
      <c r="BK115" s="14">
        <v>0</v>
      </c>
      <c r="BL115" s="14">
        <v>0</v>
      </c>
      <c r="BM115" s="14">
        <v>0</v>
      </c>
      <c r="BN115" s="14">
        <v>0</v>
      </c>
      <c r="BO115" s="14">
        <v>0</v>
      </c>
      <c r="BP115" s="14">
        <v>0</v>
      </c>
      <c r="BQ115" s="14">
        <v>0</v>
      </c>
      <c r="BR115" s="14">
        <v>0</v>
      </c>
      <c r="BS115" s="14">
        <v>0</v>
      </c>
      <c r="BT115" s="14">
        <v>0</v>
      </c>
      <c r="BU115" s="14">
        <v>0</v>
      </c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0</v>
      </c>
      <c r="CI115" s="14">
        <v>0</v>
      </c>
      <c r="CJ115" s="14">
        <v>0</v>
      </c>
      <c r="CK115" s="14">
        <v>0</v>
      </c>
      <c r="CL115" s="14">
        <v>0</v>
      </c>
      <c r="CM115" s="14">
        <v>0</v>
      </c>
      <c r="CN115" s="14">
        <v>0</v>
      </c>
      <c r="CO115" s="14">
        <v>0</v>
      </c>
      <c r="CP115" s="14">
        <v>0</v>
      </c>
      <c r="CQ115" s="14">
        <v>0</v>
      </c>
      <c r="CR115" s="14">
        <v>0</v>
      </c>
      <c r="CS115" s="14">
        <v>0</v>
      </c>
      <c r="CT115" s="14">
        <v>0</v>
      </c>
      <c r="CU115" s="13">
        <v>1</v>
      </c>
      <c r="CV115" s="14">
        <v>0</v>
      </c>
      <c r="CW115" s="14">
        <v>0</v>
      </c>
      <c r="CX115" s="14">
        <v>0</v>
      </c>
      <c r="CY115" s="14">
        <v>0</v>
      </c>
      <c r="CZ115" s="14">
        <v>0</v>
      </c>
      <c r="DA115" s="14">
        <v>0</v>
      </c>
      <c r="DB115" s="14">
        <v>0</v>
      </c>
      <c r="DC115" s="14">
        <v>0</v>
      </c>
      <c r="DD115" s="14">
        <v>0</v>
      </c>
      <c r="DE115" s="14">
        <v>0</v>
      </c>
      <c r="DF115" s="14">
        <v>0</v>
      </c>
      <c r="DG115" s="14">
        <v>0</v>
      </c>
      <c r="DH115" s="14">
        <v>0</v>
      </c>
      <c r="DI115" s="14">
        <v>0</v>
      </c>
      <c r="DJ115" s="14">
        <v>0</v>
      </c>
      <c r="DK115" s="14">
        <v>0</v>
      </c>
      <c r="DL115" s="14">
        <v>0</v>
      </c>
      <c r="DM115" s="14">
        <v>0</v>
      </c>
      <c r="DN115" s="14">
        <v>0</v>
      </c>
      <c r="DO115" s="14">
        <v>0</v>
      </c>
      <c r="DP115" s="14">
        <v>0</v>
      </c>
      <c r="DQ115" s="14">
        <v>0</v>
      </c>
      <c r="DR115" s="14">
        <v>0</v>
      </c>
      <c r="DS115" s="14">
        <v>0</v>
      </c>
      <c r="DT115" s="14">
        <v>0</v>
      </c>
      <c r="DU115" s="14">
        <v>0</v>
      </c>
      <c r="DV115" s="14">
        <v>0</v>
      </c>
      <c r="DW115" s="14">
        <v>0</v>
      </c>
      <c r="DX115" s="14">
        <v>0</v>
      </c>
      <c r="DY115" s="14">
        <v>0</v>
      </c>
      <c r="DZ115" s="14">
        <v>0</v>
      </c>
      <c r="EA115" s="14">
        <v>0</v>
      </c>
      <c r="EB115" s="14">
        <v>0</v>
      </c>
      <c r="EC115" s="14">
        <v>0</v>
      </c>
      <c r="ED115" s="14">
        <v>0</v>
      </c>
      <c r="EE115" s="14">
        <v>0</v>
      </c>
      <c r="EF115" s="14">
        <v>0</v>
      </c>
    </row>
    <row r="116" ht="32" customHeight="1" spans="1:136" x14ac:dyDescent="0.25">
      <c r="A116" s="15" t="s">
        <v>7</v>
      </c>
      <c r="B116" s="15" t="s">
        <v>35</v>
      </c>
      <c r="C116" s="15" t="s">
        <v>274</v>
      </c>
      <c r="D116" s="16" t="s">
        <v>366</v>
      </c>
      <c r="E116" s="17">
        <f>SUM(G116:EF116)</f>
      </c>
      <c r="F116" s="17">
        <f>IF(E116&gt;0,1,0)</f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18">
        <v>0</v>
      </c>
      <c r="AD116" s="18">
        <v>0</v>
      </c>
      <c r="AE116" s="18">
        <v>0</v>
      </c>
      <c r="AF116" s="18">
        <v>0</v>
      </c>
      <c r="AG116" s="18">
        <v>0</v>
      </c>
      <c r="AH116" s="18">
        <v>0</v>
      </c>
      <c r="AI116" s="18">
        <v>0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8">
        <v>0</v>
      </c>
      <c r="BE116" s="18">
        <v>0</v>
      </c>
      <c r="BF116" s="18">
        <v>0</v>
      </c>
      <c r="BG116" s="18">
        <v>0</v>
      </c>
      <c r="BH116" s="18">
        <v>0</v>
      </c>
      <c r="BI116" s="18">
        <v>0</v>
      </c>
      <c r="BJ116" s="18">
        <v>0</v>
      </c>
      <c r="BK116" s="18">
        <v>0</v>
      </c>
      <c r="BL116" s="18">
        <v>0</v>
      </c>
      <c r="BM116" s="18">
        <v>0</v>
      </c>
      <c r="BN116" s="18">
        <v>0</v>
      </c>
      <c r="BO116" s="18">
        <v>0</v>
      </c>
      <c r="BP116" s="18">
        <v>0</v>
      </c>
      <c r="BQ116" s="18">
        <v>0</v>
      </c>
      <c r="BR116" s="18">
        <v>0</v>
      </c>
      <c r="BS116" s="18">
        <v>0</v>
      </c>
      <c r="BT116" s="18">
        <v>0</v>
      </c>
      <c r="BU116" s="18">
        <v>0</v>
      </c>
      <c r="BV116" s="18">
        <v>0</v>
      </c>
      <c r="BW116" s="18">
        <v>0</v>
      </c>
      <c r="BX116" s="18">
        <v>0</v>
      </c>
      <c r="BY116" s="18">
        <v>0</v>
      </c>
      <c r="BZ116" s="18">
        <v>0</v>
      </c>
      <c r="CA116" s="18">
        <v>0</v>
      </c>
      <c r="CB116" s="18">
        <v>0</v>
      </c>
      <c r="CC116" s="18">
        <v>0</v>
      </c>
      <c r="CD116" s="18">
        <v>0</v>
      </c>
      <c r="CE116" s="19">
        <v>1</v>
      </c>
      <c r="CF116" s="18">
        <v>0</v>
      </c>
      <c r="CG116" s="18">
        <v>0</v>
      </c>
      <c r="CH116" s="18">
        <v>0</v>
      </c>
      <c r="CI116" s="18">
        <v>0</v>
      </c>
      <c r="CJ116" s="18">
        <v>0</v>
      </c>
      <c r="CK116" s="18">
        <v>0</v>
      </c>
      <c r="CL116" s="18">
        <v>0</v>
      </c>
      <c r="CM116" s="18">
        <v>0</v>
      </c>
      <c r="CN116" s="18">
        <v>0</v>
      </c>
      <c r="CO116" s="18">
        <v>0</v>
      </c>
      <c r="CP116" s="18">
        <v>0</v>
      </c>
      <c r="CQ116" s="18">
        <v>0</v>
      </c>
      <c r="CR116" s="18">
        <v>0</v>
      </c>
      <c r="CS116" s="18">
        <v>0</v>
      </c>
      <c r="CT116" s="18">
        <v>0</v>
      </c>
      <c r="CU116" s="18">
        <v>0</v>
      </c>
      <c r="CV116" s="18">
        <v>0</v>
      </c>
      <c r="CW116" s="18">
        <v>0</v>
      </c>
      <c r="CX116" s="18">
        <v>0</v>
      </c>
      <c r="CY116" s="18">
        <v>0</v>
      </c>
      <c r="CZ116" s="18">
        <v>0</v>
      </c>
      <c r="DA116" s="18">
        <v>0</v>
      </c>
      <c r="DB116" s="18">
        <v>0</v>
      </c>
      <c r="DC116" s="18">
        <v>0</v>
      </c>
      <c r="DD116" s="18">
        <v>0</v>
      </c>
      <c r="DE116" s="18">
        <v>0</v>
      </c>
      <c r="DF116" s="18">
        <v>0</v>
      </c>
      <c r="DG116" s="18">
        <v>0</v>
      </c>
      <c r="DH116" s="18">
        <v>0</v>
      </c>
      <c r="DI116" s="18">
        <v>0</v>
      </c>
      <c r="DJ116" s="18">
        <v>0</v>
      </c>
      <c r="DK116" s="18">
        <v>0</v>
      </c>
      <c r="DL116" s="18">
        <v>0</v>
      </c>
      <c r="DM116" s="18">
        <v>0</v>
      </c>
      <c r="DN116" s="18">
        <v>0</v>
      </c>
      <c r="DO116" s="18">
        <v>0</v>
      </c>
      <c r="DP116" s="18">
        <v>0</v>
      </c>
      <c r="DQ116" s="18">
        <v>0</v>
      </c>
      <c r="DR116" s="18">
        <v>0</v>
      </c>
      <c r="DS116" s="18">
        <v>0</v>
      </c>
      <c r="DT116" s="18">
        <v>0</v>
      </c>
      <c r="DU116" s="18">
        <v>0</v>
      </c>
      <c r="DV116" s="18">
        <v>0</v>
      </c>
      <c r="DW116" s="18">
        <v>0</v>
      </c>
      <c r="DX116" s="18">
        <v>0</v>
      </c>
      <c r="DY116" s="18">
        <v>0</v>
      </c>
      <c r="DZ116" s="18">
        <v>0</v>
      </c>
      <c r="EA116" s="18">
        <v>0</v>
      </c>
      <c r="EB116" s="18">
        <v>0</v>
      </c>
      <c r="EC116" s="18">
        <v>0</v>
      </c>
      <c r="ED116" s="18">
        <v>0</v>
      </c>
      <c r="EE116" s="18">
        <v>0</v>
      </c>
      <c r="EF116" s="18">
        <v>0</v>
      </c>
    </row>
    <row r="117" ht="32" customHeight="1" spans="1:136" x14ac:dyDescent="0.25">
      <c r="A117" s="4" t="s">
        <v>7</v>
      </c>
      <c r="B117" s="4" t="s">
        <v>35</v>
      </c>
      <c r="C117" s="4" t="s">
        <v>276</v>
      </c>
      <c r="D117" s="12" t="s">
        <v>367</v>
      </c>
      <c r="E117" s="8">
        <f>SUM(G117:EF117)</f>
      </c>
      <c r="F117" s="8">
        <f>IF(E117&gt;0,1,0)</f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0</v>
      </c>
      <c r="AR117" s="14">
        <v>0</v>
      </c>
      <c r="AS117" s="14">
        <v>0</v>
      </c>
      <c r="AT117" s="14">
        <v>0</v>
      </c>
      <c r="AU117" s="14">
        <v>0</v>
      </c>
      <c r="AV117" s="14">
        <v>0</v>
      </c>
      <c r="AW117" s="14">
        <v>0</v>
      </c>
      <c r="AX117" s="14">
        <v>0</v>
      </c>
      <c r="AY117" s="14">
        <v>0</v>
      </c>
      <c r="AZ117" s="14">
        <v>0</v>
      </c>
      <c r="BA117" s="14">
        <v>0</v>
      </c>
      <c r="BB117" s="14">
        <v>0</v>
      </c>
      <c r="BC117" s="14">
        <v>0</v>
      </c>
      <c r="BD117" s="14">
        <v>0</v>
      </c>
      <c r="BE117" s="14">
        <v>0</v>
      </c>
      <c r="BF117" s="14">
        <v>0</v>
      </c>
      <c r="BG117" s="14">
        <v>0</v>
      </c>
      <c r="BH117" s="14">
        <v>0</v>
      </c>
      <c r="BI117" s="14">
        <v>0</v>
      </c>
      <c r="BJ117" s="14">
        <v>0</v>
      </c>
      <c r="BK117" s="14">
        <v>0</v>
      </c>
      <c r="BL117" s="14">
        <v>0</v>
      </c>
      <c r="BM117" s="14">
        <v>0</v>
      </c>
      <c r="BN117" s="14">
        <v>0</v>
      </c>
      <c r="BO117" s="14">
        <v>0</v>
      </c>
      <c r="BP117" s="14">
        <v>0</v>
      </c>
      <c r="BQ117" s="14">
        <v>0</v>
      </c>
      <c r="BR117" s="14">
        <v>0</v>
      </c>
      <c r="BS117" s="14">
        <v>0</v>
      </c>
      <c r="BT117" s="14">
        <v>0</v>
      </c>
      <c r="BU117" s="14">
        <v>0</v>
      </c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3">
        <v>1</v>
      </c>
      <c r="CG117" s="13">
        <v>1</v>
      </c>
      <c r="CH117" s="14">
        <v>0</v>
      </c>
      <c r="CI117" s="14">
        <v>0</v>
      </c>
      <c r="CJ117" s="14">
        <v>0</v>
      </c>
      <c r="CK117" s="14">
        <v>0</v>
      </c>
      <c r="CL117" s="14">
        <v>0</v>
      </c>
      <c r="CM117" s="14">
        <v>0</v>
      </c>
      <c r="CN117" s="14">
        <v>0</v>
      </c>
      <c r="CO117" s="14">
        <v>0</v>
      </c>
      <c r="CP117" s="14">
        <v>0</v>
      </c>
      <c r="CQ117" s="14">
        <v>0</v>
      </c>
      <c r="CR117" s="14">
        <v>0</v>
      </c>
      <c r="CS117" s="14">
        <v>0</v>
      </c>
      <c r="CT117" s="14">
        <v>0</v>
      </c>
      <c r="CU117" s="14">
        <v>0</v>
      </c>
      <c r="CV117" s="14">
        <v>0</v>
      </c>
      <c r="CW117" s="14">
        <v>0</v>
      </c>
      <c r="CX117" s="14">
        <v>0</v>
      </c>
      <c r="CY117" s="14">
        <v>0</v>
      </c>
      <c r="CZ117" s="14">
        <v>0</v>
      </c>
      <c r="DA117" s="14">
        <v>0</v>
      </c>
      <c r="DB117" s="14">
        <v>0</v>
      </c>
      <c r="DC117" s="14">
        <v>0</v>
      </c>
      <c r="DD117" s="14">
        <v>0</v>
      </c>
      <c r="DE117" s="14">
        <v>0</v>
      </c>
      <c r="DF117" s="14">
        <v>0</v>
      </c>
      <c r="DG117" s="14">
        <v>0</v>
      </c>
      <c r="DH117" s="14">
        <v>0</v>
      </c>
      <c r="DI117" s="14">
        <v>0</v>
      </c>
      <c r="DJ117" s="14">
        <v>0</v>
      </c>
      <c r="DK117" s="14">
        <v>0</v>
      </c>
      <c r="DL117" s="14">
        <v>0</v>
      </c>
      <c r="DM117" s="14">
        <v>0</v>
      </c>
      <c r="DN117" s="14">
        <v>0</v>
      </c>
      <c r="DO117" s="14">
        <v>0</v>
      </c>
      <c r="DP117" s="14">
        <v>0</v>
      </c>
      <c r="DQ117" s="14">
        <v>0</v>
      </c>
      <c r="DR117" s="14">
        <v>0</v>
      </c>
      <c r="DS117" s="14">
        <v>0</v>
      </c>
      <c r="DT117" s="14">
        <v>0</v>
      </c>
      <c r="DU117" s="14">
        <v>0</v>
      </c>
      <c r="DV117" s="14">
        <v>0</v>
      </c>
      <c r="DW117" s="14">
        <v>0</v>
      </c>
      <c r="DX117" s="14">
        <v>0</v>
      </c>
      <c r="DY117" s="14">
        <v>0</v>
      </c>
      <c r="DZ117" s="14">
        <v>0</v>
      </c>
      <c r="EA117" s="14">
        <v>0</v>
      </c>
      <c r="EB117" s="14">
        <v>0</v>
      </c>
      <c r="EC117" s="14">
        <v>0</v>
      </c>
      <c r="ED117" s="14">
        <v>0</v>
      </c>
      <c r="EE117" s="14">
        <v>0</v>
      </c>
      <c r="EF117" s="14">
        <v>0</v>
      </c>
    </row>
    <row r="118" ht="32" customHeight="1" spans="1:136" x14ac:dyDescent="0.25">
      <c r="A118" s="4" t="s">
        <v>7</v>
      </c>
      <c r="B118" s="4" t="s">
        <v>35</v>
      </c>
      <c r="C118" s="4" t="s">
        <v>278</v>
      </c>
      <c r="D118" s="12" t="s">
        <v>368</v>
      </c>
      <c r="E118" s="8">
        <f>SUM(G118:EF118)</f>
      </c>
      <c r="F118" s="8">
        <f>IF(E118&gt;0,1,0)</f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4">
        <v>0</v>
      </c>
      <c r="AT118" s="14">
        <v>0</v>
      </c>
      <c r="AU118" s="14">
        <v>0</v>
      </c>
      <c r="AV118" s="14">
        <v>0</v>
      </c>
      <c r="AW118" s="14">
        <v>0</v>
      </c>
      <c r="AX118" s="14">
        <v>0</v>
      </c>
      <c r="AY118" s="14">
        <v>0</v>
      </c>
      <c r="AZ118" s="14">
        <v>0</v>
      </c>
      <c r="BA118" s="14">
        <v>0</v>
      </c>
      <c r="BB118" s="14">
        <v>0</v>
      </c>
      <c r="BC118" s="14">
        <v>0</v>
      </c>
      <c r="BD118" s="14">
        <v>0</v>
      </c>
      <c r="BE118" s="14">
        <v>0</v>
      </c>
      <c r="BF118" s="14">
        <v>0</v>
      </c>
      <c r="BG118" s="14">
        <v>0</v>
      </c>
      <c r="BH118" s="14">
        <v>0</v>
      </c>
      <c r="BI118" s="14">
        <v>0</v>
      </c>
      <c r="BJ118" s="14">
        <v>0</v>
      </c>
      <c r="BK118" s="14">
        <v>0</v>
      </c>
      <c r="BL118" s="14">
        <v>0</v>
      </c>
      <c r="BM118" s="14">
        <v>0</v>
      </c>
      <c r="BN118" s="14">
        <v>0</v>
      </c>
      <c r="BO118" s="14">
        <v>0</v>
      </c>
      <c r="BP118" s="14">
        <v>0</v>
      </c>
      <c r="BQ118" s="14">
        <v>0</v>
      </c>
      <c r="BR118" s="14">
        <v>0</v>
      </c>
      <c r="BS118" s="14">
        <v>0</v>
      </c>
      <c r="BT118" s="14">
        <v>0</v>
      </c>
      <c r="BU118" s="14">
        <v>0</v>
      </c>
      <c r="BV118" s="14">
        <v>0</v>
      </c>
      <c r="BW118" s="14">
        <v>0</v>
      </c>
      <c r="BX118" s="14">
        <v>0</v>
      </c>
      <c r="BY118" s="14">
        <v>0</v>
      </c>
      <c r="BZ118" s="14">
        <v>0</v>
      </c>
      <c r="CA118" s="14">
        <v>0</v>
      </c>
      <c r="CB118" s="14">
        <v>0</v>
      </c>
      <c r="CC118" s="14">
        <v>0</v>
      </c>
      <c r="CD118" s="14">
        <v>0</v>
      </c>
      <c r="CE118" s="14">
        <v>0</v>
      </c>
      <c r="CF118" s="14">
        <v>0</v>
      </c>
      <c r="CG118" s="14">
        <v>0</v>
      </c>
      <c r="CH118" s="14">
        <v>0</v>
      </c>
      <c r="CI118" s="14">
        <v>0</v>
      </c>
      <c r="CJ118" s="14">
        <v>0</v>
      </c>
      <c r="CK118" s="14">
        <v>0</v>
      </c>
      <c r="CL118" s="14">
        <v>0</v>
      </c>
      <c r="CM118" s="14">
        <v>0</v>
      </c>
      <c r="CN118" s="14">
        <v>0</v>
      </c>
      <c r="CO118" s="14">
        <v>0</v>
      </c>
      <c r="CP118" s="14">
        <v>0</v>
      </c>
      <c r="CQ118" s="14">
        <v>0</v>
      </c>
      <c r="CR118" s="14">
        <v>0</v>
      </c>
      <c r="CS118" s="14">
        <v>0</v>
      </c>
      <c r="CT118" s="14">
        <v>0</v>
      </c>
      <c r="CU118" s="14">
        <v>0</v>
      </c>
      <c r="CV118" s="13">
        <v>1</v>
      </c>
      <c r="CW118" s="14">
        <v>0</v>
      </c>
      <c r="CX118" s="14">
        <v>0</v>
      </c>
      <c r="CY118" s="14">
        <v>0</v>
      </c>
      <c r="CZ118" s="14">
        <v>0</v>
      </c>
      <c r="DA118" s="14">
        <v>0</v>
      </c>
      <c r="DB118" s="14">
        <v>0</v>
      </c>
      <c r="DC118" s="14">
        <v>0</v>
      </c>
      <c r="DD118" s="14">
        <v>0</v>
      </c>
      <c r="DE118" s="14">
        <v>0</v>
      </c>
      <c r="DF118" s="14">
        <v>0</v>
      </c>
      <c r="DG118" s="14">
        <v>0</v>
      </c>
      <c r="DH118" s="14">
        <v>0</v>
      </c>
      <c r="DI118" s="14">
        <v>0</v>
      </c>
      <c r="DJ118" s="14">
        <v>0</v>
      </c>
      <c r="DK118" s="14">
        <v>0</v>
      </c>
      <c r="DL118" s="14">
        <v>0</v>
      </c>
      <c r="DM118" s="14">
        <v>0</v>
      </c>
      <c r="DN118" s="14">
        <v>0</v>
      </c>
      <c r="DO118" s="14">
        <v>0</v>
      </c>
      <c r="DP118" s="14">
        <v>0</v>
      </c>
      <c r="DQ118" s="14">
        <v>0</v>
      </c>
      <c r="DR118" s="14">
        <v>0</v>
      </c>
      <c r="DS118" s="14">
        <v>0</v>
      </c>
      <c r="DT118" s="14">
        <v>0</v>
      </c>
      <c r="DU118" s="14">
        <v>0</v>
      </c>
      <c r="DV118" s="14">
        <v>0</v>
      </c>
      <c r="DW118" s="14">
        <v>0</v>
      </c>
      <c r="DX118" s="14">
        <v>0</v>
      </c>
      <c r="DY118" s="14">
        <v>0</v>
      </c>
      <c r="DZ118" s="14">
        <v>0</v>
      </c>
      <c r="EA118" s="14">
        <v>0</v>
      </c>
      <c r="EB118" s="14">
        <v>0</v>
      </c>
      <c r="EC118" s="14">
        <v>0</v>
      </c>
      <c r="ED118" s="14">
        <v>0</v>
      </c>
      <c r="EE118" s="14">
        <v>0</v>
      </c>
      <c r="EF118" s="14">
        <v>0</v>
      </c>
    </row>
    <row r="119" ht="32" customHeight="1" spans="1:136" x14ac:dyDescent="0.25">
      <c r="A119" s="4" t="s">
        <v>7</v>
      </c>
      <c r="B119" s="4" t="s">
        <v>35</v>
      </c>
      <c r="C119" s="4" t="s">
        <v>280</v>
      </c>
      <c r="D119" s="12" t="s">
        <v>369</v>
      </c>
      <c r="E119" s="8">
        <f>SUM(G119:EF119)</f>
      </c>
      <c r="F119" s="8">
        <f>IF(E119&gt;0,1,0)</f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0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  <c r="BR119" s="14">
        <v>0</v>
      </c>
      <c r="BS119" s="14">
        <v>0</v>
      </c>
      <c r="BT119" s="14">
        <v>0</v>
      </c>
      <c r="BU119" s="14">
        <v>0</v>
      </c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4">
        <v>0</v>
      </c>
      <c r="CH119" s="14">
        <v>0</v>
      </c>
      <c r="CI119" s="14">
        <v>0</v>
      </c>
      <c r="CJ119" s="14">
        <v>0</v>
      </c>
      <c r="CK119" s="14">
        <v>0</v>
      </c>
      <c r="CL119" s="14">
        <v>0</v>
      </c>
      <c r="CM119" s="14">
        <v>0</v>
      </c>
      <c r="CN119" s="14">
        <v>0</v>
      </c>
      <c r="CO119" s="14">
        <v>0</v>
      </c>
      <c r="CP119" s="14">
        <v>0</v>
      </c>
      <c r="CQ119" s="14">
        <v>0</v>
      </c>
      <c r="CR119" s="14">
        <v>0</v>
      </c>
      <c r="CS119" s="14">
        <v>0</v>
      </c>
      <c r="CT119" s="14">
        <v>0</v>
      </c>
      <c r="CU119" s="14">
        <v>0</v>
      </c>
      <c r="CV119" s="14">
        <v>0</v>
      </c>
      <c r="CW119" s="13">
        <v>1</v>
      </c>
      <c r="CX119" s="14">
        <v>0</v>
      </c>
      <c r="CY119" s="14">
        <v>0</v>
      </c>
      <c r="CZ119" s="14">
        <v>0</v>
      </c>
      <c r="DA119" s="14">
        <v>0</v>
      </c>
      <c r="DB119" s="14">
        <v>0</v>
      </c>
      <c r="DC119" s="14">
        <v>0</v>
      </c>
      <c r="DD119" s="14">
        <v>0</v>
      </c>
      <c r="DE119" s="14">
        <v>0</v>
      </c>
      <c r="DF119" s="14">
        <v>0</v>
      </c>
      <c r="DG119" s="14">
        <v>0</v>
      </c>
      <c r="DH119" s="14">
        <v>0</v>
      </c>
      <c r="DI119" s="14">
        <v>0</v>
      </c>
      <c r="DJ119" s="14">
        <v>0</v>
      </c>
      <c r="DK119" s="14">
        <v>0</v>
      </c>
      <c r="DL119" s="14">
        <v>0</v>
      </c>
      <c r="DM119" s="14">
        <v>0</v>
      </c>
      <c r="DN119" s="14">
        <v>0</v>
      </c>
      <c r="DO119" s="14">
        <v>0</v>
      </c>
      <c r="DP119" s="14">
        <v>0</v>
      </c>
      <c r="DQ119" s="14">
        <v>0</v>
      </c>
      <c r="DR119" s="14">
        <v>0</v>
      </c>
      <c r="DS119" s="14">
        <v>0</v>
      </c>
      <c r="DT119" s="14">
        <v>0</v>
      </c>
      <c r="DU119" s="14">
        <v>0</v>
      </c>
      <c r="DV119" s="14">
        <v>0</v>
      </c>
      <c r="DW119" s="14">
        <v>0</v>
      </c>
      <c r="DX119" s="14">
        <v>0</v>
      </c>
      <c r="DY119" s="14">
        <v>0</v>
      </c>
      <c r="DZ119" s="14">
        <v>0</v>
      </c>
      <c r="EA119" s="14">
        <v>0</v>
      </c>
      <c r="EB119" s="14">
        <v>0</v>
      </c>
      <c r="EC119" s="14">
        <v>0</v>
      </c>
      <c r="ED119" s="14">
        <v>0</v>
      </c>
      <c r="EE119" s="14">
        <v>0</v>
      </c>
      <c r="EF119" s="14">
        <v>0</v>
      </c>
    </row>
    <row r="120" ht="32" customHeight="1" spans="1:136" x14ac:dyDescent="0.25">
      <c r="A120" s="4" t="s">
        <v>7</v>
      </c>
      <c r="B120" s="4" t="s">
        <v>35</v>
      </c>
      <c r="C120" s="4" t="s">
        <v>282</v>
      </c>
      <c r="D120" s="12" t="s">
        <v>370</v>
      </c>
      <c r="E120" s="8">
        <f>SUM(G120:EF120)</f>
      </c>
      <c r="F120" s="8">
        <f>IF(E120&gt;0,1,0)</f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4">
        <v>0</v>
      </c>
      <c r="AT120" s="14">
        <v>0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  <c r="BC120" s="14">
        <v>0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0</v>
      </c>
      <c r="BJ120" s="14">
        <v>0</v>
      </c>
      <c r="BK120" s="14">
        <v>0</v>
      </c>
      <c r="BL120" s="14">
        <v>0</v>
      </c>
      <c r="BM120" s="14">
        <v>0</v>
      </c>
      <c r="BN120" s="14">
        <v>0</v>
      </c>
      <c r="BO120" s="14">
        <v>0</v>
      </c>
      <c r="BP120" s="14">
        <v>0</v>
      </c>
      <c r="BQ120" s="14">
        <v>0</v>
      </c>
      <c r="BR120" s="14">
        <v>0</v>
      </c>
      <c r="BS120" s="14">
        <v>0</v>
      </c>
      <c r="BT120" s="14">
        <v>0</v>
      </c>
      <c r="BU120" s="14">
        <v>0</v>
      </c>
      <c r="BV120" s="14">
        <v>0</v>
      </c>
      <c r="BW120" s="14">
        <v>0</v>
      </c>
      <c r="BX120" s="14">
        <v>0</v>
      </c>
      <c r="BY120" s="14">
        <v>0</v>
      </c>
      <c r="BZ120" s="14">
        <v>0</v>
      </c>
      <c r="CA120" s="14">
        <v>0</v>
      </c>
      <c r="CB120" s="14">
        <v>0</v>
      </c>
      <c r="CC120" s="14">
        <v>0</v>
      </c>
      <c r="CD120" s="14">
        <v>0</v>
      </c>
      <c r="CE120" s="14">
        <v>0</v>
      </c>
      <c r="CF120" s="14">
        <v>0</v>
      </c>
      <c r="CG120" s="14">
        <v>0</v>
      </c>
      <c r="CH120" s="14">
        <v>0</v>
      </c>
      <c r="CI120" s="14">
        <v>0</v>
      </c>
      <c r="CJ120" s="14">
        <v>0</v>
      </c>
      <c r="CK120" s="14">
        <v>0</v>
      </c>
      <c r="CL120" s="14">
        <v>0</v>
      </c>
      <c r="CM120" s="14">
        <v>0</v>
      </c>
      <c r="CN120" s="14">
        <v>0</v>
      </c>
      <c r="CO120" s="14">
        <v>0</v>
      </c>
      <c r="CP120" s="14">
        <v>0</v>
      </c>
      <c r="CQ120" s="14">
        <v>0</v>
      </c>
      <c r="CR120" s="14">
        <v>0</v>
      </c>
      <c r="CS120" s="14">
        <v>0</v>
      </c>
      <c r="CT120" s="14">
        <v>0</v>
      </c>
      <c r="CU120" s="14">
        <v>0</v>
      </c>
      <c r="CV120" s="14">
        <v>0</v>
      </c>
      <c r="CW120" s="14">
        <v>0</v>
      </c>
      <c r="CX120" s="13">
        <v>1</v>
      </c>
      <c r="CY120" s="14">
        <v>0</v>
      </c>
      <c r="CZ120" s="14">
        <v>0</v>
      </c>
      <c r="DA120" s="14">
        <v>0</v>
      </c>
      <c r="DB120" s="14">
        <v>0</v>
      </c>
      <c r="DC120" s="14">
        <v>0</v>
      </c>
      <c r="DD120" s="14">
        <v>0</v>
      </c>
      <c r="DE120" s="14">
        <v>0</v>
      </c>
      <c r="DF120" s="14">
        <v>0</v>
      </c>
      <c r="DG120" s="14">
        <v>0</v>
      </c>
      <c r="DH120" s="14">
        <v>0</v>
      </c>
      <c r="DI120" s="14">
        <v>0</v>
      </c>
      <c r="DJ120" s="14">
        <v>0</v>
      </c>
      <c r="DK120" s="14">
        <v>0</v>
      </c>
      <c r="DL120" s="14">
        <v>0</v>
      </c>
      <c r="DM120" s="14">
        <v>0</v>
      </c>
      <c r="DN120" s="14">
        <v>0</v>
      </c>
      <c r="DO120" s="14">
        <v>0</v>
      </c>
      <c r="DP120" s="14">
        <v>0</v>
      </c>
      <c r="DQ120" s="14">
        <v>0</v>
      </c>
      <c r="DR120" s="14">
        <v>0</v>
      </c>
      <c r="DS120" s="14">
        <v>0</v>
      </c>
      <c r="DT120" s="14">
        <v>0</v>
      </c>
      <c r="DU120" s="14">
        <v>0</v>
      </c>
      <c r="DV120" s="14">
        <v>0</v>
      </c>
      <c r="DW120" s="14">
        <v>0</v>
      </c>
      <c r="DX120" s="14">
        <v>0</v>
      </c>
      <c r="DY120" s="14">
        <v>0</v>
      </c>
      <c r="DZ120" s="14">
        <v>0</v>
      </c>
      <c r="EA120" s="14">
        <v>0</v>
      </c>
      <c r="EB120" s="14">
        <v>0</v>
      </c>
      <c r="EC120" s="14">
        <v>0</v>
      </c>
      <c r="ED120" s="14">
        <v>0</v>
      </c>
      <c r="EE120" s="14">
        <v>0</v>
      </c>
      <c r="EF120" s="14">
        <v>0</v>
      </c>
    </row>
    <row r="121" ht="32" customHeight="1" spans="1:136" x14ac:dyDescent="0.25">
      <c r="A121" s="4" t="s">
        <v>7</v>
      </c>
      <c r="B121" s="4" t="s">
        <v>35</v>
      </c>
      <c r="C121" s="4" t="s">
        <v>284</v>
      </c>
      <c r="D121" s="12" t="s">
        <v>371</v>
      </c>
      <c r="E121" s="8">
        <f>SUM(G121:EF121)</f>
      </c>
      <c r="F121" s="8">
        <f>IF(E121&gt;0,1,0)</f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  <c r="AS121" s="14">
        <v>0</v>
      </c>
      <c r="AT121" s="14">
        <v>0</v>
      </c>
      <c r="AU121" s="14">
        <v>0</v>
      </c>
      <c r="AV121" s="14">
        <v>0</v>
      </c>
      <c r="AW121" s="14">
        <v>0</v>
      </c>
      <c r="AX121" s="14">
        <v>0</v>
      </c>
      <c r="AY121" s="14">
        <v>0</v>
      </c>
      <c r="AZ121" s="14">
        <v>0</v>
      </c>
      <c r="BA121" s="14">
        <v>0</v>
      </c>
      <c r="BB121" s="14">
        <v>0</v>
      </c>
      <c r="BC121" s="14">
        <v>0</v>
      </c>
      <c r="BD121" s="14">
        <v>0</v>
      </c>
      <c r="BE121" s="14">
        <v>0</v>
      </c>
      <c r="BF121" s="14">
        <v>0</v>
      </c>
      <c r="BG121" s="14">
        <v>0</v>
      </c>
      <c r="BH121" s="14">
        <v>0</v>
      </c>
      <c r="BI121" s="14">
        <v>0</v>
      </c>
      <c r="BJ121" s="14">
        <v>0</v>
      </c>
      <c r="BK121" s="14">
        <v>0</v>
      </c>
      <c r="BL121" s="14">
        <v>0</v>
      </c>
      <c r="BM121" s="14">
        <v>0</v>
      </c>
      <c r="BN121" s="14">
        <v>0</v>
      </c>
      <c r="BO121" s="14">
        <v>0</v>
      </c>
      <c r="BP121" s="14">
        <v>0</v>
      </c>
      <c r="BQ121" s="14">
        <v>0</v>
      </c>
      <c r="BR121" s="14">
        <v>0</v>
      </c>
      <c r="BS121" s="14">
        <v>0</v>
      </c>
      <c r="BT121" s="14">
        <v>0</v>
      </c>
      <c r="BU121" s="14">
        <v>0</v>
      </c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4">
        <v>0</v>
      </c>
      <c r="CH121" s="14">
        <v>0</v>
      </c>
      <c r="CI121" s="14">
        <v>0</v>
      </c>
      <c r="CJ121" s="14">
        <v>0</v>
      </c>
      <c r="CK121" s="14">
        <v>0</v>
      </c>
      <c r="CL121" s="14">
        <v>0</v>
      </c>
      <c r="CM121" s="14">
        <v>0</v>
      </c>
      <c r="CN121" s="14">
        <v>0</v>
      </c>
      <c r="CO121" s="14">
        <v>0</v>
      </c>
      <c r="CP121" s="14">
        <v>0</v>
      </c>
      <c r="CQ121" s="14">
        <v>0</v>
      </c>
      <c r="CR121" s="14">
        <v>0</v>
      </c>
      <c r="CS121" s="14">
        <v>0</v>
      </c>
      <c r="CT121" s="14">
        <v>0</v>
      </c>
      <c r="CU121" s="14">
        <v>0</v>
      </c>
      <c r="CV121" s="14">
        <v>0</v>
      </c>
      <c r="CW121" s="14">
        <v>0</v>
      </c>
      <c r="CX121" s="14">
        <v>0</v>
      </c>
      <c r="CY121" s="13">
        <v>1</v>
      </c>
      <c r="CZ121" s="14">
        <v>0</v>
      </c>
      <c r="DA121" s="14">
        <v>0</v>
      </c>
      <c r="DB121" s="14">
        <v>0</v>
      </c>
      <c r="DC121" s="14">
        <v>0</v>
      </c>
      <c r="DD121" s="14">
        <v>0</v>
      </c>
      <c r="DE121" s="14">
        <v>0</v>
      </c>
      <c r="DF121" s="14">
        <v>0</v>
      </c>
      <c r="DG121" s="14">
        <v>0</v>
      </c>
      <c r="DH121" s="14">
        <v>0</v>
      </c>
      <c r="DI121" s="14">
        <v>0</v>
      </c>
      <c r="DJ121" s="14">
        <v>0</v>
      </c>
      <c r="DK121" s="14">
        <v>0</v>
      </c>
      <c r="DL121" s="14">
        <v>0</v>
      </c>
      <c r="DM121" s="14">
        <v>0</v>
      </c>
      <c r="DN121" s="14">
        <v>0</v>
      </c>
      <c r="DO121" s="14">
        <v>0</v>
      </c>
      <c r="DP121" s="14">
        <v>0</v>
      </c>
      <c r="DQ121" s="14">
        <v>0</v>
      </c>
      <c r="DR121" s="14">
        <v>0</v>
      </c>
      <c r="DS121" s="14">
        <v>0</v>
      </c>
      <c r="DT121" s="14">
        <v>0</v>
      </c>
      <c r="DU121" s="14">
        <v>0</v>
      </c>
      <c r="DV121" s="14">
        <v>0</v>
      </c>
      <c r="DW121" s="14">
        <v>0</v>
      </c>
      <c r="DX121" s="14">
        <v>0</v>
      </c>
      <c r="DY121" s="14">
        <v>0</v>
      </c>
      <c r="DZ121" s="14">
        <v>0</v>
      </c>
      <c r="EA121" s="14">
        <v>0</v>
      </c>
      <c r="EB121" s="14">
        <v>0</v>
      </c>
      <c r="EC121" s="14">
        <v>0</v>
      </c>
      <c r="ED121" s="14">
        <v>0</v>
      </c>
      <c r="EE121" s="14">
        <v>0</v>
      </c>
      <c r="EF121" s="14">
        <v>0</v>
      </c>
    </row>
    <row r="122" ht="32" customHeight="1" spans="1:136" x14ac:dyDescent="0.25">
      <c r="A122" s="15" t="s">
        <v>7</v>
      </c>
      <c r="B122" s="15" t="s">
        <v>36</v>
      </c>
      <c r="C122" s="15" t="s">
        <v>286</v>
      </c>
      <c r="D122" s="16" t="s">
        <v>372</v>
      </c>
      <c r="E122" s="17">
        <f>SUM(G122:EF122)</f>
      </c>
      <c r="F122" s="17">
        <f>IF(E122&gt;0,1,0)</f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D122" s="18">
        <v>0</v>
      </c>
      <c r="AE122" s="18">
        <v>0</v>
      </c>
      <c r="AF122" s="18">
        <v>0</v>
      </c>
      <c r="AG122" s="18">
        <v>0</v>
      </c>
      <c r="AH122" s="18">
        <v>0</v>
      </c>
      <c r="AI122" s="18">
        <v>0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8">
        <v>0</v>
      </c>
      <c r="BE122" s="18">
        <v>0</v>
      </c>
      <c r="BF122" s="18">
        <v>0</v>
      </c>
      <c r="BG122" s="18">
        <v>0</v>
      </c>
      <c r="BH122" s="18">
        <v>0</v>
      </c>
      <c r="BI122" s="18">
        <v>0</v>
      </c>
      <c r="BJ122" s="18">
        <v>0</v>
      </c>
      <c r="BK122" s="18">
        <v>0</v>
      </c>
      <c r="BL122" s="18">
        <v>0</v>
      </c>
      <c r="BM122" s="18">
        <v>0</v>
      </c>
      <c r="BN122" s="18">
        <v>0</v>
      </c>
      <c r="BO122" s="18">
        <v>0</v>
      </c>
      <c r="BP122" s="18">
        <v>0</v>
      </c>
      <c r="BQ122" s="18">
        <v>0</v>
      </c>
      <c r="BR122" s="18">
        <v>0</v>
      </c>
      <c r="BS122" s="18">
        <v>0</v>
      </c>
      <c r="BT122" s="18">
        <v>0</v>
      </c>
      <c r="BU122" s="18">
        <v>0</v>
      </c>
      <c r="BV122" s="18">
        <v>0</v>
      </c>
      <c r="BW122" s="18">
        <v>0</v>
      </c>
      <c r="BX122" s="18">
        <v>0</v>
      </c>
      <c r="BY122" s="18">
        <v>0</v>
      </c>
      <c r="BZ122" s="18">
        <v>0</v>
      </c>
      <c r="CA122" s="18">
        <v>0</v>
      </c>
      <c r="CB122" s="18">
        <v>0</v>
      </c>
      <c r="CC122" s="18">
        <v>0</v>
      </c>
      <c r="CD122" s="18">
        <v>0</v>
      </c>
      <c r="CE122" s="18">
        <v>0</v>
      </c>
      <c r="CF122" s="18">
        <v>0</v>
      </c>
      <c r="CG122" s="18">
        <v>0</v>
      </c>
      <c r="CH122" s="18">
        <v>0</v>
      </c>
      <c r="CI122" s="18">
        <v>0</v>
      </c>
      <c r="CJ122" s="18">
        <v>0</v>
      </c>
      <c r="CK122" s="18">
        <v>0</v>
      </c>
      <c r="CL122" s="18">
        <v>0</v>
      </c>
      <c r="CM122" s="18">
        <v>0</v>
      </c>
      <c r="CN122" s="18">
        <v>0</v>
      </c>
      <c r="CO122" s="18">
        <v>0</v>
      </c>
      <c r="CP122" s="18">
        <v>0</v>
      </c>
      <c r="CQ122" s="18">
        <v>0</v>
      </c>
      <c r="CR122" s="18">
        <v>0</v>
      </c>
      <c r="CS122" s="18">
        <v>0</v>
      </c>
      <c r="CT122" s="18">
        <v>0</v>
      </c>
      <c r="CU122" s="18">
        <v>0</v>
      </c>
      <c r="CV122" s="18">
        <v>0</v>
      </c>
      <c r="CW122" s="18">
        <v>0</v>
      </c>
      <c r="CX122" s="18">
        <v>0</v>
      </c>
      <c r="CY122" s="18">
        <v>0</v>
      </c>
      <c r="CZ122" s="19">
        <v>1</v>
      </c>
      <c r="DA122" s="18">
        <v>0</v>
      </c>
      <c r="DB122" s="18">
        <v>0</v>
      </c>
      <c r="DC122" s="18">
        <v>0</v>
      </c>
      <c r="DD122" s="18">
        <v>0</v>
      </c>
      <c r="DE122" s="18">
        <v>0</v>
      </c>
      <c r="DF122" s="18">
        <v>0</v>
      </c>
      <c r="DG122" s="18">
        <v>0</v>
      </c>
      <c r="DH122" s="18">
        <v>0</v>
      </c>
      <c r="DI122" s="18">
        <v>0</v>
      </c>
      <c r="DJ122" s="18">
        <v>0</v>
      </c>
      <c r="DK122" s="18">
        <v>0</v>
      </c>
      <c r="DL122" s="18">
        <v>0</v>
      </c>
      <c r="DM122" s="18">
        <v>0</v>
      </c>
      <c r="DN122" s="18">
        <v>0</v>
      </c>
      <c r="DO122" s="18">
        <v>0</v>
      </c>
      <c r="DP122" s="18">
        <v>0</v>
      </c>
      <c r="DQ122" s="18">
        <v>0</v>
      </c>
      <c r="DR122" s="18">
        <v>0</v>
      </c>
      <c r="DS122" s="18">
        <v>0</v>
      </c>
      <c r="DT122" s="18">
        <v>0</v>
      </c>
      <c r="DU122" s="18">
        <v>0</v>
      </c>
      <c r="DV122" s="18">
        <v>0</v>
      </c>
      <c r="DW122" s="18">
        <v>0</v>
      </c>
      <c r="DX122" s="18">
        <v>0</v>
      </c>
      <c r="DY122" s="18">
        <v>0</v>
      </c>
      <c r="DZ122" s="18">
        <v>0</v>
      </c>
      <c r="EA122" s="18">
        <v>0</v>
      </c>
      <c r="EB122" s="18">
        <v>0</v>
      </c>
      <c r="EC122" s="18">
        <v>0</v>
      </c>
      <c r="ED122" s="18">
        <v>0</v>
      </c>
      <c r="EE122" s="18">
        <v>0</v>
      </c>
      <c r="EF122" s="18">
        <v>0</v>
      </c>
    </row>
    <row r="123" ht="32" customHeight="1" spans="1:136" x14ac:dyDescent="0.25">
      <c r="A123" s="4" t="s">
        <v>7</v>
      </c>
      <c r="B123" s="4" t="s">
        <v>36</v>
      </c>
      <c r="C123" s="4" t="s">
        <v>288</v>
      </c>
      <c r="D123" s="12" t="s">
        <v>373</v>
      </c>
      <c r="E123" s="8">
        <f>SUM(G123:EF123)</f>
      </c>
      <c r="F123" s="8">
        <f>IF(E123&gt;0,1,0)</f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0</v>
      </c>
      <c r="AR123" s="14">
        <v>0</v>
      </c>
      <c r="AS123" s="14">
        <v>0</v>
      </c>
      <c r="AT123" s="14">
        <v>0</v>
      </c>
      <c r="AU123" s="14">
        <v>0</v>
      </c>
      <c r="AV123" s="14">
        <v>0</v>
      </c>
      <c r="AW123" s="14">
        <v>0</v>
      </c>
      <c r="AX123" s="14">
        <v>0</v>
      </c>
      <c r="AY123" s="14">
        <v>0</v>
      </c>
      <c r="AZ123" s="14">
        <v>0</v>
      </c>
      <c r="BA123" s="14">
        <v>0</v>
      </c>
      <c r="BB123" s="14">
        <v>0</v>
      </c>
      <c r="BC123" s="14">
        <v>0</v>
      </c>
      <c r="BD123" s="14">
        <v>0</v>
      </c>
      <c r="BE123" s="14">
        <v>0</v>
      </c>
      <c r="BF123" s="14">
        <v>0</v>
      </c>
      <c r="BG123" s="14">
        <v>0</v>
      </c>
      <c r="BH123" s="14">
        <v>0</v>
      </c>
      <c r="BI123" s="14">
        <v>0</v>
      </c>
      <c r="BJ123" s="14">
        <v>0</v>
      </c>
      <c r="BK123" s="14">
        <v>0</v>
      </c>
      <c r="BL123" s="14">
        <v>0</v>
      </c>
      <c r="BM123" s="14">
        <v>0</v>
      </c>
      <c r="BN123" s="14">
        <v>0</v>
      </c>
      <c r="BO123" s="14">
        <v>0</v>
      </c>
      <c r="BP123" s="14">
        <v>0</v>
      </c>
      <c r="BQ123" s="14">
        <v>0</v>
      </c>
      <c r="BR123" s="14">
        <v>0</v>
      </c>
      <c r="BS123" s="14">
        <v>0</v>
      </c>
      <c r="BT123" s="14">
        <v>0</v>
      </c>
      <c r="BU123" s="14">
        <v>0</v>
      </c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4">
        <v>0</v>
      </c>
      <c r="CH123" s="14">
        <v>0</v>
      </c>
      <c r="CI123" s="14">
        <v>0</v>
      </c>
      <c r="CJ123" s="14">
        <v>0</v>
      </c>
      <c r="CK123" s="14">
        <v>0</v>
      </c>
      <c r="CL123" s="14">
        <v>0</v>
      </c>
      <c r="CM123" s="14">
        <v>0</v>
      </c>
      <c r="CN123" s="14">
        <v>0</v>
      </c>
      <c r="CO123" s="14">
        <v>0</v>
      </c>
      <c r="CP123" s="14">
        <v>0</v>
      </c>
      <c r="CQ123" s="14">
        <v>0</v>
      </c>
      <c r="CR123" s="14">
        <v>0</v>
      </c>
      <c r="CS123" s="14">
        <v>0</v>
      </c>
      <c r="CT123" s="14">
        <v>0</v>
      </c>
      <c r="CU123" s="14">
        <v>0</v>
      </c>
      <c r="CV123" s="14">
        <v>0</v>
      </c>
      <c r="CW123" s="14">
        <v>0</v>
      </c>
      <c r="CX123" s="14">
        <v>0</v>
      </c>
      <c r="CY123" s="14">
        <v>0</v>
      </c>
      <c r="CZ123" s="13">
        <v>1</v>
      </c>
      <c r="DA123" s="14">
        <v>0</v>
      </c>
      <c r="DB123" s="14">
        <v>0</v>
      </c>
      <c r="DC123" s="14">
        <v>0</v>
      </c>
      <c r="DD123" s="14">
        <v>0</v>
      </c>
      <c r="DE123" s="14">
        <v>0</v>
      </c>
      <c r="DF123" s="14">
        <v>0</v>
      </c>
      <c r="DG123" s="14">
        <v>0</v>
      </c>
      <c r="DH123" s="14">
        <v>0</v>
      </c>
      <c r="DI123" s="14">
        <v>0</v>
      </c>
      <c r="DJ123" s="14">
        <v>0</v>
      </c>
      <c r="DK123" s="14">
        <v>0</v>
      </c>
      <c r="DL123" s="14">
        <v>0</v>
      </c>
      <c r="DM123" s="14">
        <v>0</v>
      </c>
      <c r="DN123" s="14">
        <v>0</v>
      </c>
      <c r="DO123" s="14">
        <v>0</v>
      </c>
      <c r="DP123" s="14">
        <v>0</v>
      </c>
      <c r="DQ123" s="14">
        <v>0</v>
      </c>
      <c r="DR123" s="14">
        <v>0</v>
      </c>
      <c r="DS123" s="14">
        <v>0</v>
      </c>
      <c r="DT123" s="14">
        <v>0</v>
      </c>
      <c r="DU123" s="14">
        <v>0</v>
      </c>
      <c r="DV123" s="14">
        <v>0</v>
      </c>
      <c r="DW123" s="14">
        <v>0</v>
      </c>
      <c r="DX123" s="14">
        <v>0</v>
      </c>
      <c r="DY123" s="14">
        <v>0</v>
      </c>
      <c r="DZ123" s="14">
        <v>0</v>
      </c>
      <c r="EA123" s="14">
        <v>0</v>
      </c>
      <c r="EB123" s="14">
        <v>0</v>
      </c>
      <c r="EC123" s="14">
        <v>0</v>
      </c>
      <c r="ED123" s="14">
        <v>0</v>
      </c>
      <c r="EE123" s="14">
        <v>0</v>
      </c>
      <c r="EF123" s="14">
        <v>0</v>
      </c>
    </row>
    <row r="124" ht="32" customHeight="1" spans="1:136" x14ac:dyDescent="0.25">
      <c r="A124" s="4" t="s">
        <v>7</v>
      </c>
      <c r="B124" s="4" t="s">
        <v>36</v>
      </c>
      <c r="C124" s="4" t="s">
        <v>290</v>
      </c>
      <c r="D124" s="12" t="s">
        <v>374</v>
      </c>
      <c r="E124" s="8">
        <f>SUM(G124:EF124)</f>
      </c>
      <c r="F124" s="8">
        <f>IF(E124&gt;0,1,0)</f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  <c r="AS124" s="14">
        <v>0</v>
      </c>
      <c r="AT124" s="14">
        <v>0</v>
      </c>
      <c r="AU124" s="14">
        <v>0</v>
      </c>
      <c r="AV124" s="14">
        <v>0</v>
      </c>
      <c r="AW124" s="14">
        <v>0</v>
      </c>
      <c r="AX124" s="14">
        <v>0</v>
      </c>
      <c r="AY124" s="14">
        <v>0</v>
      </c>
      <c r="AZ124" s="14">
        <v>0</v>
      </c>
      <c r="BA124" s="14">
        <v>0</v>
      </c>
      <c r="BB124" s="14">
        <v>0</v>
      </c>
      <c r="BC124" s="14">
        <v>0</v>
      </c>
      <c r="BD124" s="14">
        <v>0</v>
      </c>
      <c r="BE124" s="14">
        <v>0</v>
      </c>
      <c r="BF124" s="14">
        <v>0</v>
      </c>
      <c r="BG124" s="14">
        <v>0</v>
      </c>
      <c r="BH124" s="14">
        <v>0</v>
      </c>
      <c r="BI124" s="14">
        <v>0</v>
      </c>
      <c r="BJ124" s="14">
        <v>0</v>
      </c>
      <c r="BK124" s="14">
        <v>0</v>
      </c>
      <c r="BL124" s="14">
        <v>0</v>
      </c>
      <c r="BM124" s="14">
        <v>0</v>
      </c>
      <c r="BN124" s="14">
        <v>0</v>
      </c>
      <c r="BO124" s="14">
        <v>0</v>
      </c>
      <c r="BP124" s="14">
        <v>0</v>
      </c>
      <c r="BQ124" s="14">
        <v>0</v>
      </c>
      <c r="BR124" s="14">
        <v>0</v>
      </c>
      <c r="BS124" s="14">
        <v>0</v>
      </c>
      <c r="BT124" s="14">
        <v>0</v>
      </c>
      <c r="BU124" s="14">
        <v>0</v>
      </c>
      <c r="BV124" s="14">
        <v>0</v>
      </c>
      <c r="BW124" s="14">
        <v>0</v>
      </c>
      <c r="BX124" s="14">
        <v>0</v>
      </c>
      <c r="BY124" s="14">
        <v>0</v>
      </c>
      <c r="BZ124" s="14">
        <v>0</v>
      </c>
      <c r="CA124" s="14">
        <v>0</v>
      </c>
      <c r="CB124" s="14">
        <v>0</v>
      </c>
      <c r="CC124" s="14">
        <v>0</v>
      </c>
      <c r="CD124" s="14">
        <v>0</v>
      </c>
      <c r="CE124" s="14">
        <v>0</v>
      </c>
      <c r="CF124" s="14">
        <v>0</v>
      </c>
      <c r="CG124" s="14">
        <v>0</v>
      </c>
      <c r="CH124" s="14">
        <v>0</v>
      </c>
      <c r="CI124" s="14">
        <v>0</v>
      </c>
      <c r="CJ124" s="14">
        <v>0</v>
      </c>
      <c r="CK124" s="14">
        <v>0</v>
      </c>
      <c r="CL124" s="14">
        <v>0</v>
      </c>
      <c r="CM124" s="14">
        <v>0</v>
      </c>
      <c r="CN124" s="14">
        <v>0</v>
      </c>
      <c r="CO124" s="14">
        <v>0</v>
      </c>
      <c r="CP124" s="14">
        <v>0</v>
      </c>
      <c r="CQ124" s="14">
        <v>0</v>
      </c>
      <c r="CR124" s="14">
        <v>0</v>
      </c>
      <c r="CS124" s="14">
        <v>0</v>
      </c>
      <c r="CT124" s="14">
        <v>0</v>
      </c>
      <c r="CU124" s="14">
        <v>0</v>
      </c>
      <c r="CV124" s="14">
        <v>0</v>
      </c>
      <c r="CW124" s="14">
        <v>0</v>
      </c>
      <c r="CX124" s="14">
        <v>0</v>
      </c>
      <c r="CY124" s="14">
        <v>0</v>
      </c>
      <c r="CZ124" s="14">
        <v>0</v>
      </c>
      <c r="DA124" s="13">
        <v>1</v>
      </c>
      <c r="DB124" s="14">
        <v>0</v>
      </c>
      <c r="DC124" s="14">
        <v>0</v>
      </c>
      <c r="DD124" s="14">
        <v>0</v>
      </c>
      <c r="DE124" s="14">
        <v>0</v>
      </c>
      <c r="DF124" s="14">
        <v>0</v>
      </c>
      <c r="DG124" s="14">
        <v>0</v>
      </c>
      <c r="DH124" s="14">
        <v>0</v>
      </c>
      <c r="DI124" s="14">
        <v>0</v>
      </c>
      <c r="DJ124" s="14">
        <v>0</v>
      </c>
      <c r="DK124" s="14">
        <v>0</v>
      </c>
      <c r="DL124" s="14">
        <v>0</v>
      </c>
      <c r="DM124" s="14">
        <v>0</v>
      </c>
      <c r="DN124" s="14">
        <v>0</v>
      </c>
      <c r="DO124" s="14">
        <v>0</v>
      </c>
      <c r="DP124" s="14">
        <v>0</v>
      </c>
      <c r="DQ124" s="14">
        <v>0</v>
      </c>
      <c r="DR124" s="14">
        <v>0</v>
      </c>
      <c r="DS124" s="14">
        <v>0</v>
      </c>
      <c r="DT124" s="14">
        <v>0</v>
      </c>
      <c r="DU124" s="14">
        <v>0</v>
      </c>
      <c r="DV124" s="14">
        <v>0</v>
      </c>
      <c r="DW124" s="14">
        <v>0</v>
      </c>
      <c r="DX124" s="14">
        <v>0</v>
      </c>
      <c r="DY124" s="14">
        <v>0</v>
      </c>
      <c r="DZ124" s="14">
        <v>0</v>
      </c>
      <c r="EA124" s="14">
        <v>0</v>
      </c>
      <c r="EB124" s="14">
        <v>0</v>
      </c>
      <c r="EC124" s="14">
        <v>0</v>
      </c>
      <c r="ED124" s="14">
        <v>0</v>
      </c>
      <c r="EE124" s="14">
        <v>0</v>
      </c>
      <c r="EF124" s="14">
        <v>0</v>
      </c>
    </row>
    <row r="125" ht="32" customHeight="1" spans="1:136" x14ac:dyDescent="0.25">
      <c r="A125" s="4" t="s">
        <v>7</v>
      </c>
      <c r="B125" s="4" t="s">
        <v>36</v>
      </c>
      <c r="C125" s="4" t="s">
        <v>292</v>
      </c>
      <c r="D125" s="12" t="s">
        <v>375</v>
      </c>
      <c r="E125" s="8">
        <f>SUM(G125:EF125)</f>
      </c>
      <c r="F125" s="8">
        <f>IF(E125&gt;0,1,0)</f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</v>
      </c>
      <c r="AT125" s="14">
        <v>0</v>
      </c>
      <c r="AU125" s="14">
        <v>0</v>
      </c>
      <c r="AV125" s="14">
        <v>0</v>
      </c>
      <c r="AW125" s="14">
        <v>0</v>
      </c>
      <c r="AX125" s="14">
        <v>0</v>
      </c>
      <c r="AY125" s="14">
        <v>0</v>
      </c>
      <c r="AZ125" s="14">
        <v>0</v>
      </c>
      <c r="BA125" s="14">
        <v>0</v>
      </c>
      <c r="BB125" s="14">
        <v>0</v>
      </c>
      <c r="BC125" s="14">
        <v>0</v>
      </c>
      <c r="BD125" s="14">
        <v>0</v>
      </c>
      <c r="BE125" s="14">
        <v>0</v>
      </c>
      <c r="BF125" s="14">
        <v>0</v>
      </c>
      <c r="BG125" s="14">
        <v>0</v>
      </c>
      <c r="BH125" s="14">
        <v>0</v>
      </c>
      <c r="BI125" s="14">
        <v>0</v>
      </c>
      <c r="BJ125" s="14">
        <v>0</v>
      </c>
      <c r="BK125" s="14">
        <v>0</v>
      </c>
      <c r="BL125" s="14">
        <v>0</v>
      </c>
      <c r="BM125" s="14">
        <v>0</v>
      </c>
      <c r="BN125" s="14">
        <v>0</v>
      </c>
      <c r="BO125" s="14">
        <v>0</v>
      </c>
      <c r="BP125" s="14">
        <v>0</v>
      </c>
      <c r="BQ125" s="14">
        <v>0</v>
      </c>
      <c r="BR125" s="14">
        <v>0</v>
      </c>
      <c r="BS125" s="14">
        <v>0</v>
      </c>
      <c r="BT125" s="14">
        <v>0</v>
      </c>
      <c r="BU125" s="14">
        <v>0</v>
      </c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4">
        <v>0</v>
      </c>
      <c r="CH125" s="14">
        <v>0</v>
      </c>
      <c r="CI125" s="14">
        <v>0</v>
      </c>
      <c r="CJ125" s="14">
        <v>0</v>
      </c>
      <c r="CK125" s="14">
        <v>0</v>
      </c>
      <c r="CL125" s="14">
        <v>0</v>
      </c>
      <c r="CM125" s="14">
        <v>0</v>
      </c>
      <c r="CN125" s="14">
        <v>0</v>
      </c>
      <c r="CO125" s="14">
        <v>0</v>
      </c>
      <c r="CP125" s="14">
        <v>0</v>
      </c>
      <c r="CQ125" s="14">
        <v>0</v>
      </c>
      <c r="CR125" s="14">
        <v>0</v>
      </c>
      <c r="CS125" s="14">
        <v>0</v>
      </c>
      <c r="CT125" s="14">
        <v>0</v>
      </c>
      <c r="CU125" s="14">
        <v>0</v>
      </c>
      <c r="CV125" s="14">
        <v>0</v>
      </c>
      <c r="CW125" s="14">
        <v>0</v>
      </c>
      <c r="CX125" s="14">
        <v>0</v>
      </c>
      <c r="CY125" s="14">
        <v>0</v>
      </c>
      <c r="CZ125" s="14">
        <v>0</v>
      </c>
      <c r="DA125" s="14">
        <v>0</v>
      </c>
      <c r="DB125" s="13">
        <v>1</v>
      </c>
      <c r="DC125" s="14">
        <v>0</v>
      </c>
      <c r="DD125" s="14">
        <v>0</v>
      </c>
      <c r="DE125" s="14">
        <v>0</v>
      </c>
      <c r="DF125" s="14">
        <v>0</v>
      </c>
      <c r="DG125" s="14">
        <v>0</v>
      </c>
      <c r="DH125" s="14">
        <v>0</v>
      </c>
      <c r="DI125" s="14">
        <v>0</v>
      </c>
      <c r="DJ125" s="14">
        <v>0</v>
      </c>
      <c r="DK125" s="14">
        <v>0</v>
      </c>
      <c r="DL125" s="14">
        <v>0</v>
      </c>
      <c r="DM125" s="14">
        <v>0</v>
      </c>
      <c r="DN125" s="14">
        <v>0</v>
      </c>
      <c r="DO125" s="14">
        <v>0</v>
      </c>
      <c r="DP125" s="14">
        <v>0</v>
      </c>
      <c r="DQ125" s="14">
        <v>0</v>
      </c>
      <c r="DR125" s="14">
        <v>0</v>
      </c>
      <c r="DS125" s="14">
        <v>0</v>
      </c>
      <c r="DT125" s="14">
        <v>0</v>
      </c>
      <c r="DU125" s="14">
        <v>0</v>
      </c>
      <c r="DV125" s="14">
        <v>0</v>
      </c>
      <c r="DW125" s="14">
        <v>0</v>
      </c>
      <c r="DX125" s="14">
        <v>0</v>
      </c>
      <c r="DY125" s="14">
        <v>0</v>
      </c>
      <c r="DZ125" s="14">
        <v>0</v>
      </c>
      <c r="EA125" s="14">
        <v>0</v>
      </c>
      <c r="EB125" s="14">
        <v>0</v>
      </c>
      <c r="EC125" s="14">
        <v>0</v>
      </c>
      <c r="ED125" s="14">
        <v>0</v>
      </c>
      <c r="EE125" s="14">
        <v>0</v>
      </c>
      <c r="EF125" s="14">
        <v>0</v>
      </c>
    </row>
    <row r="126" ht="32" customHeight="1" spans="1:136" x14ac:dyDescent="0.25">
      <c r="A126" s="4" t="s">
        <v>7</v>
      </c>
      <c r="B126" s="4" t="s">
        <v>36</v>
      </c>
      <c r="C126" s="4" t="s">
        <v>294</v>
      </c>
      <c r="D126" s="12" t="s">
        <v>376</v>
      </c>
      <c r="E126" s="8">
        <f>SUM(G126:EF126)</f>
      </c>
      <c r="F126" s="8">
        <f>IF(E126&gt;0,1,0)</f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4">
        <v>0</v>
      </c>
      <c r="AT126" s="14">
        <v>0</v>
      </c>
      <c r="AU126" s="14">
        <v>0</v>
      </c>
      <c r="AV126" s="14">
        <v>0</v>
      </c>
      <c r="AW126" s="14">
        <v>0</v>
      </c>
      <c r="AX126" s="14">
        <v>0</v>
      </c>
      <c r="AY126" s="14">
        <v>0</v>
      </c>
      <c r="AZ126" s="14">
        <v>0</v>
      </c>
      <c r="BA126" s="14">
        <v>0</v>
      </c>
      <c r="BB126" s="14">
        <v>0</v>
      </c>
      <c r="BC126" s="14">
        <v>0</v>
      </c>
      <c r="BD126" s="14">
        <v>0</v>
      </c>
      <c r="BE126" s="14">
        <v>0</v>
      </c>
      <c r="BF126" s="14">
        <v>0</v>
      </c>
      <c r="BG126" s="14">
        <v>0</v>
      </c>
      <c r="BH126" s="14">
        <v>0</v>
      </c>
      <c r="BI126" s="14">
        <v>0</v>
      </c>
      <c r="BJ126" s="14">
        <v>0</v>
      </c>
      <c r="BK126" s="14">
        <v>0</v>
      </c>
      <c r="BL126" s="14">
        <v>0</v>
      </c>
      <c r="BM126" s="14">
        <v>0</v>
      </c>
      <c r="BN126" s="14">
        <v>0</v>
      </c>
      <c r="BO126" s="14">
        <v>0</v>
      </c>
      <c r="BP126" s="14">
        <v>0</v>
      </c>
      <c r="BQ126" s="14">
        <v>0</v>
      </c>
      <c r="BR126" s="14">
        <v>0</v>
      </c>
      <c r="BS126" s="14">
        <v>0</v>
      </c>
      <c r="BT126" s="14">
        <v>0</v>
      </c>
      <c r="BU126" s="14">
        <v>0</v>
      </c>
      <c r="BV126" s="14">
        <v>0</v>
      </c>
      <c r="BW126" s="14">
        <v>0</v>
      </c>
      <c r="BX126" s="14">
        <v>0</v>
      </c>
      <c r="BY126" s="14">
        <v>0</v>
      </c>
      <c r="BZ126" s="14">
        <v>0</v>
      </c>
      <c r="CA126" s="14">
        <v>0</v>
      </c>
      <c r="CB126" s="14">
        <v>0</v>
      </c>
      <c r="CC126" s="14">
        <v>0</v>
      </c>
      <c r="CD126" s="14">
        <v>0</v>
      </c>
      <c r="CE126" s="14">
        <v>0</v>
      </c>
      <c r="CF126" s="14">
        <v>0</v>
      </c>
      <c r="CG126" s="14">
        <v>0</v>
      </c>
      <c r="CH126" s="14">
        <v>0</v>
      </c>
      <c r="CI126" s="14">
        <v>0</v>
      </c>
      <c r="CJ126" s="14">
        <v>0</v>
      </c>
      <c r="CK126" s="14">
        <v>0</v>
      </c>
      <c r="CL126" s="14">
        <v>0</v>
      </c>
      <c r="CM126" s="14">
        <v>0</v>
      </c>
      <c r="CN126" s="14">
        <v>0</v>
      </c>
      <c r="CO126" s="14">
        <v>0</v>
      </c>
      <c r="CP126" s="14">
        <v>0</v>
      </c>
      <c r="CQ126" s="14">
        <v>0</v>
      </c>
      <c r="CR126" s="14">
        <v>0</v>
      </c>
      <c r="CS126" s="14">
        <v>0</v>
      </c>
      <c r="CT126" s="14">
        <v>0</v>
      </c>
      <c r="CU126" s="14">
        <v>0</v>
      </c>
      <c r="CV126" s="14">
        <v>0</v>
      </c>
      <c r="CW126" s="14">
        <v>0</v>
      </c>
      <c r="CX126" s="14">
        <v>0</v>
      </c>
      <c r="CY126" s="14">
        <v>0</v>
      </c>
      <c r="CZ126" s="14">
        <v>0</v>
      </c>
      <c r="DA126" s="14">
        <v>0</v>
      </c>
      <c r="DB126" s="13">
        <v>1</v>
      </c>
      <c r="DC126" s="14">
        <v>0</v>
      </c>
      <c r="DD126" s="14">
        <v>0</v>
      </c>
      <c r="DE126" s="14">
        <v>0</v>
      </c>
      <c r="DF126" s="14">
        <v>0</v>
      </c>
      <c r="DG126" s="14">
        <v>0</v>
      </c>
      <c r="DH126" s="14">
        <v>0</v>
      </c>
      <c r="DI126" s="14">
        <v>0</v>
      </c>
      <c r="DJ126" s="14">
        <v>0</v>
      </c>
      <c r="DK126" s="14">
        <v>0</v>
      </c>
      <c r="DL126" s="14">
        <v>0</v>
      </c>
      <c r="DM126" s="14">
        <v>0</v>
      </c>
      <c r="DN126" s="14">
        <v>0</v>
      </c>
      <c r="DO126" s="14">
        <v>0</v>
      </c>
      <c r="DP126" s="14">
        <v>0</v>
      </c>
      <c r="DQ126" s="14">
        <v>0</v>
      </c>
      <c r="DR126" s="14">
        <v>0</v>
      </c>
      <c r="DS126" s="14">
        <v>0</v>
      </c>
      <c r="DT126" s="14">
        <v>0</v>
      </c>
      <c r="DU126" s="14">
        <v>0</v>
      </c>
      <c r="DV126" s="14">
        <v>0</v>
      </c>
      <c r="DW126" s="14">
        <v>0</v>
      </c>
      <c r="DX126" s="14">
        <v>0</v>
      </c>
      <c r="DY126" s="14">
        <v>0</v>
      </c>
      <c r="DZ126" s="14">
        <v>0</v>
      </c>
      <c r="EA126" s="14">
        <v>0</v>
      </c>
      <c r="EB126" s="14">
        <v>0</v>
      </c>
      <c r="EC126" s="14">
        <v>0</v>
      </c>
      <c r="ED126" s="14">
        <v>0</v>
      </c>
      <c r="EE126" s="14">
        <v>0</v>
      </c>
      <c r="EF126" s="14">
        <v>0</v>
      </c>
    </row>
    <row r="127" ht="32" customHeight="1" spans="1:136" x14ac:dyDescent="0.25">
      <c r="A127" s="15" t="s">
        <v>7</v>
      </c>
      <c r="B127" s="15" t="s">
        <v>37</v>
      </c>
      <c r="C127" s="15" t="s">
        <v>296</v>
      </c>
      <c r="D127" s="16" t="s">
        <v>377</v>
      </c>
      <c r="E127" s="17">
        <f>SUM(G127:EF127)</f>
      </c>
      <c r="F127" s="17">
        <f>IF(E127&gt;0,1,0)</f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18">
        <v>0</v>
      </c>
      <c r="BN127" s="18">
        <v>0</v>
      </c>
      <c r="BO127" s="18">
        <v>0</v>
      </c>
      <c r="BP127" s="18">
        <v>0</v>
      </c>
      <c r="BQ127" s="18">
        <v>0</v>
      </c>
      <c r="BR127" s="18">
        <v>0</v>
      </c>
      <c r="BS127" s="18">
        <v>0</v>
      </c>
      <c r="BT127" s="18">
        <v>0</v>
      </c>
      <c r="BU127" s="18">
        <v>0</v>
      </c>
      <c r="BV127" s="18">
        <v>0</v>
      </c>
      <c r="BW127" s="18">
        <v>0</v>
      </c>
      <c r="BX127" s="18">
        <v>0</v>
      </c>
      <c r="BY127" s="18">
        <v>0</v>
      </c>
      <c r="BZ127" s="18">
        <v>0</v>
      </c>
      <c r="CA127" s="18">
        <v>0</v>
      </c>
      <c r="CB127" s="18">
        <v>0</v>
      </c>
      <c r="CC127" s="18">
        <v>0</v>
      </c>
      <c r="CD127" s="18">
        <v>0</v>
      </c>
      <c r="CE127" s="18">
        <v>0</v>
      </c>
      <c r="CF127" s="18">
        <v>0</v>
      </c>
      <c r="CG127" s="18">
        <v>0</v>
      </c>
      <c r="CH127" s="18">
        <v>0</v>
      </c>
      <c r="CI127" s="18">
        <v>0</v>
      </c>
      <c r="CJ127" s="18">
        <v>0</v>
      </c>
      <c r="CK127" s="18">
        <v>0</v>
      </c>
      <c r="CL127" s="18">
        <v>0</v>
      </c>
      <c r="CM127" s="18">
        <v>0</v>
      </c>
      <c r="CN127" s="18">
        <v>0</v>
      </c>
      <c r="CO127" s="18">
        <v>0</v>
      </c>
      <c r="CP127" s="18">
        <v>0</v>
      </c>
      <c r="CQ127" s="18">
        <v>0</v>
      </c>
      <c r="CR127" s="18">
        <v>0</v>
      </c>
      <c r="CS127" s="18">
        <v>0</v>
      </c>
      <c r="CT127" s="18">
        <v>0</v>
      </c>
      <c r="CU127" s="18">
        <v>0</v>
      </c>
      <c r="CV127" s="18">
        <v>0</v>
      </c>
      <c r="CW127" s="18">
        <v>0</v>
      </c>
      <c r="CX127" s="18">
        <v>0</v>
      </c>
      <c r="CY127" s="18">
        <v>0</v>
      </c>
      <c r="CZ127" s="18">
        <v>0</v>
      </c>
      <c r="DA127" s="18">
        <v>0</v>
      </c>
      <c r="DB127" s="18">
        <v>0</v>
      </c>
      <c r="DC127" s="19">
        <v>1</v>
      </c>
      <c r="DD127" s="18">
        <v>0</v>
      </c>
      <c r="DE127" s="18">
        <v>0</v>
      </c>
      <c r="DF127" s="18">
        <v>0</v>
      </c>
      <c r="DG127" s="18">
        <v>0</v>
      </c>
      <c r="DH127" s="18">
        <v>0</v>
      </c>
      <c r="DI127" s="18">
        <v>0</v>
      </c>
      <c r="DJ127" s="18">
        <v>0</v>
      </c>
      <c r="DK127" s="18">
        <v>0</v>
      </c>
      <c r="DL127" s="18">
        <v>0</v>
      </c>
      <c r="DM127" s="18">
        <v>0</v>
      </c>
      <c r="DN127" s="18">
        <v>0</v>
      </c>
      <c r="DO127" s="18">
        <v>0</v>
      </c>
      <c r="DP127" s="18">
        <v>0</v>
      </c>
      <c r="DQ127" s="18">
        <v>0</v>
      </c>
      <c r="DR127" s="18">
        <v>0</v>
      </c>
      <c r="DS127" s="18">
        <v>0</v>
      </c>
      <c r="DT127" s="18">
        <v>0</v>
      </c>
      <c r="DU127" s="18">
        <v>0</v>
      </c>
      <c r="DV127" s="18">
        <v>0</v>
      </c>
      <c r="DW127" s="18">
        <v>0</v>
      </c>
      <c r="DX127" s="18">
        <v>0</v>
      </c>
      <c r="DY127" s="18">
        <v>0</v>
      </c>
      <c r="DZ127" s="18">
        <v>0</v>
      </c>
      <c r="EA127" s="18">
        <v>0</v>
      </c>
      <c r="EB127" s="18">
        <v>0</v>
      </c>
      <c r="EC127" s="18">
        <v>0</v>
      </c>
      <c r="ED127" s="18">
        <v>0</v>
      </c>
      <c r="EE127" s="18">
        <v>0</v>
      </c>
      <c r="EF127" s="18">
        <v>0</v>
      </c>
    </row>
    <row r="128" ht="32" customHeight="1" spans="1:136" x14ac:dyDescent="0.25">
      <c r="A128" s="4" t="s">
        <v>7</v>
      </c>
      <c r="B128" s="4" t="s">
        <v>37</v>
      </c>
      <c r="C128" s="4" t="s">
        <v>298</v>
      </c>
      <c r="D128" s="12" t="s">
        <v>378</v>
      </c>
      <c r="E128" s="8">
        <f>SUM(G128:EF128)</f>
      </c>
      <c r="F128" s="8">
        <f>IF(E128&gt;0,1,0)</f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4">
        <v>0</v>
      </c>
      <c r="AU128" s="14">
        <v>0</v>
      </c>
      <c r="AV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0</v>
      </c>
      <c r="BC128" s="14">
        <v>0</v>
      </c>
      <c r="BD128" s="14">
        <v>0</v>
      </c>
      <c r="BE128" s="14">
        <v>0</v>
      </c>
      <c r="BF128" s="14">
        <v>0</v>
      </c>
      <c r="BG128" s="14">
        <v>0</v>
      </c>
      <c r="BH128" s="14">
        <v>0</v>
      </c>
      <c r="BI128" s="14">
        <v>0</v>
      </c>
      <c r="BJ128" s="14">
        <v>0</v>
      </c>
      <c r="BK128" s="14">
        <v>0</v>
      </c>
      <c r="BL128" s="14">
        <v>0</v>
      </c>
      <c r="BM128" s="14">
        <v>0</v>
      </c>
      <c r="BN128" s="14">
        <v>0</v>
      </c>
      <c r="BO128" s="14">
        <v>0</v>
      </c>
      <c r="BP128" s="14">
        <v>0</v>
      </c>
      <c r="BQ128" s="14">
        <v>0</v>
      </c>
      <c r="BR128" s="14">
        <v>0</v>
      </c>
      <c r="BS128" s="14">
        <v>0</v>
      </c>
      <c r="BT128" s="14">
        <v>0</v>
      </c>
      <c r="BU128" s="14">
        <v>0</v>
      </c>
      <c r="BV128" s="14">
        <v>0</v>
      </c>
      <c r="BW128" s="14">
        <v>0</v>
      </c>
      <c r="BX128" s="14">
        <v>0</v>
      </c>
      <c r="BY128" s="14">
        <v>0</v>
      </c>
      <c r="BZ128" s="14">
        <v>0</v>
      </c>
      <c r="CA128" s="14">
        <v>0</v>
      </c>
      <c r="CB128" s="14">
        <v>0</v>
      </c>
      <c r="CC128" s="14">
        <v>0</v>
      </c>
      <c r="CD128" s="14">
        <v>0</v>
      </c>
      <c r="CE128" s="14">
        <v>0</v>
      </c>
      <c r="CF128" s="14">
        <v>0</v>
      </c>
      <c r="CG128" s="14">
        <v>0</v>
      </c>
      <c r="CH128" s="14">
        <v>0</v>
      </c>
      <c r="CI128" s="14">
        <v>0</v>
      </c>
      <c r="CJ128" s="14">
        <v>0</v>
      </c>
      <c r="CK128" s="14">
        <v>0</v>
      </c>
      <c r="CL128" s="14">
        <v>0</v>
      </c>
      <c r="CM128" s="14">
        <v>0</v>
      </c>
      <c r="CN128" s="14">
        <v>0</v>
      </c>
      <c r="CO128" s="14">
        <v>0</v>
      </c>
      <c r="CP128" s="14">
        <v>0</v>
      </c>
      <c r="CQ128" s="14">
        <v>0</v>
      </c>
      <c r="CR128" s="14">
        <v>0</v>
      </c>
      <c r="CS128" s="14">
        <v>0</v>
      </c>
      <c r="CT128" s="14">
        <v>0</v>
      </c>
      <c r="CU128" s="14">
        <v>0</v>
      </c>
      <c r="CV128" s="14">
        <v>0</v>
      </c>
      <c r="CW128" s="14">
        <v>0</v>
      </c>
      <c r="CX128" s="14">
        <v>0</v>
      </c>
      <c r="CY128" s="14">
        <v>0</v>
      </c>
      <c r="CZ128" s="14">
        <v>0</v>
      </c>
      <c r="DA128" s="14">
        <v>0</v>
      </c>
      <c r="DB128" s="14">
        <v>0</v>
      </c>
      <c r="DC128" s="14">
        <v>0</v>
      </c>
      <c r="DD128" s="13">
        <v>1</v>
      </c>
      <c r="DE128" s="14">
        <v>0</v>
      </c>
      <c r="DF128" s="14">
        <v>0</v>
      </c>
      <c r="DG128" s="14">
        <v>0</v>
      </c>
      <c r="DH128" s="14">
        <v>0</v>
      </c>
      <c r="DI128" s="14">
        <v>0</v>
      </c>
      <c r="DJ128" s="14">
        <v>0</v>
      </c>
      <c r="DK128" s="14">
        <v>0</v>
      </c>
      <c r="DL128" s="14">
        <v>0</v>
      </c>
      <c r="DM128" s="14">
        <v>0</v>
      </c>
      <c r="DN128" s="14">
        <v>0</v>
      </c>
      <c r="DO128" s="14">
        <v>0</v>
      </c>
      <c r="DP128" s="14">
        <v>0</v>
      </c>
      <c r="DQ128" s="14">
        <v>0</v>
      </c>
      <c r="DR128" s="14">
        <v>0</v>
      </c>
      <c r="DS128" s="14">
        <v>0</v>
      </c>
      <c r="DT128" s="14">
        <v>0</v>
      </c>
      <c r="DU128" s="14">
        <v>0</v>
      </c>
      <c r="DV128" s="14">
        <v>0</v>
      </c>
      <c r="DW128" s="14">
        <v>0</v>
      </c>
      <c r="DX128" s="14">
        <v>0</v>
      </c>
      <c r="DY128" s="14">
        <v>0</v>
      </c>
      <c r="DZ128" s="14">
        <v>0</v>
      </c>
      <c r="EA128" s="14">
        <v>0</v>
      </c>
      <c r="EB128" s="14">
        <v>0</v>
      </c>
      <c r="EC128" s="14">
        <v>0</v>
      </c>
      <c r="ED128" s="14">
        <v>0</v>
      </c>
      <c r="EE128" s="14">
        <v>0</v>
      </c>
      <c r="EF128" s="14">
        <v>0</v>
      </c>
    </row>
    <row r="129" ht="32" customHeight="1" spans="1:136" x14ac:dyDescent="0.25">
      <c r="A129" s="4" t="s">
        <v>7</v>
      </c>
      <c r="B129" s="4" t="s">
        <v>37</v>
      </c>
      <c r="C129" s="4" t="s">
        <v>300</v>
      </c>
      <c r="D129" s="12" t="s">
        <v>379</v>
      </c>
      <c r="E129" s="8">
        <f>SUM(G129:EF129)</f>
      </c>
      <c r="F129" s="8">
        <f>IF(E129&gt;0,1,0)</f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4">
        <v>0</v>
      </c>
      <c r="BC129" s="14">
        <v>0</v>
      </c>
      <c r="BD129" s="14">
        <v>0</v>
      </c>
      <c r="BE129" s="14">
        <v>0</v>
      </c>
      <c r="BF129" s="14">
        <v>0</v>
      </c>
      <c r="BG129" s="14">
        <v>0</v>
      </c>
      <c r="BH129" s="14">
        <v>0</v>
      </c>
      <c r="BI129" s="14">
        <v>0</v>
      </c>
      <c r="BJ129" s="14">
        <v>0</v>
      </c>
      <c r="BK129" s="14">
        <v>0</v>
      </c>
      <c r="BL129" s="14">
        <v>0</v>
      </c>
      <c r="BM129" s="14">
        <v>0</v>
      </c>
      <c r="BN129" s="14">
        <v>0</v>
      </c>
      <c r="BO129" s="14">
        <v>0</v>
      </c>
      <c r="BP129" s="14">
        <v>0</v>
      </c>
      <c r="BQ129" s="14">
        <v>0</v>
      </c>
      <c r="BR129" s="14">
        <v>0</v>
      </c>
      <c r="BS129" s="14">
        <v>0</v>
      </c>
      <c r="BT129" s="14">
        <v>0</v>
      </c>
      <c r="BU129" s="14">
        <v>0</v>
      </c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4">
        <v>0</v>
      </c>
      <c r="CH129" s="14">
        <v>0</v>
      </c>
      <c r="CI129" s="14">
        <v>0</v>
      </c>
      <c r="CJ129" s="14">
        <v>0</v>
      </c>
      <c r="CK129" s="14">
        <v>0</v>
      </c>
      <c r="CL129" s="14">
        <v>0</v>
      </c>
      <c r="CM129" s="14">
        <v>0</v>
      </c>
      <c r="CN129" s="14">
        <v>0</v>
      </c>
      <c r="CO129" s="14">
        <v>0</v>
      </c>
      <c r="CP129" s="14">
        <v>0</v>
      </c>
      <c r="CQ129" s="14">
        <v>0</v>
      </c>
      <c r="CR129" s="14">
        <v>0</v>
      </c>
      <c r="CS129" s="14">
        <v>0</v>
      </c>
      <c r="CT129" s="14">
        <v>0</v>
      </c>
      <c r="CU129" s="14">
        <v>0</v>
      </c>
      <c r="CV129" s="14">
        <v>0</v>
      </c>
      <c r="CW129" s="14">
        <v>0</v>
      </c>
      <c r="CX129" s="14">
        <v>0</v>
      </c>
      <c r="CY129" s="14">
        <v>0</v>
      </c>
      <c r="CZ129" s="14">
        <v>0</v>
      </c>
      <c r="DA129" s="14">
        <v>0</v>
      </c>
      <c r="DB129" s="14">
        <v>0</v>
      </c>
      <c r="DC129" s="14">
        <v>0</v>
      </c>
      <c r="DD129" s="13">
        <v>1</v>
      </c>
      <c r="DE129" s="14">
        <v>0</v>
      </c>
      <c r="DF129" s="14">
        <v>0</v>
      </c>
      <c r="DG129" s="14">
        <v>0</v>
      </c>
      <c r="DH129" s="14">
        <v>0</v>
      </c>
      <c r="DI129" s="14">
        <v>0</v>
      </c>
      <c r="DJ129" s="14">
        <v>0</v>
      </c>
      <c r="DK129" s="14">
        <v>0</v>
      </c>
      <c r="DL129" s="14">
        <v>0</v>
      </c>
      <c r="DM129" s="14">
        <v>0</v>
      </c>
      <c r="DN129" s="14">
        <v>0</v>
      </c>
      <c r="DO129" s="14">
        <v>0</v>
      </c>
      <c r="DP129" s="14">
        <v>0</v>
      </c>
      <c r="DQ129" s="14">
        <v>0</v>
      </c>
      <c r="DR129" s="14">
        <v>0</v>
      </c>
      <c r="DS129" s="14">
        <v>0</v>
      </c>
      <c r="DT129" s="14">
        <v>0</v>
      </c>
      <c r="DU129" s="14">
        <v>0</v>
      </c>
      <c r="DV129" s="14">
        <v>0</v>
      </c>
      <c r="DW129" s="14">
        <v>0</v>
      </c>
      <c r="DX129" s="14">
        <v>0</v>
      </c>
      <c r="DY129" s="14">
        <v>0</v>
      </c>
      <c r="DZ129" s="14">
        <v>0</v>
      </c>
      <c r="EA129" s="14">
        <v>0</v>
      </c>
      <c r="EB129" s="14">
        <v>0</v>
      </c>
      <c r="EC129" s="14">
        <v>0</v>
      </c>
      <c r="ED129" s="14">
        <v>0</v>
      </c>
      <c r="EE129" s="14">
        <v>0</v>
      </c>
      <c r="EF129" s="14">
        <v>0</v>
      </c>
    </row>
    <row r="130" ht="32" customHeight="1" spans="1:136" x14ac:dyDescent="0.25">
      <c r="A130" s="4" t="s">
        <v>7</v>
      </c>
      <c r="B130" s="4" t="s">
        <v>37</v>
      </c>
      <c r="C130" s="4" t="s">
        <v>302</v>
      </c>
      <c r="D130" s="12" t="s">
        <v>380</v>
      </c>
      <c r="E130" s="8">
        <f>SUM(G130:EF130)</f>
      </c>
      <c r="F130" s="8">
        <f>IF(E130&gt;0,1,0)</f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0</v>
      </c>
      <c r="AU130" s="14">
        <v>0</v>
      </c>
      <c r="AV130" s="14">
        <v>0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B130" s="14">
        <v>0</v>
      </c>
      <c r="BC130" s="14">
        <v>0</v>
      </c>
      <c r="BD130" s="14">
        <v>0</v>
      </c>
      <c r="BE130" s="14">
        <v>0</v>
      </c>
      <c r="BF130" s="14">
        <v>0</v>
      </c>
      <c r="BG130" s="14">
        <v>0</v>
      </c>
      <c r="BH130" s="14">
        <v>0</v>
      </c>
      <c r="BI130" s="14">
        <v>0</v>
      </c>
      <c r="BJ130" s="14">
        <v>0</v>
      </c>
      <c r="BK130" s="14">
        <v>0</v>
      </c>
      <c r="BL130" s="14">
        <v>0</v>
      </c>
      <c r="BM130" s="14">
        <v>0</v>
      </c>
      <c r="BN130" s="14">
        <v>0</v>
      </c>
      <c r="BO130" s="14">
        <v>0</v>
      </c>
      <c r="BP130" s="14">
        <v>0</v>
      </c>
      <c r="BQ130" s="14">
        <v>0</v>
      </c>
      <c r="BR130" s="14">
        <v>0</v>
      </c>
      <c r="BS130" s="14">
        <v>0</v>
      </c>
      <c r="BT130" s="14">
        <v>0</v>
      </c>
      <c r="BU130" s="14">
        <v>0</v>
      </c>
      <c r="BV130" s="14">
        <v>0</v>
      </c>
      <c r="BW130" s="14">
        <v>0</v>
      </c>
      <c r="BX130" s="14">
        <v>0</v>
      </c>
      <c r="BY130" s="14">
        <v>0</v>
      </c>
      <c r="BZ130" s="14">
        <v>0</v>
      </c>
      <c r="CA130" s="14">
        <v>0</v>
      </c>
      <c r="CB130" s="14">
        <v>0</v>
      </c>
      <c r="CC130" s="14">
        <v>0</v>
      </c>
      <c r="CD130" s="14">
        <v>0</v>
      </c>
      <c r="CE130" s="14">
        <v>0</v>
      </c>
      <c r="CF130" s="14">
        <v>0</v>
      </c>
      <c r="CG130" s="14">
        <v>0</v>
      </c>
      <c r="CH130" s="14">
        <v>0</v>
      </c>
      <c r="CI130" s="14">
        <v>0</v>
      </c>
      <c r="CJ130" s="14">
        <v>0</v>
      </c>
      <c r="CK130" s="14">
        <v>0</v>
      </c>
      <c r="CL130" s="14">
        <v>0</v>
      </c>
      <c r="CM130" s="14">
        <v>0</v>
      </c>
      <c r="CN130" s="14">
        <v>0</v>
      </c>
      <c r="CO130" s="14">
        <v>0</v>
      </c>
      <c r="CP130" s="14">
        <v>0</v>
      </c>
      <c r="CQ130" s="14">
        <v>0</v>
      </c>
      <c r="CR130" s="14">
        <v>0</v>
      </c>
      <c r="CS130" s="14">
        <v>0</v>
      </c>
      <c r="CT130" s="14">
        <v>0</v>
      </c>
      <c r="CU130" s="14">
        <v>0</v>
      </c>
      <c r="CV130" s="14">
        <v>0</v>
      </c>
      <c r="CW130" s="14">
        <v>0</v>
      </c>
      <c r="CX130" s="14">
        <v>0</v>
      </c>
      <c r="CY130" s="14">
        <v>0</v>
      </c>
      <c r="CZ130" s="14">
        <v>0</v>
      </c>
      <c r="DA130" s="14">
        <v>0</v>
      </c>
      <c r="DB130" s="14">
        <v>0</v>
      </c>
      <c r="DC130" s="14">
        <v>0</v>
      </c>
      <c r="DD130" s="14">
        <v>0</v>
      </c>
      <c r="DE130" s="13">
        <v>1</v>
      </c>
      <c r="DF130" s="14">
        <v>0</v>
      </c>
      <c r="DG130" s="14">
        <v>0</v>
      </c>
      <c r="DH130" s="14">
        <v>0</v>
      </c>
      <c r="DI130" s="14">
        <v>0</v>
      </c>
      <c r="DJ130" s="14">
        <v>0</v>
      </c>
      <c r="DK130" s="14">
        <v>0</v>
      </c>
      <c r="DL130" s="14">
        <v>0</v>
      </c>
      <c r="DM130" s="14">
        <v>0</v>
      </c>
      <c r="DN130" s="14">
        <v>0</v>
      </c>
      <c r="DO130" s="14">
        <v>0</v>
      </c>
      <c r="DP130" s="14">
        <v>0</v>
      </c>
      <c r="DQ130" s="14">
        <v>0</v>
      </c>
      <c r="DR130" s="14">
        <v>0</v>
      </c>
      <c r="DS130" s="14">
        <v>0</v>
      </c>
      <c r="DT130" s="14">
        <v>0</v>
      </c>
      <c r="DU130" s="14">
        <v>0</v>
      </c>
      <c r="DV130" s="14">
        <v>0</v>
      </c>
      <c r="DW130" s="14">
        <v>0</v>
      </c>
      <c r="DX130" s="14">
        <v>0</v>
      </c>
      <c r="DY130" s="14">
        <v>0</v>
      </c>
      <c r="DZ130" s="14">
        <v>0</v>
      </c>
      <c r="EA130" s="14">
        <v>0</v>
      </c>
      <c r="EB130" s="14">
        <v>0</v>
      </c>
      <c r="EC130" s="14">
        <v>0</v>
      </c>
      <c r="ED130" s="14">
        <v>0</v>
      </c>
      <c r="EE130" s="14">
        <v>0</v>
      </c>
      <c r="EF130" s="14">
        <v>0</v>
      </c>
    </row>
    <row r="131" ht="32" customHeight="1" spans="1:136" x14ac:dyDescent="0.25">
      <c r="A131" s="15" t="s">
        <v>7</v>
      </c>
      <c r="B131" s="15" t="s">
        <v>38</v>
      </c>
      <c r="C131" s="15" t="s">
        <v>381</v>
      </c>
      <c r="D131" s="16" t="s">
        <v>382</v>
      </c>
      <c r="E131" s="17">
        <f>SUM(G131:EF131)</f>
      </c>
      <c r="F131" s="17">
        <f>IF(E131&gt;0,1,0)</f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0</v>
      </c>
      <c r="AD131" s="18">
        <v>0</v>
      </c>
      <c r="AE131" s="18">
        <v>0</v>
      </c>
      <c r="AF131" s="18">
        <v>0</v>
      </c>
      <c r="AG131" s="18">
        <v>0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8">
        <v>0</v>
      </c>
      <c r="BE131" s="18">
        <v>0</v>
      </c>
      <c r="BF131" s="18">
        <v>0</v>
      </c>
      <c r="BG131" s="18">
        <v>0</v>
      </c>
      <c r="BH131" s="18">
        <v>0</v>
      </c>
      <c r="BI131" s="18">
        <v>0</v>
      </c>
      <c r="BJ131" s="18">
        <v>0</v>
      </c>
      <c r="BK131" s="18">
        <v>0</v>
      </c>
      <c r="BL131" s="18">
        <v>0</v>
      </c>
      <c r="BM131" s="18">
        <v>0</v>
      </c>
      <c r="BN131" s="18">
        <v>0</v>
      </c>
      <c r="BO131" s="18">
        <v>0</v>
      </c>
      <c r="BP131" s="18">
        <v>0</v>
      </c>
      <c r="BQ131" s="18">
        <v>0</v>
      </c>
      <c r="BR131" s="18">
        <v>0</v>
      </c>
      <c r="BS131" s="18">
        <v>0</v>
      </c>
      <c r="BT131" s="18">
        <v>0</v>
      </c>
      <c r="BU131" s="18">
        <v>0</v>
      </c>
      <c r="BV131" s="18">
        <v>0</v>
      </c>
      <c r="BW131" s="18">
        <v>0</v>
      </c>
      <c r="BX131" s="18">
        <v>0</v>
      </c>
      <c r="BY131" s="18">
        <v>0</v>
      </c>
      <c r="BZ131" s="18">
        <v>0</v>
      </c>
      <c r="CA131" s="18">
        <v>0</v>
      </c>
      <c r="CB131" s="18">
        <v>0</v>
      </c>
      <c r="CC131" s="18">
        <v>0</v>
      </c>
      <c r="CD131" s="18">
        <v>0</v>
      </c>
      <c r="CE131" s="18">
        <v>0</v>
      </c>
      <c r="CF131" s="18">
        <v>0</v>
      </c>
      <c r="CG131" s="18">
        <v>0</v>
      </c>
      <c r="CH131" s="18">
        <v>0</v>
      </c>
      <c r="CI131" s="18">
        <v>0</v>
      </c>
      <c r="CJ131" s="18">
        <v>0</v>
      </c>
      <c r="CK131" s="18">
        <v>0</v>
      </c>
      <c r="CL131" s="18">
        <v>0</v>
      </c>
      <c r="CM131" s="18">
        <v>0</v>
      </c>
      <c r="CN131" s="18">
        <v>0</v>
      </c>
      <c r="CO131" s="18">
        <v>0</v>
      </c>
      <c r="CP131" s="18">
        <v>0</v>
      </c>
      <c r="CQ131" s="18">
        <v>0</v>
      </c>
      <c r="CR131" s="18">
        <v>0</v>
      </c>
      <c r="CS131" s="18">
        <v>0</v>
      </c>
      <c r="CT131" s="18">
        <v>0</v>
      </c>
      <c r="CU131" s="18">
        <v>0</v>
      </c>
      <c r="CV131" s="18">
        <v>0</v>
      </c>
      <c r="CW131" s="18">
        <v>0</v>
      </c>
      <c r="CX131" s="18">
        <v>0</v>
      </c>
      <c r="CY131" s="18">
        <v>0</v>
      </c>
      <c r="CZ131" s="18">
        <v>0</v>
      </c>
      <c r="DA131" s="18">
        <v>0</v>
      </c>
      <c r="DB131" s="18">
        <v>0</v>
      </c>
      <c r="DC131" s="18">
        <v>0</v>
      </c>
      <c r="DD131" s="18">
        <v>0</v>
      </c>
      <c r="DE131" s="18">
        <v>0</v>
      </c>
      <c r="DF131" s="19">
        <v>1</v>
      </c>
      <c r="DG131" s="18">
        <v>0</v>
      </c>
      <c r="DH131" s="18">
        <v>0</v>
      </c>
      <c r="DI131" s="18">
        <v>0</v>
      </c>
      <c r="DJ131" s="18">
        <v>0</v>
      </c>
      <c r="DK131" s="18">
        <v>0</v>
      </c>
      <c r="DL131" s="18">
        <v>0</v>
      </c>
      <c r="DM131" s="18">
        <v>0</v>
      </c>
      <c r="DN131" s="18">
        <v>0</v>
      </c>
      <c r="DO131" s="18">
        <v>0</v>
      </c>
      <c r="DP131" s="18">
        <v>0</v>
      </c>
      <c r="DQ131" s="18">
        <v>0</v>
      </c>
      <c r="DR131" s="18">
        <v>0</v>
      </c>
      <c r="DS131" s="18">
        <v>0</v>
      </c>
      <c r="DT131" s="18">
        <v>0</v>
      </c>
      <c r="DU131" s="18">
        <v>0</v>
      </c>
      <c r="DV131" s="18">
        <v>0</v>
      </c>
      <c r="DW131" s="18">
        <v>0</v>
      </c>
      <c r="DX131" s="18">
        <v>0</v>
      </c>
      <c r="DY131" s="18">
        <v>0</v>
      </c>
      <c r="DZ131" s="18">
        <v>0</v>
      </c>
      <c r="EA131" s="18">
        <v>0</v>
      </c>
      <c r="EB131" s="18">
        <v>0</v>
      </c>
      <c r="EC131" s="18">
        <v>0</v>
      </c>
      <c r="ED131" s="18">
        <v>0</v>
      </c>
      <c r="EE131" s="18">
        <v>0</v>
      </c>
      <c r="EF131" s="18">
        <v>0</v>
      </c>
    </row>
    <row r="132" ht="32" customHeight="1" spans="1:136" x14ac:dyDescent="0.25">
      <c r="A132" s="4" t="s">
        <v>7</v>
      </c>
      <c r="B132" s="4" t="s">
        <v>38</v>
      </c>
      <c r="C132" s="4" t="s">
        <v>383</v>
      </c>
      <c r="D132" s="12" t="s">
        <v>384</v>
      </c>
      <c r="E132" s="8">
        <f>SUM(G132:EF132)</f>
      </c>
      <c r="F132" s="8">
        <f>IF(E132&gt;0,1,0)</f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  <c r="AS132" s="14">
        <v>0</v>
      </c>
      <c r="AT132" s="14">
        <v>0</v>
      </c>
      <c r="AU132" s="14">
        <v>0</v>
      </c>
      <c r="AV132" s="14">
        <v>0</v>
      </c>
      <c r="AW132" s="14">
        <v>0</v>
      </c>
      <c r="AX132" s="14">
        <v>0</v>
      </c>
      <c r="AY132" s="14">
        <v>0</v>
      </c>
      <c r="AZ132" s="14">
        <v>0</v>
      </c>
      <c r="BA132" s="14">
        <v>0</v>
      </c>
      <c r="BB132" s="14">
        <v>0</v>
      </c>
      <c r="BC132" s="14">
        <v>0</v>
      </c>
      <c r="BD132" s="14">
        <v>0</v>
      </c>
      <c r="BE132" s="14">
        <v>0</v>
      </c>
      <c r="BF132" s="14">
        <v>0</v>
      </c>
      <c r="BG132" s="14">
        <v>0</v>
      </c>
      <c r="BH132" s="14">
        <v>0</v>
      </c>
      <c r="BI132" s="14">
        <v>0</v>
      </c>
      <c r="BJ132" s="14">
        <v>0</v>
      </c>
      <c r="BK132" s="14">
        <v>0</v>
      </c>
      <c r="BL132" s="14">
        <v>0</v>
      </c>
      <c r="BM132" s="14">
        <v>0</v>
      </c>
      <c r="BN132" s="14">
        <v>0</v>
      </c>
      <c r="BO132" s="14">
        <v>0</v>
      </c>
      <c r="BP132" s="14">
        <v>0</v>
      </c>
      <c r="BQ132" s="14">
        <v>0</v>
      </c>
      <c r="BR132" s="14">
        <v>0</v>
      </c>
      <c r="BS132" s="14">
        <v>0</v>
      </c>
      <c r="BT132" s="14">
        <v>0</v>
      </c>
      <c r="BU132" s="14">
        <v>0</v>
      </c>
      <c r="BV132" s="14">
        <v>0</v>
      </c>
      <c r="BW132" s="14">
        <v>0</v>
      </c>
      <c r="BX132" s="14">
        <v>0</v>
      </c>
      <c r="BY132" s="14">
        <v>0</v>
      </c>
      <c r="BZ132" s="14">
        <v>0</v>
      </c>
      <c r="CA132" s="14">
        <v>0</v>
      </c>
      <c r="CB132" s="14">
        <v>0</v>
      </c>
      <c r="CC132" s="14">
        <v>0</v>
      </c>
      <c r="CD132" s="14">
        <v>0</v>
      </c>
      <c r="CE132" s="14">
        <v>0</v>
      </c>
      <c r="CF132" s="14">
        <v>0</v>
      </c>
      <c r="CG132" s="14">
        <v>0</v>
      </c>
      <c r="CH132" s="14">
        <v>0</v>
      </c>
      <c r="CI132" s="14">
        <v>0</v>
      </c>
      <c r="CJ132" s="14">
        <v>0</v>
      </c>
      <c r="CK132" s="14">
        <v>0</v>
      </c>
      <c r="CL132" s="14">
        <v>0</v>
      </c>
      <c r="CM132" s="14">
        <v>0</v>
      </c>
      <c r="CN132" s="14">
        <v>0</v>
      </c>
      <c r="CO132" s="14">
        <v>0</v>
      </c>
      <c r="CP132" s="14">
        <v>0</v>
      </c>
      <c r="CQ132" s="14">
        <v>0</v>
      </c>
      <c r="CR132" s="14">
        <v>0</v>
      </c>
      <c r="CS132" s="14">
        <v>0</v>
      </c>
      <c r="CT132" s="14">
        <v>0</v>
      </c>
      <c r="CU132" s="14">
        <v>0</v>
      </c>
      <c r="CV132" s="14">
        <v>0</v>
      </c>
      <c r="CW132" s="14">
        <v>0</v>
      </c>
      <c r="CX132" s="14">
        <v>0</v>
      </c>
      <c r="CY132" s="14">
        <v>0</v>
      </c>
      <c r="CZ132" s="14">
        <v>0</v>
      </c>
      <c r="DA132" s="14">
        <v>0</v>
      </c>
      <c r="DB132" s="14">
        <v>0</v>
      </c>
      <c r="DC132" s="14">
        <v>0</v>
      </c>
      <c r="DD132" s="14">
        <v>0</v>
      </c>
      <c r="DE132" s="14">
        <v>0</v>
      </c>
      <c r="DF132" s="13">
        <v>1</v>
      </c>
      <c r="DG132" s="14">
        <v>0</v>
      </c>
      <c r="DH132" s="14">
        <v>0</v>
      </c>
      <c r="DI132" s="14">
        <v>0</v>
      </c>
      <c r="DJ132" s="14">
        <v>0</v>
      </c>
      <c r="DK132" s="14">
        <v>0</v>
      </c>
      <c r="DL132" s="14">
        <v>0</v>
      </c>
      <c r="DM132" s="14">
        <v>0</v>
      </c>
      <c r="DN132" s="14">
        <v>0</v>
      </c>
      <c r="DO132" s="14">
        <v>0</v>
      </c>
      <c r="DP132" s="14">
        <v>0</v>
      </c>
      <c r="DQ132" s="14">
        <v>0</v>
      </c>
      <c r="DR132" s="14">
        <v>0</v>
      </c>
      <c r="DS132" s="14">
        <v>0</v>
      </c>
      <c r="DT132" s="14">
        <v>0</v>
      </c>
      <c r="DU132" s="14">
        <v>0</v>
      </c>
      <c r="DV132" s="14">
        <v>0</v>
      </c>
      <c r="DW132" s="14">
        <v>0</v>
      </c>
      <c r="DX132" s="14">
        <v>0</v>
      </c>
      <c r="DY132" s="14">
        <v>0</v>
      </c>
      <c r="DZ132" s="14">
        <v>0</v>
      </c>
      <c r="EA132" s="14">
        <v>0</v>
      </c>
      <c r="EB132" s="14">
        <v>0</v>
      </c>
      <c r="EC132" s="14">
        <v>0</v>
      </c>
      <c r="ED132" s="14">
        <v>0</v>
      </c>
      <c r="EE132" s="14">
        <v>0</v>
      </c>
      <c r="EF132" s="14">
        <v>0</v>
      </c>
    </row>
    <row r="133" ht="32" customHeight="1" spans="1:136" x14ac:dyDescent="0.25">
      <c r="A133" s="4" t="s">
        <v>7</v>
      </c>
      <c r="B133" s="4" t="s">
        <v>38</v>
      </c>
      <c r="C133" s="4" t="s">
        <v>385</v>
      </c>
      <c r="D133" s="12" t="s">
        <v>386</v>
      </c>
      <c r="E133" s="8">
        <f>SUM(G133:EF133)</f>
      </c>
      <c r="F133" s="8">
        <f>IF(E133&gt;0,1,0)</f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</v>
      </c>
      <c r="AU133" s="14">
        <v>0</v>
      </c>
      <c r="AV133" s="14">
        <v>0</v>
      </c>
      <c r="AW133" s="14">
        <v>0</v>
      </c>
      <c r="AX133" s="14">
        <v>0</v>
      </c>
      <c r="AY133" s="14">
        <v>0</v>
      </c>
      <c r="AZ133" s="14">
        <v>0</v>
      </c>
      <c r="BA133" s="14">
        <v>0</v>
      </c>
      <c r="BB133" s="14">
        <v>0</v>
      </c>
      <c r="BC133" s="14">
        <v>0</v>
      </c>
      <c r="BD133" s="14">
        <v>0</v>
      </c>
      <c r="BE133" s="14">
        <v>0</v>
      </c>
      <c r="BF133" s="14">
        <v>0</v>
      </c>
      <c r="BG133" s="14">
        <v>0</v>
      </c>
      <c r="BH133" s="14">
        <v>0</v>
      </c>
      <c r="BI133" s="14">
        <v>0</v>
      </c>
      <c r="BJ133" s="14">
        <v>0</v>
      </c>
      <c r="BK133" s="14">
        <v>0</v>
      </c>
      <c r="BL133" s="14">
        <v>0</v>
      </c>
      <c r="BM133" s="14">
        <v>0</v>
      </c>
      <c r="BN133" s="14">
        <v>0</v>
      </c>
      <c r="BO133" s="14">
        <v>0</v>
      </c>
      <c r="BP133" s="14">
        <v>0</v>
      </c>
      <c r="BQ133" s="14">
        <v>0</v>
      </c>
      <c r="BR133" s="14">
        <v>0</v>
      </c>
      <c r="BS133" s="14">
        <v>0</v>
      </c>
      <c r="BT133" s="14">
        <v>0</v>
      </c>
      <c r="BU133" s="14">
        <v>0</v>
      </c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4">
        <v>0</v>
      </c>
      <c r="CH133" s="14">
        <v>0</v>
      </c>
      <c r="CI133" s="14">
        <v>0</v>
      </c>
      <c r="CJ133" s="14">
        <v>0</v>
      </c>
      <c r="CK133" s="14">
        <v>0</v>
      </c>
      <c r="CL133" s="14">
        <v>0</v>
      </c>
      <c r="CM133" s="14">
        <v>0</v>
      </c>
      <c r="CN133" s="14">
        <v>0</v>
      </c>
      <c r="CO133" s="14">
        <v>0</v>
      </c>
      <c r="CP133" s="14">
        <v>0</v>
      </c>
      <c r="CQ133" s="14">
        <v>0</v>
      </c>
      <c r="CR133" s="14">
        <v>0</v>
      </c>
      <c r="CS133" s="14">
        <v>0</v>
      </c>
      <c r="CT133" s="14">
        <v>0</v>
      </c>
      <c r="CU133" s="14">
        <v>0</v>
      </c>
      <c r="CV133" s="14">
        <v>0</v>
      </c>
      <c r="CW133" s="14">
        <v>0</v>
      </c>
      <c r="CX133" s="14">
        <v>0</v>
      </c>
      <c r="CY133" s="14">
        <v>0</v>
      </c>
      <c r="CZ133" s="14">
        <v>0</v>
      </c>
      <c r="DA133" s="14">
        <v>0</v>
      </c>
      <c r="DB133" s="14">
        <v>0</v>
      </c>
      <c r="DC133" s="14">
        <v>0</v>
      </c>
      <c r="DD133" s="14">
        <v>0</v>
      </c>
      <c r="DE133" s="14">
        <v>0</v>
      </c>
      <c r="DF133" s="14">
        <v>0</v>
      </c>
      <c r="DG133" s="13">
        <v>1</v>
      </c>
      <c r="DH133" s="14">
        <v>0</v>
      </c>
      <c r="DI133" s="14">
        <v>0</v>
      </c>
      <c r="DJ133" s="14">
        <v>0</v>
      </c>
      <c r="DK133" s="14">
        <v>0</v>
      </c>
      <c r="DL133" s="14">
        <v>0</v>
      </c>
      <c r="DM133" s="14">
        <v>0</v>
      </c>
      <c r="DN133" s="14">
        <v>0</v>
      </c>
      <c r="DO133" s="14">
        <v>0</v>
      </c>
      <c r="DP133" s="14">
        <v>0</v>
      </c>
      <c r="DQ133" s="14">
        <v>0</v>
      </c>
      <c r="DR133" s="14">
        <v>0</v>
      </c>
      <c r="DS133" s="14">
        <v>0</v>
      </c>
      <c r="DT133" s="14">
        <v>0</v>
      </c>
      <c r="DU133" s="14">
        <v>0</v>
      </c>
      <c r="DV133" s="14">
        <v>0</v>
      </c>
      <c r="DW133" s="14">
        <v>0</v>
      </c>
      <c r="DX133" s="14">
        <v>0</v>
      </c>
      <c r="DY133" s="14">
        <v>0</v>
      </c>
      <c r="DZ133" s="14">
        <v>0</v>
      </c>
      <c r="EA133" s="14">
        <v>0</v>
      </c>
      <c r="EB133" s="14">
        <v>0</v>
      </c>
      <c r="EC133" s="14">
        <v>0</v>
      </c>
      <c r="ED133" s="14">
        <v>0</v>
      </c>
      <c r="EE133" s="14">
        <v>0</v>
      </c>
      <c r="EF133" s="14">
        <v>0</v>
      </c>
    </row>
    <row r="134" ht="32" customHeight="1" spans="1:136" x14ac:dyDescent="0.25">
      <c r="A134" s="4" t="s">
        <v>7</v>
      </c>
      <c r="B134" s="4" t="s">
        <v>38</v>
      </c>
      <c r="C134" s="4" t="s">
        <v>387</v>
      </c>
      <c r="D134" s="12" t="s">
        <v>388</v>
      </c>
      <c r="E134" s="8">
        <f>SUM(G134:EF134)</f>
      </c>
      <c r="F134" s="8">
        <f>IF(E134&gt;0,1,0)</f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4">
        <v>0</v>
      </c>
      <c r="AT134" s="14">
        <v>0</v>
      </c>
      <c r="AU134" s="14">
        <v>0</v>
      </c>
      <c r="AV134" s="14">
        <v>0</v>
      </c>
      <c r="AW134" s="14">
        <v>0</v>
      </c>
      <c r="AX134" s="14">
        <v>0</v>
      </c>
      <c r="AY134" s="14">
        <v>0</v>
      </c>
      <c r="AZ134" s="14">
        <v>0</v>
      </c>
      <c r="BA134" s="14">
        <v>0</v>
      </c>
      <c r="BB134" s="14">
        <v>0</v>
      </c>
      <c r="BC134" s="14">
        <v>0</v>
      </c>
      <c r="BD134" s="14">
        <v>0</v>
      </c>
      <c r="BE134" s="14">
        <v>0</v>
      </c>
      <c r="BF134" s="14">
        <v>0</v>
      </c>
      <c r="BG134" s="14">
        <v>0</v>
      </c>
      <c r="BH134" s="14">
        <v>0</v>
      </c>
      <c r="BI134" s="14">
        <v>0</v>
      </c>
      <c r="BJ134" s="14">
        <v>0</v>
      </c>
      <c r="BK134" s="14">
        <v>0</v>
      </c>
      <c r="BL134" s="14">
        <v>0</v>
      </c>
      <c r="BM134" s="14">
        <v>0</v>
      </c>
      <c r="BN134" s="14">
        <v>0</v>
      </c>
      <c r="BO134" s="14">
        <v>0</v>
      </c>
      <c r="BP134" s="14">
        <v>0</v>
      </c>
      <c r="BQ134" s="14">
        <v>0</v>
      </c>
      <c r="BR134" s="14">
        <v>0</v>
      </c>
      <c r="BS134" s="14">
        <v>0</v>
      </c>
      <c r="BT134" s="14">
        <v>0</v>
      </c>
      <c r="BU134" s="14">
        <v>0</v>
      </c>
      <c r="BV134" s="14">
        <v>0</v>
      </c>
      <c r="BW134" s="14">
        <v>0</v>
      </c>
      <c r="BX134" s="14">
        <v>0</v>
      </c>
      <c r="BY134" s="14">
        <v>0</v>
      </c>
      <c r="BZ134" s="14">
        <v>0</v>
      </c>
      <c r="CA134" s="14">
        <v>0</v>
      </c>
      <c r="CB134" s="14">
        <v>0</v>
      </c>
      <c r="CC134" s="14">
        <v>0</v>
      </c>
      <c r="CD134" s="14">
        <v>0</v>
      </c>
      <c r="CE134" s="14">
        <v>0</v>
      </c>
      <c r="CF134" s="14">
        <v>0</v>
      </c>
      <c r="CG134" s="14">
        <v>0</v>
      </c>
      <c r="CH134" s="14">
        <v>0</v>
      </c>
      <c r="CI134" s="14">
        <v>0</v>
      </c>
      <c r="CJ134" s="14">
        <v>0</v>
      </c>
      <c r="CK134" s="14">
        <v>0</v>
      </c>
      <c r="CL134" s="14">
        <v>0</v>
      </c>
      <c r="CM134" s="14">
        <v>0</v>
      </c>
      <c r="CN134" s="14">
        <v>0</v>
      </c>
      <c r="CO134" s="14">
        <v>0</v>
      </c>
      <c r="CP134" s="14">
        <v>0</v>
      </c>
      <c r="CQ134" s="14">
        <v>0</v>
      </c>
      <c r="CR134" s="14">
        <v>0</v>
      </c>
      <c r="CS134" s="14">
        <v>0</v>
      </c>
      <c r="CT134" s="14">
        <v>0</v>
      </c>
      <c r="CU134" s="14">
        <v>0</v>
      </c>
      <c r="CV134" s="14">
        <v>0</v>
      </c>
      <c r="CW134" s="14">
        <v>0</v>
      </c>
      <c r="CX134" s="14">
        <v>0</v>
      </c>
      <c r="CY134" s="14">
        <v>0</v>
      </c>
      <c r="CZ134" s="14">
        <v>0</v>
      </c>
      <c r="DA134" s="14">
        <v>0</v>
      </c>
      <c r="DB134" s="14">
        <v>0</v>
      </c>
      <c r="DC134" s="14">
        <v>0</v>
      </c>
      <c r="DD134" s="14">
        <v>0</v>
      </c>
      <c r="DE134" s="14">
        <v>0</v>
      </c>
      <c r="DF134" s="14">
        <v>0</v>
      </c>
      <c r="DG134" s="14">
        <v>0</v>
      </c>
      <c r="DH134" s="13">
        <v>1</v>
      </c>
      <c r="DI134" s="14">
        <v>0</v>
      </c>
      <c r="DJ134" s="14">
        <v>0</v>
      </c>
      <c r="DK134" s="14">
        <v>0</v>
      </c>
      <c r="DL134" s="14">
        <v>0</v>
      </c>
      <c r="DM134" s="14">
        <v>0</v>
      </c>
      <c r="DN134" s="14">
        <v>0</v>
      </c>
      <c r="DO134" s="14">
        <v>0</v>
      </c>
      <c r="DP134" s="14">
        <v>0</v>
      </c>
      <c r="DQ134" s="14">
        <v>0</v>
      </c>
      <c r="DR134" s="14">
        <v>0</v>
      </c>
      <c r="DS134" s="14">
        <v>0</v>
      </c>
      <c r="DT134" s="14">
        <v>0</v>
      </c>
      <c r="DU134" s="14">
        <v>0</v>
      </c>
      <c r="DV134" s="14">
        <v>0</v>
      </c>
      <c r="DW134" s="14">
        <v>0</v>
      </c>
      <c r="DX134" s="14">
        <v>0</v>
      </c>
      <c r="DY134" s="14">
        <v>0</v>
      </c>
      <c r="DZ134" s="14">
        <v>0</v>
      </c>
      <c r="EA134" s="14">
        <v>0</v>
      </c>
      <c r="EB134" s="14">
        <v>0</v>
      </c>
      <c r="EC134" s="14">
        <v>0</v>
      </c>
      <c r="ED134" s="14">
        <v>0</v>
      </c>
      <c r="EE134" s="14">
        <v>0</v>
      </c>
      <c r="EF134" s="14">
        <v>0</v>
      </c>
    </row>
    <row r="135" ht="32" customHeight="1" spans="1:136" x14ac:dyDescent="0.25">
      <c r="A135" s="4" t="s">
        <v>7</v>
      </c>
      <c r="B135" s="4" t="s">
        <v>38</v>
      </c>
      <c r="C135" s="4" t="s">
        <v>389</v>
      </c>
      <c r="D135" s="12" t="s">
        <v>390</v>
      </c>
      <c r="E135" s="8">
        <f>SUM(G135:EF135)</f>
      </c>
      <c r="F135" s="8">
        <f>IF(E135&gt;0,1,0)</f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  <c r="AS135" s="14">
        <v>0</v>
      </c>
      <c r="AT135" s="14">
        <v>0</v>
      </c>
      <c r="AU135" s="14">
        <v>0</v>
      </c>
      <c r="AV135" s="14">
        <v>0</v>
      </c>
      <c r="AW135" s="14">
        <v>0</v>
      </c>
      <c r="AX135" s="14">
        <v>0</v>
      </c>
      <c r="AY135" s="14">
        <v>0</v>
      </c>
      <c r="AZ135" s="14">
        <v>0</v>
      </c>
      <c r="BA135" s="14">
        <v>0</v>
      </c>
      <c r="BB135" s="14">
        <v>0</v>
      </c>
      <c r="BC135" s="14">
        <v>0</v>
      </c>
      <c r="BD135" s="14">
        <v>0</v>
      </c>
      <c r="BE135" s="14">
        <v>0</v>
      </c>
      <c r="BF135" s="14">
        <v>0</v>
      </c>
      <c r="BG135" s="14">
        <v>0</v>
      </c>
      <c r="BH135" s="14">
        <v>0</v>
      </c>
      <c r="BI135" s="14">
        <v>0</v>
      </c>
      <c r="BJ135" s="14">
        <v>0</v>
      </c>
      <c r="BK135" s="14">
        <v>0</v>
      </c>
      <c r="BL135" s="14">
        <v>0</v>
      </c>
      <c r="BM135" s="14">
        <v>0</v>
      </c>
      <c r="BN135" s="14">
        <v>0</v>
      </c>
      <c r="BO135" s="14">
        <v>0</v>
      </c>
      <c r="BP135" s="14">
        <v>0</v>
      </c>
      <c r="BQ135" s="14">
        <v>0</v>
      </c>
      <c r="BR135" s="14">
        <v>0</v>
      </c>
      <c r="BS135" s="14">
        <v>0</v>
      </c>
      <c r="BT135" s="14">
        <v>0</v>
      </c>
      <c r="BU135" s="14">
        <v>0</v>
      </c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4">
        <v>0</v>
      </c>
      <c r="CH135" s="14">
        <v>0</v>
      </c>
      <c r="CI135" s="14">
        <v>0</v>
      </c>
      <c r="CJ135" s="14">
        <v>0</v>
      </c>
      <c r="CK135" s="14">
        <v>0</v>
      </c>
      <c r="CL135" s="14">
        <v>0</v>
      </c>
      <c r="CM135" s="14">
        <v>0</v>
      </c>
      <c r="CN135" s="14">
        <v>0</v>
      </c>
      <c r="CO135" s="14">
        <v>0</v>
      </c>
      <c r="CP135" s="14">
        <v>0</v>
      </c>
      <c r="CQ135" s="14">
        <v>0</v>
      </c>
      <c r="CR135" s="14">
        <v>0</v>
      </c>
      <c r="CS135" s="14">
        <v>0</v>
      </c>
      <c r="CT135" s="14">
        <v>0</v>
      </c>
      <c r="CU135" s="14">
        <v>0</v>
      </c>
      <c r="CV135" s="14">
        <v>0</v>
      </c>
      <c r="CW135" s="14">
        <v>0</v>
      </c>
      <c r="CX135" s="14">
        <v>0</v>
      </c>
      <c r="CY135" s="14">
        <v>0</v>
      </c>
      <c r="CZ135" s="14">
        <v>0</v>
      </c>
      <c r="DA135" s="14">
        <v>0</v>
      </c>
      <c r="DB135" s="14">
        <v>0</v>
      </c>
      <c r="DC135" s="14">
        <v>0</v>
      </c>
      <c r="DD135" s="14">
        <v>0</v>
      </c>
      <c r="DE135" s="14">
        <v>0</v>
      </c>
      <c r="DF135" s="14">
        <v>0</v>
      </c>
      <c r="DG135" s="14">
        <v>0</v>
      </c>
      <c r="DH135" s="14">
        <v>0</v>
      </c>
      <c r="DI135" s="13">
        <v>1</v>
      </c>
      <c r="DJ135" s="14">
        <v>0</v>
      </c>
      <c r="DK135" s="14">
        <v>0</v>
      </c>
      <c r="DL135" s="14">
        <v>0</v>
      </c>
      <c r="DM135" s="14">
        <v>0</v>
      </c>
      <c r="DN135" s="14">
        <v>0</v>
      </c>
      <c r="DO135" s="14">
        <v>0</v>
      </c>
      <c r="DP135" s="14">
        <v>0</v>
      </c>
      <c r="DQ135" s="14">
        <v>0</v>
      </c>
      <c r="DR135" s="14">
        <v>0</v>
      </c>
      <c r="DS135" s="14">
        <v>0</v>
      </c>
      <c r="DT135" s="14">
        <v>0</v>
      </c>
      <c r="DU135" s="14">
        <v>0</v>
      </c>
      <c r="DV135" s="14">
        <v>0</v>
      </c>
      <c r="DW135" s="14">
        <v>0</v>
      </c>
      <c r="DX135" s="14">
        <v>0</v>
      </c>
      <c r="DY135" s="14">
        <v>0</v>
      </c>
      <c r="DZ135" s="14">
        <v>0</v>
      </c>
      <c r="EA135" s="14">
        <v>0</v>
      </c>
      <c r="EB135" s="14">
        <v>0</v>
      </c>
      <c r="EC135" s="14">
        <v>0</v>
      </c>
      <c r="ED135" s="14">
        <v>0</v>
      </c>
      <c r="EE135" s="14">
        <v>0</v>
      </c>
      <c r="EF135" s="14">
        <v>0</v>
      </c>
    </row>
    <row r="136" ht="32" customHeight="1" spans="1:136" x14ac:dyDescent="0.25">
      <c r="A136" s="4" t="s">
        <v>7</v>
      </c>
      <c r="B136" s="4" t="s">
        <v>38</v>
      </c>
      <c r="C136" s="4" t="s">
        <v>391</v>
      </c>
      <c r="D136" s="12" t="s">
        <v>392</v>
      </c>
      <c r="E136" s="8">
        <f>SUM(G136:EF136)</f>
      </c>
      <c r="F136" s="8">
        <f>IF(E136&gt;0,1,0)</f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4">
        <v>0</v>
      </c>
      <c r="AT136" s="14">
        <v>0</v>
      </c>
      <c r="AU136" s="14">
        <v>0</v>
      </c>
      <c r="AV136" s="14">
        <v>0</v>
      </c>
      <c r="AW136" s="14">
        <v>0</v>
      </c>
      <c r="AX136" s="14">
        <v>0</v>
      </c>
      <c r="AY136" s="14">
        <v>0</v>
      </c>
      <c r="AZ136" s="14">
        <v>0</v>
      </c>
      <c r="BA136" s="14">
        <v>0</v>
      </c>
      <c r="BB136" s="14">
        <v>0</v>
      </c>
      <c r="BC136" s="14">
        <v>0</v>
      </c>
      <c r="BD136" s="14">
        <v>0</v>
      </c>
      <c r="BE136" s="14">
        <v>0</v>
      </c>
      <c r="BF136" s="14">
        <v>0</v>
      </c>
      <c r="BG136" s="14">
        <v>0</v>
      </c>
      <c r="BH136" s="14">
        <v>0</v>
      </c>
      <c r="BI136" s="14">
        <v>0</v>
      </c>
      <c r="BJ136" s="14">
        <v>0</v>
      </c>
      <c r="BK136" s="14">
        <v>0</v>
      </c>
      <c r="BL136" s="14">
        <v>0</v>
      </c>
      <c r="BM136" s="14">
        <v>0</v>
      </c>
      <c r="BN136" s="14">
        <v>0</v>
      </c>
      <c r="BO136" s="14">
        <v>0</v>
      </c>
      <c r="BP136" s="14">
        <v>0</v>
      </c>
      <c r="BQ136" s="14">
        <v>0</v>
      </c>
      <c r="BR136" s="14">
        <v>0</v>
      </c>
      <c r="BS136" s="14">
        <v>0</v>
      </c>
      <c r="BT136" s="14">
        <v>0</v>
      </c>
      <c r="BU136" s="14">
        <v>0</v>
      </c>
      <c r="BV136" s="14">
        <v>0</v>
      </c>
      <c r="BW136" s="14">
        <v>0</v>
      </c>
      <c r="BX136" s="14">
        <v>0</v>
      </c>
      <c r="BY136" s="14">
        <v>0</v>
      </c>
      <c r="BZ136" s="14">
        <v>0</v>
      </c>
      <c r="CA136" s="14">
        <v>0</v>
      </c>
      <c r="CB136" s="14">
        <v>0</v>
      </c>
      <c r="CC136" s="14">
        <v>0</v>
      </c>
      <c r="CD136" s="14">
        <v>0</v>
      </c>
      <c r="CE136" s="14">
        <v>0</v>
      </c>
      <c r="CF136" s="14">
        <v>0</v>
      </c>
      <c r="CG136" s="14">
        <v>0</v>
      </c>
      <c r="CH136" s="14">
        <v>0</v>
      </c>
      <c r="CI136" s="14">
        <v>0</v>
      </c>
      <c r="CJ136" s="14">
        <v>0</v>
      </c>
      <c r="CK136" s="14">
        <v>0</v>
      </c>
      <c r="CL136" s="14">
        <v>0</v>
      </c>
      <c r="CM136" s="14">
        <v>0</v>
      </c>
      <c r="CN136" s="14">
        <v>0</v>
      </c>
      <c r="CO136" s="14">
        <v>0</v>
      </c>
      <c r="CP136" s="14">
        <v>0</v>
      </c>
      <c r="CQ136" s="14">
        <v>0</v>
      </c>
      <c r="CR136" s="14">
        <v>0</v>
      </c>
      <c r="CS136" s="14">
        <v>0</v>
      </c>
      <c r="CT136" s="14">
        <v>0</v>
      </c>
      <c r="CU136" s="14">
        <v>0</v>
      </c>
      <c r="CV136" s="14">
        <v>0</v>
      </c>
      <c r="CW136" s="14">
        <v>0</v>
      </c>
      <c r="CX136" s="14">
        <v>0</v>
      </c>
      <c r="CY136" s="14">
        <v>0</v>
      </c>
      <c r="CZ136" s="14">
        <v>0</v>
      </c>
      <c r="DA136" s="14">
        <v>0</v>
      </c>
      <c r="DB136" s="14">
        <v>0</v>
      </c>
      <c r="DC136" s="14">
        <v>0</v>
      </c>
      <c r="DD136" s="14">
        <v>0</v>
      </c>
      <c r="DE136" s="14">
        <v>0</v>
      </c>
      <c r="DF136" s="14">
        <v>0</v>
      </c>
      <c r="DG136" s="14">
        <v>0</v>
      </c>
      <c r="DH136" s="14">
        <v>0</v>
      </c>
      <c r="DI136" s="14">
        <v>0</v>
      </c>
      <c r="DJ136" s="13">
        <v>1</v>
      </c>
      <c r="DK136" s="14">
        <v>0</v>
      </c>
      <c r="DL136" s="14">
        <v>0</v>
      </c>
      <c r="DM136" s="14">
        <v>0</v>
      </c>
      <c r="DN136" s="14">
        <v>0</v>
      </c>
      <c r="DO136" s="14">
        <v>0</v>
      </c>
      <c r="DP136" s="14">
        <v>0</v>
      </c>
      <c r="DQ136" s="14">
        <v>0</v>
      </c>
      <c r="DR136" s="14">
        <v>0</v>
      </c>
      <c r="DS136" s="14">
        <v>0</v>
      </c>
      <c r="DT136" s="14">
        <v>0</v>
      </c>
      <c r="DU136" s="14">
        <v>0</v>
      </c>
      <c r="DV136" s="14">
        <v>0</v>
      </c>
      <c r="DW136" s="14">
        <v>0</v>
      </c>
      <c r="DX136" s="14">
        <v>0</v>
      </c>
      <c r="DY136" s="14">
        <v>0</v>
      </c>
      <c r="DZ136" s="14">
        <v>0</v>
      </c>
      <c r="EA136" s="14">
        <v>0</v>
      </c>
      <c r="EB136" s="14">
        <v>0</v>
      </c>
      <c r="EC136" s="14">
        <v>0</v>
      </c>
      <c r="ED136" s="14">
        <v>0</v>
      </c>
      <c r="EE136" s="14">
        <v>0</v>
      </c>
      <c r="EF136" s="14">
        <v>0</v>
      </c>
    </row>
    <row r="137" ht="32" customHeight="1" spans="1:136" x14ac:dyDescent="0.25">
      <c r="A137" s="15" t="s">
        <v>7</v>
      </c>
      <c r="B137" s="15" t="s">
        <v>39</v>
      </c>
      <c r="C137" s="15" t="s">
        <v>393</v>
      </c>
      <c r="D137" s="16" t="s">
        <v>394</v>
      </c>
      <c r="E137" s="17">
        <f>SUM(G137:EF137)</f>
      </c>
      <c r="F137" s="17">
        <f>IF(E137&gt;0,1,0)</f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0</v>
      </c>
      <c r="BU137" s="18">
        <v>0</v>
      </c>
      <c r="BV137" s="18">
        <v>0</v>
      </c>
      <c r="BW137" s="18">
        <v>0</v>
      </c>
      <c r="BX137" s="18">
        <v>0</v>
      </c>
      <c r="BY137" s="18">
        <v>0</v>
      </c>
      <c r="BZ137" s="18">
        <v>0</v>
      </c>
      <c r="CA137" s="18">
        <v>0</v>
      </c>
      <c r="CB137" s="18">
        <v>0</v>
      </c>
      <c r="CC137" s="18">
        <v>0</v>
      </c>
      <c r="CD137" s="18">
        <v>0</v>
      </c>
      <c r="CE137" s="18">
        <v>0</v>
      </c>
      <c r="CF137" s="18">
        <v>0</v>
      </c>
      <c r="CG137" s="18">
        <v>0</v>
      </c>
      <c r="CH137" s="18">
        <v>0</v>
      </c>
      <c r="CI137" s="18">
        <v>0</v>
      </c>
      <c r="CJ137" s="18">
        <v>0</v>
      </c>
      <c r="CK137" s="18">
        <v>0</v>
      </c>
      <c r="CL137" s="18">
        <v>0</v>
      </c>
      <c r="CM137" s="18">
        <v>0</v>
      </c>
      <c r="CN137" s="18">
        <v>0</v>
      </c>
      <c r="CO137" s="18">
        <v>0</v>
      </c>
      <c r="CP137" s="18">
        <v>0</v>
      </c>
      <c r="CQ137" s="18">
        <v>0</v>
      </c>
      <c r="CR137" s="18">
        <v>0</v>
      </c>
      <c r="CS137" s="18">
        <v>0</v>
      </c>
      <c r="CT137" s="18">
        <v>0</v>
      </c>
      <c r="CU137" s="18">
        <v>0</v>
      </c>
      <c r="CV137" s="18">
        <v>0</v>
      </c>
      <c r="CW137" s="18">
        <v>0</v>
      </c>
      <c r="CX137" s="18">
        <v>0</v>
      </c>
      <c r="CY137" s="18">
        <v>0</v>
      </c>
      <c r="CZ137" s="18">
        <v>0</v>
      </c>
      <c r="DA137" s="18">
        <v>0</v>
      </c>
      <c r="DB137" s="18">
        <v>0</v>
      </c>
      <c r="DC137" s="18">
        <v>0</v>
      </c>
      <c r="DD137" s="18">
        <v>0</v>
      </c>
      <c r="DE137" s="18">
        <v>0</v>
      </c>
      <c r="DF137" s="18">
        <v>0</v>
      </c>
      <c r="DG137" s="18">
        <v>0</v>
      </c>
      <c r="DH137" s="18">
        <v>0</v>
      </c>
      <c r="DI137" s="18">
        <v>0</v>
      </c>
      <c r="DJ137" s="18">
        <v>0</v>
      </c>
      <c r="DK137" s="19">
        <v>1</v>
      </c>
      <c r="DL137" s="18">
        <v>0</v>
      </c>
      <c r="DM137" s="18">
        <v>0</v>
      </c>
      <c r="DN137" s="18">
        <v>0</v>
      </c>
      <c r="DO137" s="18">
        <v>0</v>
      </c>
      <c r="DP137" s="18">
        <v>0</v>
      </c>
      <c r="DQ137" s="18">
        <v>0</v>
      </c>
      <c r="DR137" s="18">
        <v>0</v>
      </c>
      <c r="DS137" s="18">
        <v>0</v>
      </c>
      <c r="DT137" s="18">
        <v>0</v>
      </c>
      <c r="DU137" s="18">
        <v>0</v>
      </c>
      <c r="DV137" s="18">
        <v>0</v>
      </c>
      <c r="DW137" s="18">
        <v>0</v>
      </c>
      <c r="DX137" s="18">
        <v>0</v>
      </c>
      <c r="DY137" s="18">
        <v>0</v>
      </c>
      <c r="DZ137" s="18">
        <v>0</v>
      </c>
      <c r="EA137" s="18">
        <v>0</v>
      </c>
      <c r="EB137" s="18">
        <v>0</v>
      </c>
      <c r="EC137" s="18">
        <v>0</v>
      </c>
      <c r="ED137" s="18">
        <v>0</v>
      </c>
      <c r="EE137" s="18">
        <v>0</v>
      </c>
      <c r="EF137" s="18">
        <v>0</v>
      </c>
    </row>
    <row r="138" ht="32" customHeight="1" spans="1:136" x14ac:dyDescent="0.25">
      <c r="A138" s="4" t="s">
        <v>7</v>
      </c>
      <c r="B138" s="4" t="s">
        <v>39</v>
      </c>
      <c r="C138" s="4" t="s">
        <v>395</v>
      </c>
      <c r="D138" s="12" t="s">
        <v>396</v>
      </c>
      <c r="E138" s="8">
        <f>SUM(G138:EF138)</f>
      </c>
      <c r="F138" s="8">
        <f>IF(E138&gt;0,1,0)</f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4">
        <v>0</v>
      </c>
      <c r="AT138" s="14">
        <v>0</v>
      </c>
      <c r="AU138" s="14">
        <v>0</v>
      </c>
      <c r="AV138" s="14">
        <v>0</v>
      </c>
      <c r="AW138" s="14">
        <v>0</v>
      </c>
      <c r="AX138" s="14">
        <v>0</v>
      </c>
      <c r="AY138" s="14">
        <v>0</v>
      </c>
      <c r="AZ138" s="14">
        <v>0</v>
      </c>
      <c r="BA138" s="14">
        <v>0</v>
      </c>
      <c r="BB138" s="14">
        <v>0</v>
      </c>
      <c r="BC138" s="14">
        <v>0</v>
      </c>
      <c r="BD138" s="14">
        <v>0</v>
      </c>
      <c r="BE138" s="14">
        <v>0</v>
      </c>
      <c r="BF138" s="14">
        <v>0</v>
      </c>
      <c r="BG138" s="14">
        <v>0</v>
      </c>
      <c r="BH138" s="14">
        <v>0</v>
      </c>
      <c r="BI138" s="14">
        <v>0</v>
      </c>
      <c r="BJ138" s="14">
        <v>0</v>
      </c>
      <c r="BK138" s="14">
        <v>0</v>
      </c>
      <c r="BL138" s="14">
        <v>0</v>
      </c>
      <c r="BM138" s="14">
        <v>0</v>
      </c>
      <c r="BN138" s="14">
        <v>0</v>
      </c>
      <c r="BO138" s="14">
        <v>0</v>
      </c>
      <c r="BP138" s="14">
        <v>0</v>
      </c>
      <c r="BQ138" s="14">
        <v>0</v>
      </c>
      <c r="BR138" s="14">
        <v>0</v>
      </c>
      <c r="BS138" s="14">
        <v>0</v>
      </c>
      <c r="BT138" s="14">
        <v>0</v>
      </c>
      <c r="BU138" s="14">
        <v>0</v>
      </c>
      <c r="BV138" s="14">
        <v>0</v>
      </c>
      <c r="BW138" s="14">
        <v>0</v>
      </c>
      <c r="BX138" s="14">
        <v>0</v>
      </c>
      <c r="BY138" s="14">
        <v>0</v>
      </c>
      <c r="BZ138" s="14">
        <v>0</v>
      </c>
      <c r="CA138" s="14">
        <v>0</v>
      </c>
      <c r="CB138" s="14">
        <v>0</v>
      </c>
      <c r="CC138" s="14">
        <v>0</v>
      </c>
      <c r="CD138" s="14">
        <v>0</v>
      </c>
      <c r="CE138" s="14">
        <v>0</v>
      </c>
      <c r="CF138" s="14">
        <v>0</v>
      </c>
      <c r="CG138" s="14">
        <v>0</v>
      </c>
      <c r="CH138" s="14">
        <v>0</v>
      </c>
      <c r="CI138" s="14">
        <v>0</v>
      </c>
      <c r="CJ138" s="14">
        <v>0</v>
      </c>
      <c r="CK138" s="14">
        <v>0</v>
      </c>
      <c r="CL138" s="14">
        <v>0</v>
      </c>
      <c r="CM138" s="14">
        <v>0</v>
      </c>
      <c r="CN138" s="14">
        <v>0</v>
      </c>
      <c r="CO138" s="14">
        <v>0</v>
      </c>
      <c r="CP138" s="14">
        <v>0</v>
      </c>
      <c r="CQ138" s="14">
        <v>0</v>
      </c>
      <c r="CR138" s="14">
        <v>0</v>
      </c>
      <c r="CS138" s="14">
        <v>0</v>
      </c>
      <c r="CT138" s="14">
        <v>0</v>
      </c>
      <c r="CU138" s="14">
        <v>0</v>
      </c>
      <c r="CV138" s="14">
        <v>0</v>
      </c>
      <c r="CW138" s="14">
        <v>0</v>
      </c>
      <c r="CX138" s="14">
        <v>0</v>
      </c>
      <c r="CY138" s="14">
        <v>0</v>
      </c>
      <c r="CZ138" s="14">
        <v>0</v>
      </c>
      <c r="DA138" s="14">
        <v>0</v>
      </c>
      <c r="DB138" s="14">
        <v>0</v>
      </c>
      <c r="DC138" s="14">
        <v>0</v>
      </c>
      <c r="DD138" s="14">
        <v>0</v>
      </c>
      <c r="DE138" s="14">
        <v>0</v>
      </c>
      <c r="DF138" s="14">
        <v>0</v>
      </c>
      <c r="DG138" s="14">
        <v>0</v>
      </c>
      <c r="DH138" s="14">
        <v>0</v>
      </c>
      <c r="DI138" s="14">
        <v>0</v>
      </c>
      <c r="DJ138" s="14">
        <v>0</v>
      </c>
      <c r="DK138" s="14">
        <v>0</v>
      </c>
      <c r="DL138" s="13">
        <v>1</v>
      </c>
      <c r="DM138" s="14">
        <v>0</v>
      </c>
      <c r="DN138" s="14">
        <v>0</v>
      </c>
      <c r="DO138" s="14">
        <v>0</v>
      </c>
      <c r="DP138" s="14">
        <v>0</v>
      </c>
      <c r="DQ138" s="14">
        <v>0</v>
      </c>
      <c r="DR138" s="14">
        <v>0</v>
      </c>
      <c r="DS138" s="14">
        <v>0</v>
      </c>
      <c r="DT138" s="14">
        <v>0</v>
      </c>
      <c r="DU138" s="14">
        <v>0</v>
      </c>
      <c r="DV138" s="14">
        <v>0</v>
      </c>
      <c r="DW138" s="14">
        <v>0</v>
      </c>
      <c r="DX138" s="14">
        <v>0</v>
      </c>
      <c r="DY138" s="14">
        <v>0</v>
      </c>
      <c r="DZ138" s="14">
        <v>0</v>
      </c>
      <c r="EA138" s="14">
        <v>0</v>
      </c>
      <c r="EB138" s="14">
        <v>0</v>
      </c>
      <c r="EC138" s="14">
        <v>0</v>
      </c>
      <c r="ED138" s="14">
        <v>0</v>
      </c>
      <c r="EE138" s="14">
        <v>0</v>
      </c>
      <c r="EF138" s="14">
        <v>0</v>
      </c>
    </row>
    <row r="139" ht="32" customHeight="1" spans="1:136" x14ac:dyDescent="0.25">
      <c r="A139" s="4" t="s">
        <v>7</v>
      </c>
      <c r="B139" s="4" t="s">
        <v>39</v>
      </c>
      <c r="C139" s="4" t="s">
        <v>397</v>
      </c>
      <c r="D139" s="12" t="s">
        <v>398</v>
      </c>
      <c r="E139" s="8">
        <f>SUM(G139:EF139)</f>
      </c>
      <c r="F139" s="8">
        <f>IF(E139&gt;0,1,0)</f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  <c r="AS139" s="14">
        <v>0</v>
      </c>
      <c r="AT139" s="14">
        <v>0</v>
      </c>
      <c r="AU139" s="14">
        <v>0</v>
      </c>
      <c r="AV139" s="14">
        <v>0</v>
      </c>
      <c r="AW139" s="14">
        <v>0</v>
      </c>
      <c r="AX139" s="14">
        <v>0</v>
      </c>
      <c r="AY139" s="14">
        <v>0</v>
      </c>
      <c r="AZ139" s="14">
        <v>0</v>
      </c>
      <c r="BA139" s="14">
        <v>0</v>
      </c>
      <c r="BB139" s="14">
        <v>0</v>
      </c>
      <c r="BC139" s="14">
        <v>0</v>
      </c>
      <c r="BD139" s="14">
        <v>0</v>
      </c>
      <c r="BE139" s="14">
        <v>0</v>
      </c>
      <c r="BF139" s="14">
        <v>0</v>
      </c>
      <c r="BG139" s="14">
        <v>0</v>
      </c>
      <c r="BH139" s="14">
        <v>0</v>
      </c>
      <c r="BI139" s="14">
        <v>0</v>
      </c>
      <c r="BJ139" s="14">
        <v>0</v>
      </c>
      <c r="BK139" s="14">
        <v>0</v>
      </c>
      <c r="BL139" s="14">
        <v>0</v>
      </c>
      <c r="BM139" s="14">
        <v>0</v>
      </c>
      <c r="BN139" s="14">
        <v>0</v>
      </c>
      <c r="BO139" s="14">
        <v>0</v>
      </c>
      <c r="BP139" s="14">
        <v>0</v>
      </c>
      <c r="BQ139" s="14">
        <v>0</v>
      </c>
      <c r="BR139" s="14">
        <v>0</v>
      </c>
      <c r="BS139" s="14">
        <v>0</v>
      </c>
      <c r="BT139" s="14">
        <v>0</v>
      </c>
      <c r="BU139" s="14">
        <v>0</v>
      </c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4">
        <v>0</v>
      </c>
      <c r="CH139" s="14">
        <v>0</v>
      </c>
      <c r="CI139" s="14">
        <v>0</v>
      </c>
      <c r="CJ139" s="14">
        <v>0</v>
      </c>
      <c r="CK139" s="14">
        <v>0</v>
      </c>
      <c r="CL139" s="14">
        <v>0</v>
      </c>
      <c r="CM139" s="14">
        <v>0</v>
      </c>
      <c r="CN139" s="14">
        <v>0</v>
      </c>
      <c r="CO139" s="14">
        <v>0</v>
      </c>
      <c r="CP139" s="14">
        <v>0</v>
      </c>
      <c r="CQ139" s="14">
        <v>0</v>
      </c>
      <c r="CR139" s="14">
        <v>0</v>
      </c>
      <c r="CS139" s="14">
        <v>0</v>
      </c>
      <c r="CT139" s="14">
        <v>0</v>
      </c>
      <c r="CU139" s="14">
        <v>0</v>
      </c>
      <c r="CV139" s="14">
        <v>0</v>
      </c>
      <c r="CW139" s="14">
        <v>0</v>
      </c>
      <c r="CX139" s="14">
        <v>0</v>
      </c>
      <c r="CY139" s="14">
        <v>0</v>
      </c>
      <c r="CZ139" s="14">
        <v>0</v>
      </c>
      <c r="DA139" s="14">
        <v>0</v>
      </c>
      <c r="DB139" s="14">
        <v>0</v>
      </c>
      <c r="DC139" s="14">
        <v>0</v>
      </c>
      <c r="DD139" s="14">
        <v>0</v>
      </c>
      <c r="DE139" s="14">
        <v>0</v>
      </c>
      <c r="DF139" s="14">
        <v>0</v>
      </c>
      <c r="DG139" s="14">
        <v>0</v>
      </c>
      <c r="DH139" s="14">
        <v>0</v>
      </c>
      <c r="DI139" s="14">
        <v>0</v>
      </c>
      <c r="DJ139" s="14">
        <v>0</v>
      </c>
      <c r="DK139" s="14">
        <v>0</v>
      </c>
      <c r="DL139" s="14">
        <v>0</v>
      </c>
      <c r="DM139" s="13">
        <v>1</v>
      </c>
      <c r="DN139" s="14">
        <v>0</v>
      </c>
      <c r="DO139" s="14">
        <v>0</v>
      </c>
      <c r="DP139" s="14">
        <v>0</v>
      </c>
      <c r="DQ139" s="14">
        <v>0</v>
      </c>
      <c r="DR139" s="14">
        <v>0</v>
      </c>
      <c r="DS139" s="14">
        <v>0</v>
      </c>
      <c r="DT139" s="14">
        <v>0</v>
      </c>
      <c r="DU139" s="14">
        <v>0</v>
      </c>
      <c r="DV139" s="14">
        <v>0</v>
      </c>
      <c r="DW139" s="14">
        <v>0</v>
      </c>
      <c r="DX139" s="14">
        <v>0</v>
      </c>
      <c r="DY139" s="14">
        <v>0</v>
      </c>
      <c r="DZ139" s="14">
        <v>0</v>
      </c>
      <c r="EA139" s="14">
        <v>0</v>
      </c>
      <c r="EB139" s="14">
        <v>0</v>
      </c>
      <c r="EC139" s="14">
        <v>0</v>
      </c>
      <c r="ED139" s="14">
        <v>0</v>
      </c>
      <c r="EE139" s="14">
        <v>0</v>
      </c>
      <c r="EF139" s="14">
        <v>0</v>
      </c>
    </row>
    <row r="140" ht="32" customHeight="1" spans="1:136" x14ac:dyDescent="0.25">
      <c r="A140" s="4" t="s">
        <v>7</v>
      </c>
      <c r="B140" s="4" t="s">
        <v>39</v>
      </c>
      <c r="C140" s="4" t="s">
        <v>399</v>
      </c>
      <c r="D140" s="12" t="s">
        <v>400</v>
      </c>
      <c r="E140" s="8">
        <f>SUM(G140:EF140)</f>
      </c>
      <c r="F140" s="8">
        <f>IF(E140&gt;0,1,0)</f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4">
        <v>0</v>
      </c>
      <c r="AT140" s="14">
        <v>0</v>
      </c>
      <c r="AU140" s="14">
        <v>0</v>
      </c>
      <c r="AV140" s="14">
        <v>0</v>
      </c>
      <c r="AW140" s="14">
        <v>0</v>
      </c>
      <c r="AX140" s="14">
        <v>0</v>
      </c>
      <c r="AY140" s="14">
        <v>0</v>
      </c>
      <c r="AZ140" s="14">
        <v>0</v>
      </c>
      <c r="BA140" s="14">
        <v>0</v>
      </c>
      <c r="BB140" s="14">
        <v>0</v>
      </c>
      <c r="BC140" s="14">
        <v>0</v>
      </c>
      <c r="BD140" s="14">
        <v>0</v>
      </c>
      <c r="BE140" s="14">
        <v>0</v>
      </c>
      <c r="BF140" s="14">
        <v>0</v>
      </c>
      <c r="BG140" s="14">
        <v>0</v>
      </c>
      <c r="BH140" s="14">
        <v>0</v>
      </c>
      <c r="BI140" s="14">
        <v>0</v>
      </c>
      <c r="BJ140" s="14">
        <v>0</v>
      </c>
      <c r="BK140" s="14">
        <v>0</v>
      </c>
      <c r="BL140" s="14">
        <v>0</v>
      </c>
      <c r="BM140" s="14">
        <v>0</v>
      </c>
      <c r="BN140" s="14">
        <v>0</v>
      </c>
      <c r="BO140" s="14">
        <v>0</v>
      </c>
      <c r="BP140" s="14">
        <v>0</v>
      </c>
      <c r="BQ140" s="14">
        <v>0</v>
      </c>
      <c r="BR140" s="14">
        <v>0</v>
      </c>
      <c r="BS140" s="14">
        <v>0</v>
      </c>
      <c r="BT140" s="14">
        <v>0</v>
      </c>
      <c r="BU140" s="14">
        <v>0</v>
      </c>
      <c r="BV140" s="14">
        <v>0</v>
      </c>
      <c r="BW140" s="14">
        <v>0</v>
      </c>
      <c r="BX140" s="14">
        <v>0</v>
      </c>
      <c r="BY140" s="14">
        <v>0</v>
      </c>
      <c r="BZ140" s="14">
        <v>0</v>
      </c>
      <c r="CA140" s="14">
        <v>0</v>
      </c>
      <c r="CB140" s="14">
        <v>0</v>
      </c>
      <c r="CC140" s="14">
        <v>0</v>
      </c>
      <c r="CD140" s="14">
        <v>0</v>
      </c>
      <c r="CE140" s="14">
        <v>0</v>
      </c>
      <c r="CF140" s="14">
        <v>0</v>
      </c>
      <c r="CG140" s="14">
        <v>0</v>
      </c>
      <c r="CH140" s="14">
        <v>0</v>
      </c>
      <c r="CI140" s="14">
        <v>0</v>
      </c>
      <c r="CJ140" s="14">
        <v>0</v>
      </c>
      <c r="CK140" s="14">
        <v>0</v>
      </c>
      <c r="CL140" s="14">
        <v>0</v>
      </c>
      <c r="CM140" s="14">
        <v>0</v>
      </c>
      <c r="CN140" s="14">
        <v>0</v>
      </c>
      <c r="CO140" s="14">
        <v>0</v>
      </c>
      <c r="CP140" s="14">
        <v>0</v>
      </c>
      <c r="CQ140" s="14">
        <v>0</v>
      </c>
      <c r="CR140" s="14">
        <v>0</v>
      </c>
      <c r="CS140" s="14">
        <v>0</v>
      </c>
      <c r="CT140" s="14">
        <v>0</v>
      </c>
      <c r="CU140" s="14">
        <v>0</v>
      </c>
      <c r="CV140" s="14">
        <v>0</v>
      </c>
      <c r="CW140" s="14">
        <v>0</v>
      </c>
      <c r="CX140" s="14">
        <v>0</v>
      </c>
      <c r="CY140" s="14">
        <v>0</v>
      </c>
      <c r="CZ140" s="14">
        <v>0</v>
      </c>
      <c r="DA140" s="14">
        <v>0</v>
      </c>
      <c r="DB140" s="14">
        <v>0</v>
      </c>
      <c r="DC140" s="14">
        <v>0</v>
      </c>
      <c r="DD140" s="14">
        <v>0</v>
      </c>
      <c r="DE140" s="14">
        <v>0</v>
      </c>
      <c r="DF140" s="14">
        <v>0</v>
      </c>
      <c r="DG140" s="14">
        <v>0</v>
      </c>
      <c r="DH140" s="14">
        <v>0</v>
      </c>
      <c r="DI140" s="14">
        <v>0</v>
      </c>
      <c r="DJ140" s="14">
        <v>0</v>
      </c>
      <c r="DK140" s="14">
        <v>0</v>
      </c>
      <c r="DL140" s="14">
        <v>0</v>
      </c>
      <c r="DM140" s="14">
        <v>0</v>
      </c>
      <c r="DN140" s="13">
        <v>1</v>
      </c>
      <c r="DO140" s="13">
        <v>1</v>
      </c>
      <c r="DP140" s="14">
        <v>0</v>
      </c>
      <c r="DQ140" s="14">
        <v>0</v>
      </c>
      <c r="DR140" s="14">
        <v>0</v>
      </c>
      <c r="DS140" s="14">
        <v>0</v>
      </c>
      <c r="DT140" s="14">
        <v>0</v>
      </c>
      <c r="DU140" s="14">
        <v>0</v>
      </c>
      <c r="DV140" s="14">
        <v>0</v>
      </c>
      <c r="DW140" s="14">
        <v>0</v>
      </c>
      <c r="DX140" s="14">
        <v>0</v>
      </c>
      <c r="DY140" s="14">
        <v>0</v>
      </c>
      <c r="DZ140" s="14">
        <v>0</v>
      </c>
      <c r="EA140" s="14">
        <v>0</v>
      </c>
      <c r="EB140" s="14">
        <v>0</v>
      </c>
      <c r="EC140" s="14">
        <v>0</v>
      </c>
      <c r="ED140" s="14">
        <v>0</v>
      </c>
      <c r="EE140" s="14">
        <v>0</v>
      </c>
      <c r="EF140" s="14">
        <v>0</v>
      </c>
    </row>
    <row r="141" ht="32" customHeight="1" spans="1:136" x14ac:dyDescent="0.25">
      <c r="A141" s="4" t="s">
        <v>7</v>
      </c>
      <c r="B141" s="4" t="s">
        <v>39</v>
      </c>
      <c r="C141" s="4" t="s">
        <v>401</v>
      </c>
      <c r="D141" s="12" t="s">
        <v>402</v>
      </c>
      <c r="E141" s="8">
        <f>SUM(G141:EF141)</f>
      </c>
      <c r="F141" s="8">
        <f>IF(E141&gt;0,1,0)</f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  <c r="AS141" s="14">
        <v>0</v>
      </c>
      <c r="AT141" s="14">
        <v>0</v>
      </c>
      <c r="AU141" s="14">
        <v>0</v>
      </c>
      <c r="AV141" s="14">
        <v>0</v>
      </c>
      <c r="AW141" s="14">
        <v>0</v>
      </c>
      <c r="AX141" s="14">
        <v>0</v>
      </c>
      <c r="AY141" s="14">
        <v>0</v>
      </c>
      <c r="AZ141" s="14">
        <v>0</v>
      </c>
      <c r="BA141" s="14">
        <v>0</v>
      </c>
      <c r="BB141" s="14">
        <v>0</v>
      </c>
      <c r="BC141" s="14">
        <v>0</v>
      </c>
      <c r="BD141" s="14">
        <v>0</v>
      </c>
      <c r="BE141" s="14">
        <v>0</v>
      </c>
      <c r="BF141" s="14">
        <v>0</v>
      </c>
      <c r="BG141" s="14">
        <v>0</v>
      </c>
      <c r="BH141" s="14">
        <v>0</v>
      </c>
      <c r="BI141" s="14">
        <v>0</v>
      </c>
      <c r="BJ141" s="14">
        <v>0</v>
      </c>
      <c r="BK141" s="14">
        <v>0</v>
      </c>
      <c r="BL141" s="14">
        <v>0</v>
      </c>
      <c r="BM141" s="14">
        <v>0</v>
      </c>
      <c r="BN141" s="14">
        <v>0</v>
      </c>
      <c r="BO141" s="14">
        <v>0</v>
      </c>
      <c r="BP141" s="14">
        <v>0</v>
      </c>
      <c r="BQ141" s="14">
        <v>0</v>
      </c>
      <c r="BR141" s="14">
        <v>0</v>
      </c>
      <c r="BS141" s="14">
        <v>0</v>
      </c>
      <c r="BT141" s="14">
        <v>0</v>
      </c>
      <c r="BU141" s="14">
        <v>0</v>
      </c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4">
        <v>0</v>
      </c>
      <c r="CH141" s="14">
        <v>0</v>
      </c>
      <c r="CI141" s="14">
        <v>0</v>
      </c>
      <c r="CJ141" s="14">
        <v>0</v>
      </c>
      <c r="CK141" s="14">
        <v>0</v>
      </c>
      <c r="CL141" s="14">
        <v>0</v>
      </c>
      <c r="CM141" s="14">
        <v>0</v>
      </c>
      <c r="CN141" s="14">
        <v>0</v>
      </c>
      <c r="CO141" s="14">
        <v>0</v>
      </c>
      <c r="CP141" s="14">
        <v>0</v>
      </c>
      <c r="CQ141" s="14">
        <v>0</v>
      </c>
      <c r="CR141" s="14">
        <v>0</v>
      </c>
      <c r="CS141" s="14">
        <v>0</v>
      </c>
      <c r="CT141" s="14">
        <v>0</v>
      </c>
      <c r="CU141" s="14">
        <v>0</v>
      </c>
      <c r="CV141" s="14">
        <v>0</v>
      </c>
      <c r="CW141" s="14">
        <v>0</v>
      </c>
      <c r="CX141" s="14">
        <v>0</v>
      </c>
      <c r="CY141" s="14">
        <v>0</v>
      </c>
      <c r="CZ141" s="14">
        <v>0</v>
      </c>
      <c r="DA141" s="14">
        <v>0</v>
      </c>
      <c r="DB141" s="14">
        <v>0</v>
      </c>
      <c r="DC141" s="14">
        <v>0</v>
      </c>
      <c r="DD141" s="14">
        <v>0</v>
      </c>
      <c r="DE141" s="14">
        <v>0</v>
      </c>
      <c r="DF141" s="14">
        <v>0</v>
      </c>
      <c r="DG141" s="14">
        <v>0</v>
      </c>
      <c r="DH141" s="14">
        <v>0</v>
      </c>
      <c r="DI141" s="14">
        <v>0</v>
      </c>
      <c r="DJ141" s="14">
        <v>0</v>
      </c>
      <c r="DK141" s="14">
        <v>0</v>
      </c>
      <c r="DL141" s="13">
        <v>1</v>
      </c>
      <c r="DM141" s="14">
        <v>0</v>
      </c>
      <c r="DN141" s="14">
        <v>0</v>
      </c>
      <c r="DO141" s="14">
        <v>0</v>
      </c>
      <c r="DP141" s="14">
        <v>0</v>
      </c>
      <c r="DQ141" s="14">
        <v>0</v>
      </c>
      <c r="DR141" s="14">
        <v>0</v>
      </c>
      <c r="DS141" s="14">
        <v>0</v>
      </c>
      <c r="DT141" s="14">
        <v>0</v>
      </c>
      <c r="DU141" s="14">
        <v>0</v>
      </c>
      <c r="DV141" s="14">
        <v>0</v>
      </c>
      <c r="DW141" s="14">
        <v>0</v>
      </c>
      <c r="DX141" s="14">
        <v>0</v>
      </c>
      <c r="DY141" s="14">
        <v>0</v>
      </c>
      <c r="DZ141" s="14">
        <v>0</v>
      </c>
      <c r="EA141" s="14">
        <v>0</v>
      </c>
      <c r="EB141" s="14">
        <v>0</v>
      </c>
      <c r="EC141" s="14">
        <v>0</v>
      </c>
      <c r="ED141" s="14">
        <v>0</v>
      </c>
      <c r="EE141" s="14">
        <v>0</v>
      </c>
      <c r="EF141" s="14">
        <v>0</v>
      </c>
    </row>
    <row r="142" ht="32" customHeight="1" spans="1:136" x14ac:dyDescent="0.25">
      <c r="A142" s="15" t="s">
        <v>8</v>
      </c>
      <c r="B142" s="15" t="s">
        <v>40</v>
      </c>
      <c r="C142" s="15" t="s">
        <v>186</v>
      </c>
      <c r="D142" s="16" t="s">
        <v>403</v>
      </c>
      <c r="E142" s="17">
        <f>SUM(G142:EF142)</f>
      </c>
      <c r="F142" s="17">
        <f>IF(E142&gt;0,1,0)</f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0</v>
      </c>
      <c r="AE142" s="18">
        <v>0</v>
      </c>
      <c r="AF142" s="18">
        <v>0</v>
      </c>
      <c r="AG142" s="18">
        <v>0</v>
      </c>
      <c r="AH142" s="18">
        <v>0</v>
      </c>
      <c r="AI142" s="18">
        <v>0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>
        <v>0</v>
      </c>
      <c r="AR142" s="18">
        <v>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18">
        <v>0</v>
      </c>
      <c r="BG142" s="18">
        <v>0</v>
      </c>
      <c r="BH142" s="18">
        <v>0</v>
      </c>
      <c r="BI142" s="18">
        <v>0</v>
      </c>
      <c r="BJ142" s="18">
        <v>0</v>
      </c>
      <c r="BK142" s="18">
        <v>0</v>
      </c>
      <c r="BL142" s="18">
        <v>0</v>
      </c>
      <c r="BM142" s="18">
        <v>0</v>
      </c>
      <c r="BN142" s="18">
        <v>0</v>
      </c>
      <c r="BO142" s="18">
        <v>0</v>
      </c>
      <c r="BP142" s="18">
        <v>0</v>
      </c>
      <c r="BQ142" s="18">
        <v>0</v>
      </c>
      <c r="BR142" s="18">
        <v>0</v>
      </c>
      <c r="BS142" s="18">
        <v>0</v>
      </c>
      <c r="BT142" s="18">
        <v>0</v>
      </c>
      <c r="BU142" s="18">
        <v>0</v>
      </c>
      <c r="BV142" s="18">
        <v>0</v>
      </c>
      <c r="BW142" s="18">
        <v>0</v>
      </c>
      <c r="BX142" s="18">
        <v>0</v>
      </c>
      <c r="BY142" s="18">
        <v>0</v>
      </c>
      <c r="BZ142" s="18">
        <v>0</v>
      </c>
      <c r="CA142" s="18">
        <v>0</v>
      </c>
      <c r="CB142" s="18">
        <v>0</v>
      </c>
      <c r="CC142" s="18">
        <v>0</v>
      </c>
      <c r="CD142" s="18">
        <v>0</v>
      </c>
      <c r="CE142" s="18">
        <v>0</v>
      </c>
      <c r="CF142" s="18">
        <v>0</v>
      </c>
      <c r="CG142" s="18">
        <v>0</v>
      </c>
      <c r="CH142" s="18">
        <v>0</v>
      </c>
      <c r="CI142" s="18">
        <v>0</v>
      </c>
      <c r="CJ142" s="18">
        <v>0</v>
      </c>
      <c r="CK142" s="18">
        <v>0</v>
      </c>
      <c r="CL142" s="18">
        <v>0</v>
      </c>
      <c r="CM142" s="18">
        <v>0</v>
      </c>
      <c r="CN142" s="18">
        <v>0</v>
      </c>
      <c r="CO142" s="18">
        <v>0</v>
      </c>
      <c r="CP142" s="18">
        <v>0</v>
      </c>
      <c r="CQ142" s="18">
        <v>0</v>
      </c>
      <c r="CR142" s="18">
        <v>0</v>
      </c>
      <c r="CS142" s="18">
        <v>0</v>
      </c>
      <c r="CT142" s="18">
        <v>0</v>
      </c>
      <c r="CU142" s="18">
        <v>0</v>
      </c>
      <c r="CV142" s="18">
        <v>0</v>
      </c>
      <c r="CW142" s="18">
        <v>0</v>
      </c>
      <c r="CX142" s="18">
        <v>0</v>
      </c>
      <c r="CY142" s="18">
        <v>0</v>
      </c>
      <c r="CZ142" s="18">
        <v>0</v>
      </c>
      <c r="DA142" s="18">
        <v>0</v>
      </c>
      <c r="DB142" s="18">
        <v>0</v>
      </c>
      <c r="DC142" s="18">
        <v>0</v>
      </c>
      <c r="DD142" s="18">
        <v>0</v>
      </c>
      <c r="DE142" s="18">
        <v>0</v>
      </c>
      <c r="DF142" s="18">
        <v>0</v>
      </c>
      <c r="DG142" s="18">
        <v>0</v>
      </c>
      <c r="DH142" s="18">
        <v>0</v>
      </c>
      <c r="DI142" s="18">
        <v>0</v>
      </c>
      <c r="DJ142" s="18">
        <v>0</v>
      </c>
      <c r="DK142" s="18">
        <v>0</v>
      </c>
      <c r="DL142" s="18">
        <v>0</v>
      </c>
      <c r="DM142" s="18">
        <v>0</v>
      </c>
      <c r="DN142" s="18">
        <v>0</v>
      </c>
      <c r="DO142" s="18">
        <v>0</v>
      </c>
      <c r="DP142" s="18">
        <v>0</v>
      </c>
      <c r="DQ142" s="18">
        <v>0</v>
      </c>
      <c r="DR142" s="18">
        <v>0</v>
      </c>
      <c r="DS142" s="18">
        <v>0</v>
      </c>
      <c r="DT142" s="18">
        <v>0</v>
      </c>
      <c r="DU142" s="18">
        <v>0</v>
      </c>
      <c r="DV142" s="18">
        <v>0</v>
      </c>
      <c r="DW142" s="18">
        <v>0</v>
      </c>
      <c r="DX142" s="18">
        <v>0</v>
      </c>
      <c r="DY142" s="18">
        <v>0</v>
      </c>
      <c r="DZ142" s="18">
        <v>0</v>
      </c>
      <c r="EA142" s="18">
        <v>0</v>
      </c>
      <c r="EB142" s="18">
        <v>0</v>
      </c>
      <c r="EC142" s="18">
        <v>0</v>
      </c>
      <c r="ED142" s="18">
        <v>0</v>
      </c>
      <c r="EE142" s="18">
        <v>0</v>
      </c>
      <c r="EF142" s="18">
        <v>0</v>
      </c>
    </row>
    <row r="143" ht="32" customHeight="1" spans="1:136" x14ac:dyDescent="0.25">
      <c r="A143" s="4" t="s">
        <v>8</v>
      </c>
      <c r="B143" s="4" t="s">
        <v>40</v>
      </c>
      <c r="C143" s="4" t="s">
        <v>188</v>
      </c>
      <c r="D143" s="12" t="s">
        <v>404</v>
      </c>
      <c r="E143" s="8">
        <f>SUM(G143:EF143)</f>
      </c>
      <c r="F143" s="8">
        <f>IF(E143&gt;0,1,0)</f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0</v>
      </c>
      <c r="AQ143" s="14">
        <v>0</v>
      </c>
      <c r="AR143" s="14">
        <v>0</v>
      </c>
      <c r="AS143" s="14">
        <v>0</v>
      </c>
      <c r="AT143" s="14">
        <v>0</v>
      </c>
      <c r="AU143" s="14">
        <v>0</v>
      </c>
      <c r="AV143" s="14">
        <v>0</v>
      </c>
      <c r="AW143" s="14">
        <v>0</v>
      </c>
      <c r="AX143" s="14">
        <v>0</v>
      </c>
      <c r="AY143" s="14">
        <v>0</v>
      </c>
      <c r="AZ143" s="14">
        <v>0</v>
      </c>
      <c r="BA143" s="14">
        <v>0</v>
      </c>
      <c r="BB143" s="14">
        <v>0</v>
      </c>
      <c r="BC143" s="14">
        <v>0</v>
      </c>
      <c r="BD143" s="14">
        <v>0</v>
      </c>
      <c r="BE143" s="14">
        <v>0</v>
      </c>
      <c r="BF143" s="14">
        <v>0</v>
      </c>
      <c r="BG143" s="14">
        <v>0</v>
      </c>
      <c r="BH143" s="14">
        <v>0</v>
      </c>
      <c r="BI143" s="14">
        <v>0</v>
      </c>
      <c r="BJ143" s="14">
        <v>0</v>
      </c>
      <c r="BK143" s="14">
        <v>0</v>
      </c>
      <c r="BL143" s="14">
        <v>0</v>
      </c>
      <c r="BM143" s="14">
        <v>0</v>
      </c>
      <c r="BN143" s="14">
        <v>0</v>
      </c>
      <c r="BO143" s="14">
        <v>0</v>
      </c>
      <c r="BP143" s="14">
        <v>0</v>
      </c>
      <c r="BQ143" s="14">
        <v>0</v>
      </c>
      <c r="BR143" s="14">
        <v>0</v>
      </c>
      <c r="BS143" s="14">
        <v>0</v>
      </c>
      <c r="BT143" s="14">
        <v>0</v>
      </c>
      <c r="BU143" s="14">
        <v>0</v>
      </c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4">
        <v>0</v>
      </c>
      <c r="CH143" s="14">
        <v>0</v>
      </c>
      <c r="CI143" s="14">
        <v>0</v>
      </c>
      <c r="CJ143" s="14">
        <v>0</v>
      </c>
      <c r="CK143" s="14">
        <v>0</v>
      </c>
      <c r="CL143" s="14">
        <v>0</v>
      </c>
      <c r="CM143" s="14">
        <v>0</v>
      </c>
      <c r="CN143" s="14">
        <v>0</v>
      </c>
      <c r="CO143" s="14">
        <v>0</v>
      </c>
      <c r="CP143" s="14">
        <v>0</v>
      </c>
      <c r="CQ143" s="14">
        <v>0</v>
      </c>
      <c r="CR143" s="14">
        <v>0</v>
      </c>
      <c r="CS143" s="14">
        <v>0</v>
      </c>
      <c r="CT143" s="14">
        <v>0</v>
      </c>
      <c r="CU143" s="14">
        <v>0</v>
      </c>
      <c r="CV143" s="14">
        <v>0</v>
      </c>
      <c r="CW143" s="14">
        <v>0</v>
      </c>
      <c r="CX143" s="14">
        <v>0</v>
      </c>
      <c r="CY143" s="14">
        <v>0</v>
      </c>
      <c r="CZ143" s="14">
        <v>0</v>
      </c>
      <c r="DA143" s="14">
        <v>0</v>
      </c>
      <c r="DB143" s="14">
        <v>0</v>
      </c>
      <c r="DC143" s="14">
        <v>0</v>
      </c>
      <c r="DD143" s="14">
        <v>0</v>
      </c>
      <c r="DE143" s="14">
        <v>0</v>
      </c>
      <c r="DF143" s="14">
        <v>0</v>
      </c>
      <c r="DG143" s="14">
        <v>0</v>
      </c>
      <c r="DH143" s="14">
        <v>0</v>
      </c>
      <c r="DI143" s="14">
        <v>0</v>
      </c>
      <c r="DJ143" s="14">
        <v>0</v>
      </c>
      <c r="DK143" s="14">
        <v>0</v>
      </c>
      <c r="DL143" s="14">
        <v>0</v>
      </c>
      <c r="DM143" s="14">
        <v>0</v>
      </c>
      <c r="DN143" s="14">
        <v>0</v>
      </c>
      <c r="DO143" s="14">
        <v>0</v>
      </c>
      <c r="DP143" s="14">
        <v>0</v>
      </c>
      <c r="DQ143" s="14">
        <v>0</v>
      </c>
      <c r="DR143" s="14">
        <v>0</v>
      </c>
      <c r="DS143" s="14">
        <v>0</v>
      </c>
      <c r="DT143" s="14">
        <v>0</v>
      </c>
      <c r="DU143" s="14">
        <v>0</v>
      </c>
      <c r="DV143" s="14">
        <v>0</v>
      </c>
      <c r="DW143" s="14">
        <v>0</v>
      </c>
      <c r="DX143" s="14">
        <v>0</v>
      </c>
      <c r="DY143" s="14">
        <v>0</v>
      </c>
      <c r="DZ143" s="14">
        <v>0</v>
      </c>
      <c r="EA143" s="14">
        <v>0</v>
      </c>
      <c r="EB143" s="14">
        <v>0</v>
      </c>
      <c r="EC143" s="14">
        <v>0</v>
      </c>
      <c r="ED143" s="14">
        <v>0</v>
      </c>
      <c r="EE143" s="14">
        <v>0</v>
      </c>
      <c r="EF143" s="14">
        <v>0</v>
      </c>
    </row>
    <row r="144" ht="32" customHeight="1" spans="1:136" x14ac:dyDescent="0.25">
      <c r="A144" s="4" t="s">
        <v>8</v>
      </c>
      <c r="B144" s="4" t="s">
        <v>40</v>
      </c>
      <c r="C144" s="4" t="s">
        <v>190</v>
      </c>
      <c r="D144" s="12" t="s">
        <v>405</v>
      </c>
      <c r="E144" s="8">
        <f>SUM(G144:EF144)</f>
      </c>
      <c r="F144" s="8">
        <f>IF(E144&gt;0,1,0)</f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4">
        <v>0</v>
      </c>
      <c r="AT144" s="14">
        <v>0</v>
      </c>
      <c r="AU144" s="14">
        <v>0</v>
      </c>
      <c r="AV144" s="14">
        <v>0</v>
      </c>
      <c r="AW144" s="14">
        <v>0</v>
      </c>
      <c r="AX144" s="14">
        <v>0</v>
      </c>
      <c r="AY144" s="14">
        <v>0</v>
      </c>
      <c r="AZ144" s="14">
        <v>0</v>
      </c>
      <c r="BA144" s="14">
        <v>0</v>
      </c>
      <c r="BB144" s="14">
        <v>0</v>
      </c>
      <c r="BC144" s="14">
        <v>0</v>
      </c>
      <c r="BD144" s="14">
        <v>0</v>
      </c>
      <c r="BE144" s="14">
        <v>0</v>
      </c>
      <c r="BF144" s="14">
        <v>0</v>
      </c>
      <c r="BG144" s="14">
        <v>0</v>
      </c>
      <c r="BH144" s="14">
        <v>0</v>
      </c>
      <c r="BI144" s="14">
        <v>0</v>
      </c>
      <c r="BJ144" s="14">
        <v>0</v>
      </c>
      <c r="BK144" s="14">
        <v>0</v>
      </c>
      <c r="BL144" s="14">
        <v>0</v>
      </c>
      <c r="BM144" s="14">
        <v>0</v>
      </c>
      <c r="BN144" s="14">
        <v>0</v>
      </c>
      <c r="BO144" s="14">
        <v>0</v>
      </c>
      <c r="BP144" s="14">
        <v>0</v>
      </c>
      <c r="BQ144" s="14">
        <v>0</v>
      </c>
      <c r="BR144" s="14">
        <v>0</v>
      </c>
      <c r="BS144" s="14">
        <v>0</v>
      </c>
      <c r="BT144" s="14">
        <v>0</v>
      </c>
      <c r="BU144" s="14">
        <v>0</v>
      </c>
      <c r="BV144" s="14">
        <v>0</v>
      </c>
      <c r="BW144" s="14">
        <v>0</v>
      </c>
      <c r="BX144" s="14">
        <v>0</v>
      </c>
      <c r="BY144" s="14">
        <v>0</v>
      </c>
      <c r="BZ144" s="14">
        <v>0</v>
      </c>
      <c r="CA144" s="14">
        <v>0</v>
      </c>
      <c r="CB144" s="14">
        <v>0</v>
      </c>
      <c r="CC144" s="14">
        <v>0</v>
      </c>
      <c r="CD144" s="14">
        <v>0</v>
      </c>
      <c r="CE144" s="14">
        <v>0</v>
      </c>
      <c r="CF144" s="14">
        <v>0</v>
      </c>
      <c r="CG144" s="14">
        <v>0</v>
      </c>
      <c r="CH144" s="14">
        <v>0</v>
      </c>
      <c r="CI144" s="14">
        <v>0</v>
      </c>
      <c r="CJ144" s="14">
        <v>0</v>
      </c>
      <c r="CK144" s="14">
        <v>0</v>
      </c>
      <c r="CL144" s="14">
        <v>0</v>
      </c>
      <c r="CM144" s="14">
        <v>0</v>
      </c>
      <c r="CN144" s="14">
        <v>0</v>
      </c>
      <c r="CO144" s="14">
        <v>0</v>
      </c>
      <c r="CP144" s="14">
        <v>0</v>
      </c>
      <c r="CQ144" s="14">
        <v>0</v>
      </c>
      <c r="CR144" s="14">
        <v>0</v>
      </c>
      <c r="CS144" s="14">
        <v>0</v>
      </c>
      <c r="CT144" s="14">
        <v>0</v>
      </c>
      <c r="CU144" s="14">
        <v>0</v>
      </c>
      <c r="CV144" s="14">
        <v>0</v>
      </c>
      <c r="CW144" s="14">
        <v>0</v>
      </c>
      <c r="CX144" s="14">
        <v>0</v>
      </c>
      <c r="CY144" s="14">
        <v>0</v>
      </c>
      <c r="CZ144" s="14">
        <v>0</v>
      </c>
      <c r="DA144" s="14">
        <v>0</v>
      </c>
      <c r="DB144" s="14">
        <v>0</v>
      </c>
      <c r="DC144" s="14">
        <v>0</v>
      </c>
      <c r="DD144" s="14">
        <v>0</v>
      </c>
      <c r="DE144" s="14">
        <v>0</v>
      </c>
      <c r="DF144" s="14">
        <v>0</v>
      </c>
      <c r="DG144" s="14">
        <v>0</v>
      </c>
      <c r="DH144" s="14">
        <v>0</v>
      </c>
      <c r="DI144" s="14">
        <v>0</v>
      </c>
      <c r="DJ144" s="14">
        <v>0</v>
      </c>
      <c r="DK144" s="14">
        <v>0</v>
      </c>
      <c r="DL144" s="14">
        <v>0</v>
      </c>
      <c r="DM144" s="14">
        <v>0</v>
      </c>
      <c r="DN144" s="14">
        <v>0</v>
      </c>
      <c r="DO144" s="14">
        <v>0</v>
      </c>
      <c r="DP144" s="14">
        <v>0</v>
      </c>
      <c r="DQ144" s="14">
        <v>0</v>
      </c>
      <c r="DR144" s="14">
        <v>0</v>
      </c>
      <c r="DS144" s="14">
        <v>0</v>
      </c>
      <c r="DT144" s="14">
        <v>0</v>
      </c>
      <c r="DU144" s="14">
        <v>0</v>
      </c>
      <c r="DV144" s="14">
        <v>0</v>
      </c>
      <c r="DW144" s="14">
        <v>0</v>
      </c>
      <c r="DX144" s="14">
        <v>0</v>
      </c>
      <c r="DY144" s="14">
        <v>0</v>
      </c>
      <c r="DZ144" s="14">
        <v>0</v>
      </c>
      <c r="EA144" s="14">
        <v>0</v>
      </c>
      <c r="EB144" s="14">
        <v>0</v>
      </c>
      <c r="EC144" s="14">
        <v>0</v>
      </c>
      <c r="ED144" s="14">
        <v>0</v>
      </c>
      <c r="EE144" s="14">
        <v>0</v>
      </c>
      <c r="EF144" s="14">
        <v>0</v>
      </c>
    </row>
    <row r="145" ht="32" customHeight="1" spans="1:136" x14ac:dyDescent="0.25">
      <c r="A145" s="4" t="s">
        <v>8</v>
      </c>
      <c r="B145" s="4" t="s">
        <v>40</v>
      </c>
      <c r="C145" s="4" t="s">
        <v>192</v>
      </c>
      <c r="D145" s="12" t="s">
        <v>406</v>
      </c>
      <c r="E145" s="8">
        <f>SUM(G145:EF145)</f>
      </c>
      <c r="F145" s="8">
        <f>IF(E145&gt;0,1,0)</f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</v>
      </c>
      <c r="AY145" s="14">
        <v>0</v>
      </c>
      <c r="AZ145" s="14">
        <v>0</v>
      </c>
      <c r="BA145" s="14">
        <v>0</v>
      </c>
      <c r="BB145" s="14">
        <v>0</v>
      </c>
      <c r="BC145" s="14">
        <v>0</v>
      </c>
      <c r="BD145" s="14">
        <v>0</v>
      </c>
      <c r="BE145" s="14">
        <v>0</v>
      </c>
      <c r="BF145" s="14">
        <v>0</v>
      </c>
      <c r="BG145" s="14">
        <v>0</v>
      </c>
      <c r="BH145" s="14">
        <v>0</v>
      </c>
      <c r="BI145" s="14">
        <v>0</v>
      </c>
      <c r="BJ145" s="14">
        <v>0</v>
      </c>
      <c r="BK145" s="14">
        <v>0</v>
      </c>
      <c r="BL145" s="14">
        <v>0</v>
      </c>
      <c r="BM145" s="14">
        <v>0</v>
      </c>
      <c r="BN145" s="14">
        <v>0</v>
      </c>
      <c r="BO145" s="14">
        <v>0</v>
      </c>
      <c r="BP145" s="14">
        <v>0</v>
      </c>
      <c r="BQ145" s="14">
        <v>0</v>
      </c>
      <c r="BR145" s="14">
        <v>0</v>
      </c>
      <c r="BS145" s="14">
        <v>0</v>
      </c>
      <c r="BT145" s="14">
        <v>0</v>
      </c>
      <c r="BU145" s="14">
        <v>0</v>
      </c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4">
        <v>0</v>
      </c>
      <c r="CH145" s="14">
        <v>0</v>
      </c>
      <c r="CI145" s="14">
        <v>0</v>
      </c>
      <c r="CJ145" s="14">
        <v>0</v>
      </c>
      <c r="CK145" s="14">
        <v>0</v>
      </c>
      <c r="CL145" s="14">
        <v>0</v>
      </c>
      <c r="CM145" s="14">
        <v>0</v>
      </c>
      <c r="CN145" s="14">
        <v>0</v>
      </c>
      <c r="CO145" s="14">
        <v>0</v>
      </c>
      <c r="CP145" s="14">
        <v>0</v>
      </c>
      <c r="CQ145" s="14">
        <v>0</v>
      </c>
      <c r="CR145" s="14">
        <v>0</v>
      </c>
      <c r="CS145" s="14">
        <v>0</v>
      </c>
      <c r="CT145" s="14">
        <v>0</v>
      </c>
      <c r="CU145" s="14">
        <v>0</v>
      </c>
      <c r="CV145" s="14">
        <v>0</v>
      </c>
      <c r="CW145" s="14">
        <v>0</v>
      </c>
      <c r="CX145" s="14">
        <v>0</v>
      </c>
      <c r="CY145" s="14">
        <v>0</v>
      </c>
      <c r="CZ145" s="14">
        <v>0</v>
      </c>
      <c r="DA145" s="14">
        <v>0</v>
      </c>
      <c r="DB145" s="14">
        <v>0</v>
      </c>
      <c r="DC145" s="14">
        <v>0</v>
      </c>
      <c r="DD145" s="14">
        <v>0</v>
      </c>
      <c r="DE145" s="14">
        <v>0</v>
      </c>
      <c r="DF145" s="14">
        <v>0</v>
      </c>
      <c r="DG145" s="14">
        <v>0</v>
      </c>
      <c r="DH145" s="14">
        <v>0</v>
      </c>
      <c r="DI145" s="14">
        <v>0</v>
      </c>
      <c r="DJ145" s="14">
        <v>0</v>
      </c>
      <c r="DK145" s="14">
        <v>0</v>
      </c>
      <c r="DL145" s="14">
        <v>0</v>
      </c>
      <c r="DM145" s="14">
        <v>0</v>
      </c>
      <c r="DN145" s="14">
        <v>0</v>
      </c>
      <c r="DO145" s="14">
        <v>0</v>
      </c>
      <c r="DP145" s="14">
        <v>0</v>
      </c>
      <c r="DQ145" s="14">
        <v>0</v>
      </c>
      <c r="DR145" s="14">
        <v>0</v>
      </c>
      <c r="DS145" s="14">
        <v>0</v>
      </c>
      <c r="DT145" s="14">
        <v>0</v>
      </c>
      <c r="DU145" s="14">
        <v>0</v>
      </c>
      <c r="DV145" s="14">
        <v>0</v>
      </c>
      <c r="DW145" s="14">
        <v>0</v>
      </c>
      <c r="DX145" s="14">
        <v>0</v>
      </c>
      <c r="DY145" s="14">
        <v>0</v>
      </c>
      <c r="DZ145" s="14">
        <v>0</v>
      </c>
      <c r="EA145" s="14">
        <v>0</v>
      </c>
      <c r="EB145" s="14">
        <v>0</v>
      </c>
      <c r="EC145" s="14">
        <v>0</v>
      </c>
      <c r="ED145" s="14">
        <v>0</v>
      </c>
      <c r="EE145" s="14">
        <v>0</v>
      </c>
      <c r="EF145" s="14">
        <v>0</v>
      </c>
    </row>
    <row r="146" ht="32" customHeight="1" spans="1:136" x14ac:dyDescent="0.25">
      <c r="A146" s="4" t="s">
        <v>8</v>
      </c>
      <c r="B146" s="4" t="s">
        <v>40</v>
      </c>
      <c r="C146" s="4" t="s">
        <v>310</v>
      </c>
      <c r="D146" s="12" t="s">
        <v>407</v>
      </c>
      <c r="E146" s="8">
        <f>SUM(G146:EF146)</f>
      </c>
      <c r="F146" s="8">
        <f>IF(E146&gt;0,1,0)</f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  <c r="AS146" s="14">
        <v>0</v>
      </c>
      <c r="AT146" s="14">
        <v>0</v>
      </c>
      <c r="AU146" s="14">
        <v>0</v>
      </c>
      <c r="AV146" s="14">
        <v>0</v>
      </c>
      <c r="AW146" s="14">
        <v>0</v>
      </c>
      <c r="AX146" s="14">
        <v>0</v>
      </c>
      <c r="AY146" s="14">
        <v>0</v>
      </c>
      <c r="AZ146" s="14">
        <v>0</v>
      </c>
      <c r="BA146" s="14">
        <v>0</v>
      </c>
      <c r="BB146" s="14">
        <v>0</v>
      </c>
      <c r="BC146" s="14">
        <v>0</v>
      </c>
      <c r="BD146" s="14">
        <v>0</v>
      </c>
      <c r="BE146" s="14">
        <v>0</v>
      </c>
      <c r="BF146" s="14">
        <v>0</v>
      </c>
      <c r="BG146" s="14">
        <v>0</v>
      </c>
      <c r="BH146" s="14">
        <v>0</v>
      </c>
      <c r="BI146" s="14">
        <v>0</v>
      </c>
      <c r="BJ146" s="14">
        <v>0</v>
      </c>
      <c r="BK146" s="14">
        <v>0</v>
      </c>
      <c r="BL146" s="14">
        <v>0</v>
      </c>
      <c r="BM146" s="14">
        <v>0</v>
      </c>
      <c r="BN146" s="14">
        <v>0</v>
      </c>
      <c r="BO146" s="14">
        <v>0</v>
      </c>
      <c r="BP146" s="14">
        <v>0</v>
      </c>
      <c r="BQ146" s="14">
        <v>0</v>
      </c>
      <c r="BR146" s="14">
        <v>0</v>
      </c>
      <c r="BS146" s="14">
        <v>0</v>
      </c>
      <c r="BT146" s="14">
        <v>0</v>
      </c>
      <c r="BU146" s="14">
        <v>0</v>
      </c>
      <c r="BV146" s="14">
        <v>0</v>
      </c>
      <c r="BW146" s="14">
        <v>0</v>
      </c>
      <c r="BX146" s="14">
        <v>0</v>
      </c>
      <c r="BY146" s="14">
        <v>0</v>
      </c>
      <c r="BZ146" s="14">
        <v>0</v>
      </c>
      <c r="CA146" s="14">
        <v>0</v>
      </c>
      <c r="CB146" s="14">
        <v>0</v>
      </c>
      <c r="CC146" s="14">
        <v>0</v>
      </c>
      <c r="CD146" s="14">
        <v>0</v>
      </c>
      <c r="CE146" s="14">
        <v>0</v>
      </c>
      <c r="CF146" s="14">
        <v>0</v>
      </c>
      <c r="CG146" s="14">
        <v>0</v>
      </c>
      <c r="CH146" s="14">
        <v>0</v>
      </c>
      <c r="CI146" s="14">
        <v>0</v>
      </c>
      <c r="CJ146" s="14">
        <v>0</v>
      </c>
      <c r="CK146" s="14">
        <v>0</v>
      </c>
      <c r="CL146" s="14">
        <v>0</v>
      </c>
      <c r="CM146" s="14">
        <v>0</v>
      </c>
      <c r="CN146" s="14">
        <v>0</v>
      </c>
      <c r="CO146" s="14">
        <v>0</v>
      </c>
      <c r="CP146" s="14">
        <v>0</v>
      </c>
      <c r="CQ146" s="14">
        <v>0</v>
      </c>
      <c r="CR146" s="14">
        <v>0</v>
      </c>
      <c r="CS146" s="14">
        <v>0</v>
      </c>
      <c r="CT146" s="14">
        <v>0</v>
      </c>
      <c r="CU146" s="14">
        <v>0</v>
      </c>
      <c r="CV146" s="14">
        <v>0</v>
      </c>
      <c r="CW146" s="14">
        <v>0</v>
      </c>
      <c r="CX146" s="14">
        <v>0</v>
      </c>
      <c r="CY146" s="14">
        <v>0</v>
      </c>
      <c r="CZ146" s="14">
        <v>0</v>
      </c>
      <c r="DA146" s="14">
        <v>0</v>
      </c>
      <c r="DB146" s="14">
        <v>0</v>
      </c>
      <c r="DC146" s="14">
        <v>0</v>
      </c>
      <c r="DD146" s="14">
        <v>0</v>
      </c>
      <c r="DE146" s="14">
        <v>0</v>
      </c>
      <c r="DF146" s="14">
        <v>0</v>
      </c>
      <c r="DG146" s="14">
        <v>0</v>
      </c>
      <c r="DH146" s="14">
        <v>0</v>
      </c>
      <c r="DI146" s="14">
        <v>0</v>
      </c>
      <c r="DJ146" s="14">
        <v>0</v>
      </c>
      <c r="DK146" s="14">
        <v>0</v>
      </c>
      <c r="DL146" s="14">
        <v>0</v>
      </c>
      <c r="DM146" s="14">
        <v>0</v>
      </c>
      <c r="DN146" s="14">
        <v>0</v>
      </c>
      <c r="DO146" s="14">
        <v>0</v>
      </c>
      <c r="DP146" s="14">
        <v>0</v>
      </c>
      <c r="DQ146" s="14">
        <v>0</v>
      </c>
      <c r="DR146" s="14">
        <v>0</v>
      </c>
      <c r="DS146" s="14">
        <v>0</v>
      </c>
      <c r="DT146" s="14">
        <v>0</v>
      </c>
      <c r="DU146" s="14">
        <v>0</v>
      </c>
      <c r="DV146" s="14">
        <v>0</v>
      </c>
      <c r="DW146" s="14">
        <v>0</v>
      </c>
      <c r="DX146" s="14">
        <v>0</v>
      </c>
      <c r="DY146" s="14">
        <v>0</v>
      </c>
      <c r="DZ146" s="14">
        <v>0</v>
      </c>
      <c r="EA146" s="14">
        <v>0</v>
      </c>
      <c r="EB146" s="14">
        <v>0</v>
      </c>
      <c r="EC146" s="14">
        <v>0</v>
      </c>
      <c r="ED146" s="14">
        <v>0</v>
      </c>
      <c r="EE146" s="14">
        <v>0</v>
      </c>
      <c r="EF146" s="14">
        <v>0</v>
      </c>
    </row>
    <row r="147" ht="32" customHeight="1" spans="1:136" x14ac:dyDescent="0.25">
      <c r="A147" s="4" t="s">
        <v>8</v>
      </c>
      <c r="B147" s="4" t="s">
        <v>40</v>
      </c>
      <c r="C147" s="4" t="s">
        <v>312</v>
      </c>
      <c r="D147" s="12" t="s">
        <v>408</v>
      </c>
      <c r="E147" s="8">
        <f>SUM(G147:EF147)</f>
      </c>
      <c r="F147" s="8">
        <f>IF(E147&gt;0,1,0)</f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</v>
      </c>
      <c r="AV147" s="14">
        <v>0</v>
      </c>
      <c r="AW147" s="14">
        <v>0</v>
      </c>
      <c r="AX147" s="14">
        <v>0</v>
      </c>
      <c r="AY147" s="14">
        <v>0</v>
      </c>
      <c r="AZ147" s="14">
        <v>0</v>
      </c>
      <c r="BA147" s="14">
        <v>0</v>
      </c>
      <c r="BB147" s="14">
        <v>0</v>
      </c>
      <c r="BC147" s="14">
        <v>0</v>
      </c>
      <c r="BD147" s="14">
        <v>0</v>
      </c>
      <c r="BE147" s="14">
        <v>0</v>
      </c>
      <c r="BF147" s="14">
        <v>0</v>
      </c>
      <c r="BG147" s="14">
        <v>0</v>
      </c>
      <c r="BH147" s="14">
        <v>0</v>
      </c>
      <c r="BI147" s="14">
        <v>0</v>
      </c>
      <c r="BJ147" s="14">
        <v>0</v>
      </c>
      <c r="BK147" s="14">
        <v>0</v>
      </c>
      <c r="BL147" s="14">
        <v>0</v>
      </c>
      <c r="BM147" s="14">
        <v>0</v>
      </c>
      <c r="BN147" s="14">
        <v>0</v>
      </c>
      <c r="BO147" s="14">
        <v>0</v>
      </c>
      <c r="BP147" s="14">
        <v>0</v>
      </c>
      <c r="BQ147" s="14">
        <v>0</v>
      </c>
      <c r="BR147" s="14">
        <v>0</v>
      </c>
      <c r="BS147" s="14">
        <v>0</v>
      </c>
      <c r="BT147" s="14">
        <v>0</v>
      </c>
      <c r="BU147" s="14">
        <v>0</v>
      </c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4">
        <v>0</v>
      </c>
      <c r="CH147" s="14">
        <v>0</v>
      </c>
      <c r="CI147" s="14">
        <v>0</v>
      </c>
      <c r="CJ147" s="14">
        <v>0</v>
      </c>
      <c r="CK147" s="14">
        <v>0</v>
      </c>
      <c r="CL147" s="14">
        <v>0</v>
      </c>
      <c r="CM147" s="14">
        <v>0</v>
      </c>
      <c r="CN147" s="14">
        <v>0</v>
      </c>
      <c r="CO147" s="14">
        <v>0</v>
      </c>
      <c r="CP147" s="14">
        <v>0</v>
      </c>
      <c r="CQ147" s="14">
        <v>0</v>
      </c>
      <c r="CR147" s="14">
        <v>0</v>
      </c>
      <c r="CS147" s="14">
        <v>0</v>
      </c>
      <c r="CT147" s="14">
        <v>0</v>
      </c>
      <c r="CU147" s="14">
        <v>0</v>
      </c>
      <c r="CV147" s="14">
        <v>0</v>
      </c>
      <c r="CW147" s="14">
        <v>0</v>
      </c>
      <c r="CX147" s="14">
        <v>0</v>
      </c>
      <c r="CY147" s="14">
        <v>0</v>
      </c>
      <c r="CZ147" s="14">
        <v>0</v>
      </c>
      <c r="DA147" s="14">
        <v>0</v>
      </c>
      <c r="DB147" s="14">
        <v>0</v>
      </c>
      <c r="DC147" s="14">
        <v>0</v>
      </c>
      <c r="DD147" s="14">
        <v>0</v>
      </c>
      <c r="DE147" s="14">
        <v>0</v>
      </c>
      <c r="DF147" s="14">
        <v>0</v>
      </c>
      <c r="DG147" s="14">
        <v>0</v>
      </c>
      <c r="DH147" s="14">
        <v>0</v>
      </c>
      <c r="DI147" s="14">
        <v>0</v>
      </c>
      <c r="DJ147" s="14">
        <v>0</v>
      </c>
      <c r="DK147" s="14">
        <v>0</v>
      </c>
      <c r="DL147" s="14">
        <v>0</v>
      </c>
      <c r="DM147" s="14">
        <v>0</v>
      </c>
      <c r="DN147" s="14">
        <v>0</v>
      </c>
      <c r="DO147" s="14">
        <v>0</v>
      </c>
      <c r="DP147" s="14">
        <v>0</v>
      </c>
      <c r="DQ147" s="14">
        <v>0</v>
      </c>
      <c r="DR147" s="14">
        <v>0</v>
      </c>
      <c r="DS147" s="14">
        <v>0</v>
      </c>
      <c r="DT147" s="14">
        <v>0</v>
      </c>
      <c r="DU147" s="14">
        <v>0</v>
      </c>
      <c r="DV147" s="14">
        <v>0</v>
      </c>
      <c r="DW147" s="14">
        <v>0</v>
      </c>
      <c r="DX147" s="14">
        <v>0</v>
      </c>
      <c r="DY147" s="14">
        <v>0</v>
      </c>
      <c r="DZ147" s="14">
        <v>0</v>
      </c>
      <c r="EA147" s="14">
        <v>0</v>
      </c>
      <c r="EB147" s="14">
        <v>0</v>
      </c>
      <c r="EC147" s="14">
        <v>0</v>
      </c>
      <c r="ED147" s="14">
        <v>0</v>
      </c>
      <c r="EE147" s="14">
        <v>0</v>
      </c>
      <c r="EF147" s="14">
        <v>0</v>
      </c>
    </row>
    <row r="148" ht="32" customHeight="1" spans="1:136" x14ac:dyDescent="0.25">
      <c r="A148" s="4" t="s">
        <v>8</v>
      </c>
      <c r="B148" s="4" t="s">
        <v>40</v>
      </c>
      <c r="C148" s="4" t="s">
        <v>314</v>
      </c>
      <c r="D148" s="12" t="s">
        <v>409</v>
      </c>
      <c r="E148" s="8">
        <f>SUM(G148:EF148)</f>
      </c>
      <c r="F148" s="8">
        <f>IF(E148&gt;0,1,0)</f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  <c r="AS148" s="14">
        <v>0</v>
      </c>
      <c r="AT148" s="14">
        <v>0</v>
      </c>
      <c r="AU148" s="14">
        <v>0</v>
      </c>
      <c r="AV148" s="14">
        <v>0</v>
      </c>
      <c r="AW148" s="14">
        <v>0</v>
      </c>
      <c r="AX148" s="14">
        <v>0</v>
      </c>
      <c r="AY148" s="14">
        <v>0</v>
      </c>
      <c r="AZ148" s="14">
        <v>0</v>
      </c>
      <c r="BA148" s="14">
        <v>0</v>
      </c>
      <c r="BB148" s="14">
        <v>0</v>
      </c>
      <c r="BC148" s="14">
        <v>0</v>
      </c>
      <c r="BD148" s="14">
        <v>0</v>
      </c>
      <c r="BE148" s="14">
        <v>0</v>
      </c>
      <c r="BF148" s="14">
        <v>0</v>
      </c>
      <c r="BG148" s="14">
        <v>0</v>
      </c>
      <c r="BH148" s="14">
        <v>0</v>
      </c>
      <c r="BI148" s="14">
        <v>0</v>
      </c>
      <c r="BJ148" s="14">
        <v>0</v>
      </c>
      <c r="BK148" s="14">
        <v>0</v>
      </c>
      <c r="BL148" s="14">
        <v>0</v>
      </c>
      <c r="BM148" s="14">
        <v>0</v>
      </c>
      <c r="BN148" s="14">
        <v>0</v>
      </c>
      <c r="BO148" s="14">
        <v>0</v>
      </c>
      <c r="BP148" s="14">
        <v>0</v>
      </c>
      <c r="BQ148" s="14">
        <v>0</v>
      </c>
      <c r="BR148" s="14">
        <v>0</v>
      </c>
      <c r="BS148" s="14">
        <v>0</v>
      </c>
      <c r="BT148" s="14">
        <v>0</v>
      </c>
      <c r="BU148" s="14">
        <v>0</v>
      </c>
      <c r="BV148" s="14">
        <v>0</v>
      </c>
      <c r="BW148" s="14">
        <v>0</v>
      </c>
      <c r="BX148" s="14">
        <v>0</v>
      </c>
      <c r="BY148" s="14">
        <v>0</v>
      </c>
      <c r="BZ148" s="14">
        <v>0</v>
      </c>
      <c r="CA148" s="14">
        <v>0</v>
      </c>
      <c r="CB148" s="14">
        <v>0</v>
      </c>
      <c r="CC148" s="14">
        <v>0</v>
      </c>
      <c r="CD148" s="14">
        <v>0</v>
      </c>
      <c r="CE148" s="14">
        <v>0</v>
      </c>
      <c r="CF148" s="14">
        <v>0</v>
      </c>
      <c r="CG148" s="14">
        <v>0</v>
      </c>
      <c r="CH148" s="14">
        <v>0</v>
      </c>
      <c r="CI148" s="14">
        <v>0</v>
      </c>
      <c r="CJ148" s="14">
        <v>0</v>
      </c>
      <c r="CK148" s="14">
        <v>0</v>
      </c>
      <c r="CL148" s="14">
        <v>0</v>
      </c>
      <c r="CM148" s="14">
        <v>0</v>
      </c>
      <c r="CN148" s="14">
        <v>0</v>
      </c>
      <c r="CO148" s="14">
        <v>0</v>
      </c>
      <c r="CP148" s="14">
        <v>0</v>
      </c>
      <c r="CQ148" s="14">
        <v>0</v>
      </c>
      <c r="CR148" s="14">
        <v>0</v>
      </c>
      <c r="CS148" s="14">
        <v>0</v>
      </c>
      <c r="CT148" s="14">
        <v>0</v>
      </c>
      <c r="CU148" s="14">
        <v>0</v>
      </c>
      <c r="CV148" s="14">
        <v>0</v>
      </c>
      <c r="CW148" s="14">
        <v>0</v>
      </c>
      <c r="CX148" s="14">
        <v>0</v>
      </c>
      <c r="CY148" s="14">
        <v>0</v>
      </c>
      <c r="CZ148" s="14">
        <v>0</v>
      </c>
      <c r="DA148" s="14">
        <v>0</v>
      </c>
      <c r="DB148" s="14">
        <v>0</v>
      </c>
      <c r="DC148" s="14">
        <v>0</v>
      </c>
      <c r="DD148" s="14">
        <v>0</v>
      </c>
      <c r="DE148" s="14">
        <v>0</v>
      </c>
      <c r="DF148" s="14">
        <v>0</v>
      </c>
      <c r="DG148" s="14">
        <v>0</v>
      </c>
      <c r="DH148" s="14">
        <v>0</v>
      </c>
      <c r="DI148" s="14">
        <v>0</v>
      </c>
      <c r="DJ148" s="14">
        <v>0</v>
      </c>
      <c r="DK148" s="14">
        <v>0</v>
      </c>
      <c r="DL148" s="14">
        <v>0</v>
      </c>
      <c r="DM148" s="14">
        <v>0</v>
      </c>
      <c r="DN148" s="14">
        <v>0</v>
      </c>
      <c r="DO148" s="14">
        <v>0</v>
      </c>
      <c r="DP148" s="14">
        <v>0</v>
      </c>
      <c r="DQ148" s="14">
        <v>0</v>
      </c>
      <c r="DR148" s="14">
        <v>0</v>
      </c>
      <c r="DS148" s="14">
        <v>0</v>
      </c>
      <c r="DT148" s="14">
        <v>0</v>
      </c>
      <c r="DU148" s="14">
        <v>0</v>
      </c>
      <c r="DV148" s="14">
        <v>0</v>
      </c>
      <c r="DW148" s="14">
        <v>0</v>
      </c>
      <c r="DX148" s="14">
        <v>0</v>
      </c>
      <c r="DY148" s="14">
        <v>0</v>
      </c>
      <c r="DZ148" s="14">
        <v>0</v>
      </c>
      <c r="EA148" s="14">
        <v>0</v>
      </c>
      <c r="EB148" s="14">
        <v>0</v>
      </c>
      <c r="EC148" s="14">
        <v>0</v>
      </c>
      <c r="ED148" s="14">
        <v>0</v>
      </c>
      <c r="EE148" s="14">
        <v>0</v>
      </c>
      <c r="EF148" s="14">
        <v>0</v>
      </c>
    </row>
    <row r="149" ht="32" customHeight="1" spans="1:136" x14ac:dyDescent="0.25">
      <c r="A149" s="4" t="s">
        <v>8</v>
      </c>
      <c r="B149" s="4" t="s">
        <v>40</v>
      </c>
      <c r="C149" s="4" t="s">
        <v>316</v>
      </c>
      <c r="D149" s="12" t="s">
        <v>410</v>
      </c>
      <c r="E149" s="8">
        <f>SUM(G149:EF149)</f>
      </c>
      <c r="F149" s="8">
        <f>IF(E149&gt;0,1,0)</f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  <c r="AS149" s="14">
        <v>0</v>
      </c>
      <c r="AT149" s="14">
        <v>0</v>
      </c>
      <c r="AU149" s="14">
        <v>0</v>
      </c>
      <c r="AV149" s="14">
        <v>0</v>
      </c>
      <c r="AW149" s="14">
        <v>0</v>
      </c>
      <c r="AX149" s="14">
        <v>0</v>
      </c>
      <c r="AY149" s="14">
        <v>0</v>
      </c>
      <c r="AZ149" s="14">
        <v>0</v>
      </c>
      <c r="BA149" s="14">
        <v>0</v>
      </c>
      <c r="BB149" s="14">
        <v>0</v>
      </c>
      <c r="BC149" s="14">
        <v>0</v>
      </c>
      <c r="BD149" s="14">
        <v>0</v>
      </c>
      <c r="BE149" s="14">
        <v>0</v>
      </c>
      <c r="BF149" s="14">
        <v>0</v>
      </c>
      <c r="BG149" s="14">
        <v>0</v>
      </c>
      <c r="BH149" s="14">
        <v>0</v>
      </c>
      <c r="BI149" s="14">
        <v>0</v>
      </c>
      <c r="BJ149" s="14">
        <v>0</v>
      </c>
      <c r="BK149" s="14">
        <v>0</v>
      </c>
      <c r="BL149" s="14">
        <v>0</v>
      </c>
      <c r="BM149" s="14">
        <v>0</v>
      </c>
      <c r="BN149" s="14">
        <v>0</v>
      </c>
      <c r="BO149" s="14">
        <v>0</v>
      </c>
      <c r="BP149" s="14">
        <v>0</v>
      </c>
      <c r="BQ149" s="14">
        <v>0</v>
      </c>
      <c r="BR149" s="14">
        <v>0</v>
      </c>
      <c r="BS149" s="14">
        <v>0</v>
      </c>
      <c r="BT149" s="14">
        <v>0</v>
      </c>
      <c r="BU149" s="14">
        <v>0</v>
      </c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4">
        <v>0</v>
      </c>
      <c r="CH149" s="14">
        <v>0</v>
      </c>
      <c r="CI149" s="14">
        <v>0</v>
      </c>
      <c r="CJ149" s="14">
        <v>0</v>
      </c>
      <c r="CK149" s="14">
        <v>0</v>
      </c>
      <c r="CL149" s="14">
        <v>0</v>
      </c>
      <c r="CM149" s="14">
        <v>0</v>
      </c>
      <c r="CN149" s="14">
        <v>0</v>
      </c>
      <c r="CO149" s="14">
        <v>0</v>
      </c>
      <c r="CP149" s="14">
        <v>0</v>
      </c>
      <c r="CQ149" s="14">
        <v>0</v>
      </c>
      <c r="CR149" s="14">
        <v>0</v>
      </c>
      <c r="CS149" s="14">
        <v>0</v>
      </c>
      <c r="CT149" s="14">
        <v>0</v>
      </c>
      <c r="CU149" s="14">
        <v>0</v>
      </c>
      <c r="CV149" s="14">
        <v>0</v>
      </c>
      <c r="CW149" s="14">
        <v>0</v>
      </c>
      <c r="CX149" s="14">
        <v>0</v>
      </c>
      <c r="CY149" s="14">
        <v>0</v>
      </c>
      <c r="CZ149" s="14">
        <v>0</v>
      </c>
      <c r="DA149" s="14">
        <v>0</v>
      </c>
      <c r="DB149" s="14">
        <v>0</v>
      </c>
      <c r="DC149" s="14">
        <v>0</v>
      </c>
      <c r="DD149" s="14">
        <v>0</v>
      </c>
      <c r="DE149" s="14">
        <v>0</v>
      </c>
      <c r="DF149" s="14">
        <v>0</v>
      </c>
      <c r="DG149" s="14">
        <v>0</v>
      </c>
      <c r="DH149" s="14">
        <v>0</v>
      </c>
      <c r="DI149" s="14">
        <v>0</v>
      </c>
      <c r="DJ149" s="14">
        <v>0</v>
      </c>
      <c r="DK149" s="14">
        <v>0</v>
      </c>
      <c r="DL149" s="14">
        <v>0</v>
      </c>
      <c r="DM149" s="14">
        <v>0</v>
      </c>
      <c r="DN149" s="14">
        <v>0</v>
      </c>
      <c r="DO149" s="14">
        <v>0</v>
      </c>
      <c r="DP149" s="14">
        <v>0</v>
      </c>
      <c r="DQ149" s="14">
        <v>0</v>
      </c>
      <c r="DR149" s="14">
        <v>0</v>
      </c>
      <c r="DS149" s="14">
        <v>0</v>
      </c>
      <c r="DT149" s="14">
        <v>0</v>
      </c>
      <c r="DU149" s="14">
        <v>0</v>
      </c>
      <c r="DV149" s="14">
        <v>0</v>
      </c>
      <c r="DW149" s="14">
        <v>0</v>
      </c>
      <c r="DX149" s="14">
        <v>0</v>
      </c>
      <c r="DY149" s="14">
        <v>0</v>
      </c>
      <c r="DZ149" s="14">
        <v>0</v>
      </c>
      <c r="EA149" s="14">
        <v>0</v>
      </c>
      <c r="EB149" s="14">
        <v>0</v>
      </c>
      <c r="EC149" s="14">
        <v>0</v>
      </c>
      <c r="ED149" s="14">
        <v>0</v>
      </c>
      <c r="EE149" s="14">
        <v>0</v>
      </c>
      <c r="EF149" s="14">
        <v>0</v>
      </c>
    </row>
    <row r="150" ht="32" customHeight="1" spans="1:136" x14ac:dyDescent="0.25">
      <c r="A150" s="4" t="s">
        <v>8</v>
      </c>
      <c r="B150" s="4" t="s">
        <v>40</v>
      </c>
      <c r="C150" s="4" t="s">
        <v>318</v>
      </c>
      <c r="D150" s="12" t="s">
        <v>411</v>
      </c>
      <c r="E150" s="8">
        <f>SUM(G150:EF150)</f>
      </c>
      <c r="F150" s="8">
        <f>IF(E150&gt;0,1,0)</f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4">
        <v>0</v>
      </c>
      <c r="AT150" s="14">
        <v>0</v>
      </c>
      <c r="AU150" s="14">
        <v>0</v>
      </c>
      <c r="AV150" s="14">
        <v>0</v>
      </c>
      <c r="AW150" s="14">
        <v>0</v>
      </c>
      <c r="AX150" s="14">
        <v>0</v>
      </c>
      <c r="AY150" s="14">
        <v>0</v>
      </c>
      <c r="AZ150" s="14">
        <v>0</v>
      </c>
      <c r="BA150" s="14">
        <v>0</v>
      </c>
      <c r="BB150" s="14">
        <v>0</v>
      </c>
      <c r="BC150" s="14">
        <v>0</v>
      </c>
      <c r="BD150" s="14">
        <v>0</v>
      </c>
      <c r="BE150" s="14">
        <v>0</v>
      </c>
      <c r="BF150" s="14">
        <v>0</v>
      </c>
      <c r="BG150" s="14">
        <v>0</v>
      </c>
      <c r="BH150" s="14">
        <v>0</v>
      </c>
      <c r="BI150" s="14">
        <v>0</v>
      </c>
      <c r="BJ150" s="14">
        <v>0</v>
      </c>
      <c r="BK150" s="14">
        <v>0</v>
      </c>
      <c r="BL150" s="14">
        <v>0</v>
      </c>
      <c r="BM150" s="14">
        <v>0</v>
      </c>
      <c r="BN150" s="14">
        <v>0</v>
      </c>
      <c r="BO150" s="14">
        <v>0</v>
      </c>
      <c r="BP150" s="14">
        <v>0</v>
      </c>
      <c r="BQ150" s="14">
        <v>0</v>
      </c>
      <c r="BR150" s="14">
        <v>0</v>
      </c>
      <c r="BS150" s="14">
        <v>0</v>
      </c>
      <c r="BT150" s="14">
        <v>0</v>
      </c>
      <c r="BU150" s="14">
        <v>0</v>
      </c>
      <c r="BV150" s="14">
        <v>0</v>
      </c>
      <c r="BW150" s="14">
        <v>0</v>
      </c>
      <c r="BX150" s="14">
        <v>0</v>
      </c>
      <c r="BY150" s="14">
        <v>0</v>
      </c>
      <c r="BZ150" s="14">
        <v>0</v>
      </c>
      <c r="CA150" s="14">
        <v>0</v>
      </c>
      <c r="CB150" s="14">
        <v>0</v>
      </c>
      <c r="CC150" s="14">
        <v>0</v>
      </c>
      <c r="CD150" s="14">
        <v>0</v>
      </c>
      <c r="CE150" s="14">
        <v>0</v>
      </c>
      <c r="CF150" s="14">
        <v>0</v>
      </c>
      <c r="CG150" s="14">
        <v>0</v>
      </c>
      <c r="CH150" s="14">
        <v>0</v>
      </c>
      <c r="CI150" s="14">
        <v>0</v>
      </c>
      <c r="CJ150" s="14">
        <v>0</v>
      </c>
      <c r="CK150" s="14">
        <v>0</v>
      </c>
      <c r="CL150" s="14">
        <v>0</v>
      </c>
      <c r="CM150" s="14">
        <v>0</v>
      </c>
      <c r="CN150" s="14">
        <v>0</v>
      </c>
      <c r="CO150" s="14">
        <v>0</v>
      </c>
      <c r="CP150" s="14">
        <v>0</v>
      </c>
      <c r="CQ150" s="14">
        <v>0</v>
      </c>
      <c r="CR150" s="14">
        <v>0</v>
      </c>
      <c r="CS150" s="14">
        <v>0</v>
      </c>
      <c r="CT150" s="14">
        <v>0</v>
      </c>
      <c r="CU150" s="14">
        <v>0</v>
      </c>
      <c r="CV150" s="14">
        <v>0</v>
      </c>
      <c r="CW150" s="14">
        <v>0</v>
      </c>
      <c r="CX150" s="14">
        <v>0</v>
      </c>
      <c r="CY150" s="14">
        <v>0</v>
      </c>
      <c r="CZ150" s="14">
        <v>0</v>
      </c>
      <c r="DA150" s="14">
        <v>0</v>
      </c>
      <c r="DB150" s="14">
        <v>0</v>
      </c>
      <c r="DC150" s="14">
        <v>0</v>
      </c>
      <c r="DD150" s="14">
        <v>0</v>
      </c>
      <c r="DE150" s="14">
        <v>0</v>
      </c>
      <c r="DF150" s="14">
        <v>0</v>
      </c>
      <c r="DG150" s="14">
        <v>0</v>
      </c>
      <c r="DH150" s="14">
        <v>0</v>
      </c>
      <c r="DI150" s="14">
        <v>0</v>
      </c>
      <c r="DJ150" s="14">
        <v>0</v>
      </c>
      <c r="DK150" s="14">
        <v>0</v>
      </c>
      <c r="DL150" s="14">
        <v>0</v>
      </c>
      <c r="DM150" s="14">
        <v>0</v>
      </c>
      <c r="DN150" s="14">
        <v>0</v>
      </c>
      <c r="DO150" s="14">
        <v>0</v>
      </c>
      <c r="DP150" s="14">
        <v>0</v>
      </c>
      <c r="DQ150" s="14">
        <v>0</v>
      </c>
      <c r="DR150" s="14">
        <v>0</v>
      </c>
      <c r="DS150" s="14">
        <v>0</v>
      </c>
      <c r="DT150" s="14">
        <v>0</v>
      </c>
      <c r="DU150" s="14">
        <v>0</v>
      </c>
      <c r="DV150" s="14">
        <v>0</v>
      </c>
      <c r="DW150" s="14">
        <v>0</v>
      </c>
      <c r="DX150" s="14">
        <v>0</v>
      </c>
      <c r="DY150" s="14">
        <v>0</v>
      </c>
      <c r="DZ150" s="14">
        <v>0</v>
      </c>
      <c r="EA150" s="14">
        <v>0</v>
      </c>
      <c r="EB150" s="14">
        <v>0</v>
      </c>
      <c r="EC150" s="14">
        <v>0</v>
      </c>
      <c r="ED150" s="14">
        <v>0</v>
      </c>
      <c r="EE150" s="14">
        <v>0</v>
      </c>
      <c r="EF150" s="14">
        <v>0</v>
      </c>
    </row>
    <row r="151" ht="32" customHeight="1" spans="1:136" x14ac:dyDescent="0.25">
      <c r="A151" s="4" t="s">
        <v>8</v>
      </c>
      <c r="B151" s="4" t="s">
        <v>40</v>
      </c>
      <c r="C151" s="4" t="s">
        <v>320</v>
      </c>
      <c r="D151" s="12" t="s">
        <v>412</v>
      </c>
      <c r="E151" s="8">
        <f>SUM(G151:EF151)</f>
      </c>
      <c r="F151" s="8">
        <f>IF(E151&gt;0,1,0)</f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4">
        <v>0</v>
      </c>
      <c r="AQ151" s="14">
        <v>0</v>
      </c>
      <c r="AR151" s="14">
        <v>0</v>
      </c>
      <c r="AS151" s="14">
        <v>0</v>
      </c>
      <c r="AT151" s="14">
        <v>0</v>
      </c>
      <c r="AU151" s="14">
        <v>0</v>
      </c>
      <c r="AV151" s="14">
        <v>0</v>
      </c>
      <c r="AW151" s="14">
        <v>0</v>
      </c>
      <c r="AX151" s="14">
        <v>0</v>
      </c>
      <c r="AY151" s="14">
        <v>0</v>
      </c>
      <c r="AZ151" s="14">
        <v>0</v>
      </c>
      <c r="BA151" s="14">
        <v>0</v>
      </c>
      <c r="BB151" s="14">
        <v>0</v>
      </c>
      <c r="BC151" s="14">
        <v>0</v>
      </c>
      <c r="BD151" s="14">
        <v>0</v>
      </c>
      <c r="BE151" s="14">
        <v>0</v>
      </c>
      <c r="BF151" s="14">
        <v>0</v>
      </c>
      <c r="BG151" s="14">
        <v>0</v>
      </c>
      <c r="BH151" s="14">
        <v>0</v>
      </c>
      <c r="BI151" s="14">
        <v>0</v>
      </c>
      <c r="BJ151" s="14">
        <v>0</v>
      </c>
      <c r="BK151" s="14">
        <v>0</v>
      </c>
      <c r="BL151" s="14">
        <v>0</v>
      </c>
      <c r="BM151" s="14">
        <v>0</v>
      </c>
      <c r="BN151" s="14">
        <v>0</v>
      </c>
      <c r="BO151" s="14">
        <v>0</v>
      </c>
      <c r="BP151" s="14">
        <v>0</v>
      </c>
      <c r="BQ151" s="14">
        <v>0</v>
      </c>
      <c r="BR151" s="14">
        <v>0</v>
      </c>
      <c r="BS151" s="14">
        <v>0</v>
      </c>
      <c r="BT151" s="14">
        <v>0</v>
      </c>
      <c r="BU151" s="14">
        <v>0</v>
      </c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4">
        <v>0</v>
      </c>
      <c r="CH151" s="14">
        <v>0</v>
      </c>
      <c r="CI151" s="14">
        <v>0</v>
      </c>
      <c r="CJ151" s="14">
        <v>0</v>
      </c>
      <c r="CK151" s="14">
        <v>0</v>
      </c>
      <c r="CL151" s="14">
        <v>0</v>
      </c>
      <c r="CM151" s="14">
        <v>0</v>
      </c>
      <c r="CN151" s="14">
        <v>0</v>
      </c>
      <c r="CO151" s="14">
        <v>0</v>
      </c>
      <c r="CP151" s="14">
        <v>0</v>
      </c>
      <c r="CQ151" s="14">
        <v>0</v>
      </c>
      <c r="CR151" s="14">
        <v>0</v>
      </c>
      <c r="CS151" s="14">
        <v>0</v>
      </c>
      <c r="CT151" s="14">
        <v>0</v>
      </c>
      <c r="CU151" s="14">
        <v>0</v>
      </c>
      <c r="CV151" s="14">
        <v>0</v>
      </c>
      <c r="CW151" s="14">
        <v>0</v>
      </c>
      <c r="CX151" s="14">
        <v>0</v>
      </c>
      <c r="CY151" s="14">
        <v>0</v>
      </c>
      <c r="CZ151" s="14">
        <v>0</v>
      </c>
      <c r="DA151" s="14">
        <v>0</v>
      </c>
      <c r="DB151" s="14">
        <v>0</v>
      </c>
      <c r="DC151" s="14">
        <v>0</v>
      </c>
      <c r="DD151" s="14">
        <v>0</v>
      </c>
      <c r="DE151" s="14">
        <v>0</v>
      </c>
      <c r="DF151" s="14">
        <v>0</v>
      </c>
      <c r="DG151" s="14">
        <v>0</v>
      </c>
      <c r="DH151" s="14">
        <v>0</v>
      </c>
      <c r="DI151" s="14">
        <v>0</v>
      </c>
      <c r="DJ151" s="14">
        <v>0</v>
      </c>
      <c r="DK151" s="14">
        <v>0</v>
      </c>
      <c r="DL151" s="14">
        <v>0</v>
      </c>
      <c r="DM151" s="14">
        <v>0</v>
      </c>
      <c r="DN151" s="14">
        <v>0</v>
      </c>
      <c r="DO151" s="14">
        <v>0</v>
      </c>
      <c r="DP151" s="14">
        <v>0</v>
      </c>
      <c r="DQ151" s="14">
        <v>0</v>
      </c>
      <c r="DR151" s="14">
        <v>0</v>
      </c>
      <c r="DS151" s="14">
        <v>0</v>
      </c>
      <c r="DT151" s="14">
        <v>0</v>
      </c>
      <c r="DU151" s="14">
        <v>0</v>
      </c>
      <c r="DV151" s="14">
        <v>0</v>
      </c>
      <c r="DW151" s="14">
        <v>0</v>
      </c>
      <c r="DX151" s="14">
        <v>0</v>
      </c>
      <c r="DY151" s="14">
        <v>0</v>
      </c>
      <c r="DZ151" s="14">
        <v>0</v>
      </c>
      <c r="EA151" s="14">
        <v>0</v>
      </c>
      <c r="EB151" s="14">
        <v>0</v>
      </c>
      <c r="EC151" s="14">
        <v>0</v>
      </c>
      <c r="ED151" s="14">
        <v>0</v>
      </c>
      <c r="EE151" s="14">
        <v>0</v>
      </c>
      <c r="EF151" s="14">
        <v>0</v>
      </c>
    </row>
    <row r="152" ht="32" customHeight="1" spans="1:136" x14ac:dyDescent="0.25">
      <c r="A152" s="4" t="s">
        <v>8</v>
      </c>
      <c r="B152" s="4" t="s">
        <v>40</v>
      </c>
      <c r="C152" s="4" t="s">
        <v>413</v>
      </c>
      <c r="D152" s="12" t="s">
        <v>414</v>
      </c>
      <c r="E152" s="8">
        <f>SUM(G152:EF152)</f>
      </c>
      <c r="F152" s="8">
        <f>IF(E152&gt;0,1,0)</f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4">
        <v>0</v>
      </c>
      <c r="AT152" s="14">
        <v>0</v>
      </c>
      <c r="AU152" s="14">
        <v>0</v>
      </c>
      <c r="AV152" s="14">
        <v>0</v>
      </c>
      <c r="AW152" s="14">
        <v>0</v>
      </c>
      <c r="AX152" s="14">
        <v>0</v>
      </c>
      <c r="AY152" s="14">
        <v>0</v>
      </c>
      <c r="AZ152" s="14">
        <v>0</v>
      </c>
      <c r="BA152" s="14">
        <v>0</v>
      </c>
      <c r="BB152" s="14">
        <v>0</v>
      </c>
      <c r="BC152" s="14">
        <v>0</v>
      </c>
      <c r="BD152" s="14">
        <v>0</v>
      </c>
      <c r="BE152" s="14">
        <v>0</v>
      </c>
      <c r="BF152" s="14">
        <v>0</v>
      </c>
      <c r="BG152" s="14">
        <v>0</v>
      </c>
      <c r="BH152" s="14">
        <v>0</v>
      </c>
      <c r="BI152" s="14">
        <v>0</v>
      </c>
      <c r="BJ152" s="14">
        <v>0</v>
      </c>
      <c r="BK152" s="14">
        <v>0</v>
      </c>
      <c r="BL152" s="14">
        <v>0</v>
      </c>
      <c r="BM152" s="14">
        <v>0</v>
      </c>
      <c r="BN152" s="14">
        <v>0</v>
      </c>
      <c r="BO152" s="14">
        <v>0</v>
      </c>
      <c r="BP152" s="14">
        <v>0</v>
      </c>
      <c r="BQ152" s="14">
        <v>0</v>
      </c>
      <c r="BR152" s="14">
        <v>0</v>
      </c>
      <c r="BS152" s="14">
        <v>0</v>
      </c>
      <c r="BT152" s="14">
        <v>0</v>
      </c>
      <c r="BU152" s="14">
        <v>0</v>
      </c>
      <c r="BV152" s="14">
        <v>0</v>
      </c>
      <c r="BW152" s="14">
        <v>0</v>
      </c>
      <c r="BX152" s="14">
        <v>0</v>
      </c>
      <c r="BY152" s="14">
        <v>0</v>
      </c>
      <c r="BZ152" s="14">
        <v>0</v>
      </c>
      <c r="CA152" s="14">
        <v>0</v>
      </c>
      <c r="CB152" s="14">
        <v>0</v>
      </c>
      <c r="CC152" s="14">
        <v>0</v>
      </c>
      <c r="CD152" s="14">
        <v>0</v>
      </c>
      <c r="CE152" s="14">
        <v>0</v>
      </c>
      <c r="CF152" s="14">
        <v>0</v>
      </c>
      <c r="CG152" s="14">
        <v>0</v>
      </c>
      <c r="CH152" s="14">
        <v>0</v>
      </c>
      <c r="CI152" s="14">
        <v>0</v>
      </c>
      <c r="CJ152" s="14">
        <v>0</v>
      </c>
      <c r="CK152" s="14">
        <v>0</v>
      </c>
      <c r="CL152" s="14">
        <v>0</v>
      </c>
      <c r="CM152" s="14">
        <v>0</v>
      </c>
      <c r="CN152" s="14">
        <v>0</v>
      </c>
      <c r="CO152" s="14">
        <v>0</v>
      </c>
      <c r="CP152" s="14">
        <v>0</v>
      </c>
      <c r="CQ152" s="14">
        <v>0</v>
      </c>
      <c r="CR152" s="14">
        <v>0</v>
      </c>
      <c r="CS152" s="14">
        <v>0</v>
      </c>
      <c r="CT152" s="14">
        <v>0</v>
      </c>
      <c r="CU152" s="14">
        <v>0</v>
      </c>
      <c r="CV152" s="14">
        <v>0</v>
      </c>
      <c r="CW152" s="14">
        <v>0</v>
      </c>
      <c r="CX152" s="14">
        <v>0</v>
      </c>
      <c r="CY152" s="14">
        <v>0</v>
      </c>
      <c r="CZ152" s="14">
        <v>0</v>
      </c>
      <c r="DA152" s="14">
        <v>0</v>
      </c>
      <c r="DB152" s="14">
        <v>0</v>
      </c>
      <c r="DC152" s="14">
        <v>0</v>
      </c>
      <c r="DD152" s="14">
        <v>0</v>
      </c>
      <c r="DE152" s="14">
        <v>0</v>
      </c>
      <c r="DF152" s="14">
        <v>0</v>
      </c>
      <c r="DG152" s="14">
        <v>0</v>
      </c>
      <c r="DH152" s="14">
        <v>0</v>
      </c>
      <c r="DI152" s="14">
        <v>0</v>
      </c>
      <c r="DJ152" s="14">
        <v>0</v>
      </c>
      <c r="DK152" s="14">
        <v>0</v>
      </c>
      <c r="DL152" s="14">
        <v>0</v>
      </c>
      <c r="DM152" s="14">
        <v>0</v>
      </c>
      <c r="DN152" s="14">
        <v>0</v>
      </c>
      <c r="DO152" s="14">
        <v>0</v>
      </c>
      <c r="DP152" s="14">
        <v>0</v>
      </c>
      <c r="DQ152" s="14">
        <v>0</v>
      </c>
      <c r="DR152" s="14">
        <v>0</v>
      </c>
      <c r="DS152" s="14">
        <v>0</v>
      </c>
      <c r="DT152" s="14">
        <v>0</v>
      </c>
      <c r="DU152" s="14">
        <v>0</v>
      </c>
      <c r="DV152" s="14">
        <v>0</v>
      </c>
      <c r="DW152" s="14">
        <v>0</v>
      </c>
      <c r="DX152" s="14">
        <v>0</v>
      </c>
      <c r="DY152" s="14">
        <v>0</v>
      </c>
      <c r="DZ152" s="14">
        <v>0</v>
      </c>
      <c r="EA152" s="14">
        <v>0</v>
      </c>
      <c r="EB152" s="14">
        <v>0</v>
      </c>
      <c r="EC152" s="14">
        <v>0</v>
      </c>
      <c r="ED152" s="14">
        <v>0</v>
      </c>
      <c r="EE152" s="14">
        <v>0</v>
      </c>
      <c r="EF152" s="14">
        <v>0</v>
      </c>
    </row>
    <row r="153" ht="32" customHeight="1" spans="1:136" x14ac:dyDescent="0.25">
      <c r="A153" s="15" t="s">
        <v>8</v>
      </c>
      <c r="B153" s="15" t="s">
        <v>41</v>
      </c>
      <c r="C153" s="15" t="s">
        <v>194</v>
      </c>
      <c r="D153" s="16" t="s">
        <v>415</v>
      </c>
      <c r="E153" s="17">
        <f>SUM(G153:EF153)</f>
      </c>
      <c r="F153" s="17">
        <f>IF(E153&gt;0,1,0)</f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18">
        <v>0</v>
      </c>
      <c r="BN153" s="18">
        <v>0</v>
      </c>
      <c r="BO153" s="18">
        <v>0</v>
      </c>
      <c r="BP153" s="18">
        <v>0</v>
      </c>
      <c r="BQ153" s="18">
        <v>0</v>
      </c>
      <c r="BR153" s="18">
        <v>0</v>
      </c>
      <c r="BS153" s="18">
        <v>0</v>
      </c>
      <c r="BT153" s="18">
        <v>0</v>
      </c>
      <c r="BU153" s="18">
        <v>0</v>
      </c>
      <c r="BV153" s="18">
        <v>0</v>
      </c>
      <c r="BW153" s="18">
        <v>0</v>
      </c>
      <c r="BX153" s="18">
        <v>0</v>
      </c>
      <c r="BY153" s="18">
        <v>0</v>
      </c>
      <c r="BZ153" s="18">
        <v>0</v>
      </c>
      <c r="CA153" s="18">
        <v>0</v>
      </c>
      <c r="CB153" s="18">
        <v>0</v>
      </c>
      <c r="CC153" s="18">
        <v>0</v>
      </c>
      <c r="CD153" s="18">
        <v>0</v>
      </c>
      <c r="CE153" s="18">
        <v>0</v>
      </c>
      <c r="CF153" s="18">
        <v>0</v>
      </c>
      <c r="CG153" s="18">
        <v>0</v>
      </c>
      <c r="CH153" s="18">
        <v>0</v>
      </c>
      <c r="CI153" s="18">
        <v>0</v>
      </c>
      <c r="CJ153" s="18">
        <v>0</v>
      </c>
      <c r="CK153" s="18">
        <v>0</v>
      </c>
      <c r="CL153" s="18">
        <v>0</v>
      </c>
      <c r="CM153" s="18">
        <v>0</v>
      </c>
      <c r="CN153" s="18">
        <v>0</v>
      </c>
      <c r="CO153" s="18">
        <v>0</v>
      </c>
      <c r="CP153" s="18">
        <v>0</v>
      </c>
      <c r="CQ153" s="18">
        <v>0</v>
      </c>
      <c r="CR153" s="18">
        <v>0</v>
      </c>
      <c r="CS153" s="18">
        <v>0</v>
      </c>
      <c r="CT153" s="18">
        <v>0</v>
      </c>
      <c r="CU153" s="18">
        <v>0</v>
      </c>
      <c r="CV153" s="18">
        <v>0</v>
      </c>
      <c r="CW153" s="18">
        <v>0</v>
      </c>
      <c r="CX153" s="18">
        <v>0</v>
      </c>
      <c r="CY153" s="18">
        <v>0</v>
      </c>
      <c r="CZ153" s="18">
        <v>0</v>
      </c>
      <c r="DA153" s="18">
        <v>0</v>
      </c>
      <c r="DB153" s="18">
        <v>0</v>
      </c>
      <c r="DC153" s="18">
        <v>0</v>
      </c>
      <c r="DD153" s="18">
        <v>0</v>
      </c>
      <c r="DE153" s="18">
        <v>0</v>
      </c>
      <c r="DF153" s="18">
        <v>0</v>
      </c>
      <c r="DG153" s="18">
        <v>0</v>
      </c>
      <c r="DH153" s="18">
        <v>0</v>
      </c>
      <c r="DI153" s="18">
        <v>0</v>
      </c>
      <c r="DJ153" s="18">
        <v>0</v>
      </c>
      <c r="DK153" s="18">
        <v>0</v>
      </c>
      <c r="DL153" s="18">
        <v>0</v>
      </c>
      <c r="DM153" s="18">
        <v>0</v>
      </c>
      <c r="DN153" s="18">
        <v>0</v>
      </c>
      <c r="DO153" s="18">
        <v>0</v>
      </c>
      <c r="DP153" s="18">
        <v>0</v>
      </c>
      <c r="DQ153" s="18">
        <v>0</v>
      </c>
      <c r="DR153" s="18">
        <v>0</v>
      </c>
      <c r="DS153" s="18">
        <v>0</v>
      </c>
      <c r="DT153" s="18">
        <v>0</v>
      </c>
      <c r="DU153" s="18">
        <v>0</v>
      </c>
      <c r="DV153" s="18">
        <v>0</v>
      </c>
      <c r="DW153" s="18">
        <v>0</v>
      </c>
      <c r="DX153" s="18">
        <v>0</v>
      </c>
      <c r="DY153" s="18">
        <v>0</v>
      </c>
      <c r="DZ153" s="18">
        <v>0</v>
      </c>
      <c r="EA153" s="18">
        <v>0</v>
      </c>
      <c r="EB153" s="18">
        <v>0</v>
      </c>
      <c r="EC153" s="18">
        <v>0</v>
      </c>
      <c r="ED153" s="18">
        <v>0</v>
      </c>
      <c r="EE153" s="18">
        <v>0</v>
      </c>
      <c r="EF153" s="18">
        <v>0</v>
      </c>
    </row>
    <row r="154" ht="32" customHeight="1" spans="1:136" x14ac:dyDescent="0.25">
      <c r="A154" s="4" t="s">
        <v>8</v>
      </c>
      <c r="B154" s="4" t="s">
        <v>41</v>
      </c>
      <c r="C154" s="4" t="s">
        <v>196</v>
      </c>
      <c r="D154" s="12" t="s">
        <v>416</v>
      </c>
      <c r="E154" s="8">
        <f>SUM(G154:EF154)</f>
      </c>
      <c r="F154" s="8">
        <f>IF(E154&gt;0,1,0)</f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4">
        <v>0</v>
      </c>
      <c r="AT154" s="14">
        <v>0</v>
      </c>
      <c r="AU154" s="14">
        <v>0</v>
      </c>
      <c r="AV154" s="14">
        <v>0</v>
      </c>
      <c r="AW154" s="14">
        <v>0</v>
      </c>
      <c r="AX154" s="14">
        <v>0</v>
      </c>
      <c r="AY154" s="14">
        <v>0</v>
      </c>
      <c r="AZ154" s="14">
        <v>0</v>
      </c>
      <c r="BA154" s="14">
        <v>0</v>
      </c>
      <c r="BB154" s="14">
        <v>0</v>
      </c>
      <c r="BC154" s="14">
        <v>0</v>
      </c>
      <c r="BD154" s="14">
        <v>0</v>
      </c>
      <c r="BE154" s="14">
        <v>0</v>
      </c>
      <c r="BF154" s="14">
        <v>0</v>
      </c>
      <c r="BG154" s="14">
        <v>0</v>
      </c>
      <c r="BH154" s="14">
        <v>0</v>
      </c>
      <c r="BI154" s="14">
        <v>0</v>
      </c>
      <c r="BJ154" s="14">
        <v>0</v>
      </c>
      <c r="BK154" s="14">
        <v>0</v>
      </c>
      <c r="BL154" s="14">
        <v>0</v>
      </c>
      <c r="BM154" s="14">
        <v>0</v>
      </c>
      <c r="BN154" s="14">
        <v>0</v>
      </c>
      <c r="BO154" s="14">
        <v>0</v>
      </c>
      <c r="BP154" s="14">
        <v>0</v>
      </c>
      <c r="BQ154" s="14">
        <v>0</v>
      </c>
      <c r="BR154" s="14">
        <v>0</v>
      </c>
      <c r="BS154" s="14">
        <v>0</v>
      </c>
      <c r="BT154" s="14">
        <v>0</v>
      </c>
      <c r="BU154" s="14">
        <v>0</v>
      </c>
      <c r="BV154" s="14">
        <v>0</v>
      </c>
      <c r="BW154" s="14">
        <v>0</v>
      </c>
      <c r="BX154" s="14">
        <v>0</v>
      </c>
      <c r="BY154" s="14">
        <v>0</v>
      </c>
      <c r="BZ154" s="14">
        <v>0</v>
      </c>
      <c r="CA154" s="14">
        <v>0</v>
      </c>
      <c r="CB154" s="14">
        <v>0</v>
      </c>
      <c r="CC154" s="14">
        <v>0</v>
      </c>
      <c r="CD154" s="14">
        <v>0</v>
      </c>
      <c r="CE154" s="14">
        <v>0</v>
      </c>
      <c r="CF154" s="14">
        <v>0</v>
      </c>
      <c r="CG154" s="14">
        <v>0</v>
      </c>
      <c r="CH154" s="14">
        <v>0</v>
      </c>
      <c r="CI154" s="14">
        <v>0</v>
      </c>
      <c r="CJ154" s="14">
        <v>0</v>
      </c>
      <c r="CK154" s="14">
        <v>0</v>
      </c>
      <c r="CL154" s="14">
        <v>0</v>
      </c>
      <c r="CM154" s="14">
        <v>0</v>
      </c>
      <c r="CN154" s="14">
        <v>0</v>
      </c>
      <c r="CO154" s="14">
        <v>0</v>
      </c>
      <c r="CP154" s="14">
        <v>0</v>
      </c>
      <c r="CQ154" s="14">
        <v>0</v>
      </c>
      <c r="CR154" s="14">
        <v>0</v>
      </c>
      <c r="CS154" s="14">
        <v>0</v>
      </c>
      <c r="CT154" s="14">
        <v>0</v>
      </c>
      <c r="CU154" s="14">
        <v>0</v>
      </c>
      <c r="CV154" s="14">
        <v>0</v>
      </c>
      <c r="CW154" s="14">
        <v>0</v>
      </c>
      <c r="CX154" s="14">
        <v>0</v>
      </c>
      <c r="CY154" s="14">
        <v>0</v>
      </c>
      <c r="CZ154" s="14">
        <v>0</v>
      </c>
      <c r="DA154" s="14">
        <v>0</v>
      </c>
      <c r="DB154" s="14">
        <v>0</v>
      </c>
      <c r="DC154" s="14">
        <v>0</v>
      </c>
      <c r="DD154" s="14">
        <v>0</v>
      </c>
      <c r="DE154" s="14">
        <v>0</v>
      </c>
      <c r="DF154" s="14">
        <v>0</v>
      </c>
      <c r="DG154" s="14">
        <v>0</v>
      </c>
      <c r="DH154" s="14">
        <v>0</v>
      </c>
      <c r="DI154" s="14">
        <v>0</v>
      </c>
      <c r="DJ154" s="14">
        <v>0</v>
      </c>
      <c r="DK154" s="14">
        <v>0</v>
      </c>
      <c r="DL154" s="14">
        <v>0</v>
      </c>
      <c r="DM154" s="14">
        <v>0</v>
      </c>
      <c r="DN154" s="14">
        <v>0</v>
      </c>
      <c r="DO154" s="14">
        <v>0</v>
      </c>
      <c r="DP154" s="14">
        <v>0</v>
      </c>
      <c r="DQ154" s="14">
        <v>0</v>
      </c>
      <c r="DR154" s="14">
        <v>0</v>
      </c>
      <c r="DS154" s="14">
        <v>0</v>
      </c>
      <c r="DT154" s="14">
        <v>0</v>
      </c>
      <c r="DU154" s="14">
        <v>0</v>
      </c>
      <c r="DV154" s="14">
        <v>0</v>
      </c>
      <c r="DW154" s="14">
        <v>0</v>
      </c>
      <c r="DX154" s="14">
        <v>0</v>
      </c>
      <c r="DY154" s="14">
        <v>0</v>
      </c>
      <c r="DZ154" s="14">
        <v>0</v>
      </c>
      <c r="EA154" s="14">
        <v>0</v>
      </c>
      <c r="EB154" s="14">
        <v>0</v>
      </c>
      <c r="EC154" s="14">
        <v>0</v>
      </c>
      <c r="ED154" s="14">
        <v>0</v>
      </c>
      <c r="EE154" s="14">
        <v>0</v>
      </c>
      <c r="EF154" s="14">
        <v>0</v>
      </c>
    </row>
    <row r="155" ht="32" customHeight="1" spans="1:136" x14ac:dyDescent="0.25">
      <c r="A155" s="4" t="s">
        <v>8</v>
      </c>
      <c r="B155" s="4" t="s">
        <v>41</v>
      </c>
      <c r="C155" s="4" t="s">
        <v>198</v>
      </c>
      <c r="D155" s="12" t="s">
        <v>417</v>
      </c>
      <c r="E155" s="8">
        <f>SUM(G155:EF155)</f>
      </c>
      <c r="F155" s="8">
        <f>IF(E155&gt;0,1,0)</f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4">
        <v>0</v>
      </c>
      <c r="AT155" s="14">
        <v>0</v>
      </c>
      <c r="AU155" s="14">
        <v>0</v>
      </c>
      <c r="AV155" s="14">
        <v>0</v>
      </c>
      <c r="AW155" s="14">
        <v>0</v>
      </c>
      <c r="AX155" s="14">
        <v>0</v>
      </c>
      <c r="AY155" s="14">
        <v>0</v>
      </c>
      <c r="AZ155" s="14">
        <v>0</v>
      </c>
      <c r="BA155" s="14">
        <v>0</v>
      </c>
      <c r="BB155" s="14">
        <v>0</v>
      </c>
      <c r="BC155" s="14">
        <v>0</v>
      </c>
      <c r="BD155" s="14">
        <v>0</v>
      </c>
      <c r="BE155" s="14">
        <v>0</v>
      </c>
      <c r="BF155" s="14">
        <v>0</v>
      </c>
      <c r="BG155" s="14">
        <v>0</v>
      </c>
      <c r="BH155" s="14">
        <v>0</v>
      </c>
      <c r="BI155" s="14">
        <v>0</v>
      </c>
      <c r="BJ155" s="14">
        <v>0</v>
      </c>
      <c r="BK155" s="14">
        <v>0</v>
      </c>
      <c r="BL155" s="14">
        <v>0</v>
      </c>
      <c r="BM155" s="14">
        <v>0</v>
      </c>
      <c r="BN155" s="14">
        <v>0</v>
      </c>
      <c r="BO155" s="14">
        <v>0</v>
      </c>
      <c r="BP155" s="14">
        <v>0</v>
      </c>
      <c r="BQ155" s="14">
        <v>0</v>
      </c>
      <c r="BR155" s="14">
        <v>0</v>
      </c>
      <c r="BS155" s="14">
        <v>0</v>
      </c>
      <c r="BT155" s="14">
        <v>0</v>
      </c>
      <c r="BU155" s="14">
        <v>0</v>
      </c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4">
        <v>0</v>
      </c>
      <c r="CH155" s="14">
        <v>0</v>
      </c>
      <c r="CI155" s="14">
        <v>0</v>
      </c>
      <c r="CJ155" s="14">
        <v>0</v>
      </c>
      <c r="CK155" s="14">
        <v>0</v>
      </c>
      <c r="CL155" s="14">
        <v>0</v>
      </c>
      <c r="CM155" s="14">
        <v>0</v>
      </c>
      <c r="CN155" s="14">
        <v>0</v>
      </c>
      <c r="CO155" s="14">
        <v>0</v>
      </c>
      <c r="CP155" s="14">
        <v>0</v>
      </c>
      <c r="CQ155" s="14">
        <v>0</v>
      </c>
      <c r="CR155" s="14">
        <v>0</v>
      </c>
      <c r="CS155" s="14">
        <v>0</v>
      </c>
      <c r="CT155" s="14">
        <v>0</v>
      </c>
      <c r="CU155" s="14">
        <v>0</v>
      </c>
      <c r="CV155" s="14">
        <v>0</v>
      </c>
      <c r="CW155" s="14">
        <v>0</v>
      </c>
      <c r="CX155" s="14">
        <v>0</v>
      </c>
      <c r="CY155" s="14">
        <v>0</v>
      </c>
      <c r="CZ155" s="14">
        <v>0</v>
      </c>
      <c r="DA155" s="14">
        <v>0</v>
      </c>
      <c r="DB155" s="14">
        <v>0</v>
      </c>
      <c r="DC155" s="14">
        <v>0</v>
      </c>
      <c r="DD155" s="14">
        <v>0</v>
      </c>
      <c r="DE155" s="14">
        <v>0</v>
      </c>
      <c r="DF155" s="14">
        <v>0</v>
      </c>
      <c r="DG155" s="14">
        <v>0</v>
      </c>
      <c r="DH155" s="14">
        <v>0</v>
      </c>
      <c r="DI155" s="14">
        <v>0</v>
      </c>
      <c r="DJ155" s="14">
        <v>0</v>
      </c>
      <c r="DK155" s="14">
        <v>0</v>
      </c>
      <c r="DL155" s="14">
        <v>0</v>
      </c>
      <c r="DM155" s="14">
        <v>0</v>
      </c>
      <c r="DN155" s="14">
        <v>0</v>
      </c>
      <c r="DO155" s="14">
        <v>0</v>
      </c>
      <c r="DP155" s="14">
        <v>0</v>
      </c>
      <c r="DQ155" s="14">
        <v>0</v>
      </c>
      <c r="DR155" s="14">
        <v>0</v>
      </c>
      <c r="DS155" s="14">
        <v>0</v>
      </c>
      <c r="DT155" s="14">
        <v>0</v>
      </c>
      <c r="DU155" s="14">
        <v>0</v>
      </c>
      <c r="DV155" s="14">
        <v>0</v>
      </c>
      <c r="DW155" s="14">
        <v>0</v>
      </c>
      <c r="DX155" s="14">
        <v>0</v>
      </c>
      <c r="DY155" s="14">
        <v>0</v>
      </c>
      <c r="DZ155" s="14">
        <v>0</v>
      </c>
      <c r="EA155" s="14">
        <v>0</v>
      </c>
      <c r="EB155" s="14">
        <v>0</v>
      </c>
      <c r="EC155" s="14">
        <v>0</v>
      </c>
      <c r="ED155" s="14">
        <v>0</v>
      </c>
      <c r="EE155" s="14">
        <v>0</v>
      </c>
      <c r="EF155" s="14">
        <v>0</v>
      </c>
    </row>
    <row r="156" ht="32" customHeight="1" spans="1:136" x14ac:dyDescent="0.25">
      <c r="A156" s="4" t="s">
        <v>8</v>
      </c>
      <c r="B156" s="4" t="s">
        <v>41</v>
      </c>
      <c r="C156" s="4" t="s">
        <v>200</v>
      </c>
      <c r="D156" s="12" t="s">
        <v>418</v>
      </c>
      <c r="E156" s="8">
        <f>SUM(G156:EF156)</f>
      </c>
      <c r="F156" s="8">
        <f>IF(E156&gt;0,1,0)</f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>
        <v>0</v>
      </c>
      <c r="AT156" s="14">
        <v>0</v>
      </c>
      <c r="AU156" s="14">
        <v>0</v>
      </c>
      <c r="AV156" s="14">
        <v>0</v>
      </c>
      <c r="AW156" s="14">
        <v>0</v>
      </c>
      <c r="AX156" s="14">
        <v>0</v>
      </c>
      <c r="AY156" s="14">
        <v>0</v>
      </c>
      <c r="AZ156" s="14">
        <v>0</v>
      </c>
      <c r="BA156" s="14">
        <v>0</v>
      </c>
      <c r="BB156" s="14">
        <v>0</v>
      </c>
      <c r="BC156" s="14">
        <v>0</v>
      </c>
      <c r="BD156" s="14">
        <v>0</v>
      </c>
      <c r="BE156" s="14">
        <v>0</v>
      </c>
      <c r="BF156" s="14">
        <v>0</v>
      </c>
      <c r="BG156" s="14">
        <v>0</v>
      </c>
      <c r="BH156" s="14">
        <v>0</v>
      </c>
      <c r="BI156" s="14">
        <v>0</v>
      </c>
      <c r="BJ156" s="14">
        <v>0</v>
      </c>
      <c r="BK156" s="14">
        <v>0</v>
      </c>
      <c r="BL156" s="14">
        <v>0</v>
      </c>
      <c r="BM156" s="14">
        <v>0</v>
      </c>
      <c r="BN156" s="14">
        <v>0</v>
      </c>
      <c r="BO156" s="14">
        <v>0</v>
      </c>
      <c r="BP156" s="14">
        <v>0</v>
      </c>
      <c r="BQ156" s="14">
        <v>0</v>
      </c>
      <c r="BR156" s="14">
        <v>0</v>
      </c>
      <c r="BS156" s="14">
        <v>0</v>
      </c>
      <c r="BT156" s="14">
        <v>0</v>
      </c>
      <c r="BU156" s="14">
        <v>0</v>
      </c>
      <c r="BV156" s="14">
        <v>0</v>
      </c>
      <c r="BW156" s="14">
        <v>0</v>
      </c>
      <c r="BX156" s="14">
        <v>0</v>
      </c>
      <c r="BY156" s="14">
        <v>0</v>
      </c>
      <c r="BZ156" s="14">
        <v>0</v>
      </c>
      <c r="CA156" s="14">
        <v>0</v>
      </c>
      <c r="CB156" s="14">
        <v>0</v>
      </c>
      <c r="CC156" s="14">
        <v>0</v>
      </c>
      <c r="CD156" s="14">
        <v>0</v>
      </c>
      <c r="CE156" s="14">
        <v>0</v>
      </c>
      <c r="CF156" s="14">
        <v>0</v>
      </c>
      <c r="CG156" s="14">
        <v>0</v>
      </c>
      <c r="CH156" s="14">
        <v>0</v>
      </c>
      <c r="CI156" s="14">
        <v>0</v>
      </c>
      <c r="CJ156" s="14">
        <v>0</v>
      </c>
      <c r="CK156" s="14">
        <v>0</v>
      </c>
      <c r="CL156" s="14">
        <v>0</v>
      </c>
      <c r="CM156" s="14">
        <v>0</v>
      </c>
      <c r="CN156" s="14">
        <v>0</v>
      </c>
      <c r="CO156" s="14">
        <v>0</v>
      </c>
      <c r="CP156" s="14">
        <v>0</v>
      </c>
      <c r="CQ156" s="14">
        <v>0</v>
      </c>
      <c r="CR156" s="14">
        <v>0</v>
      </c>
      <c r="CS156" s="14">
        <v>0</v>
      </c>
      <c r="CT156" s="14">
        <v>0</v>
      </c>
      <c r="CU156" s="14">
        <v>0</v>
      </c>
      <c r="CV156" s="14">
        <v>0</v>
      </c>
      <c r="CW156" s="14">
        <v>0</v>
      </c>
      <c r="CX156" s="14">
        <v>0</v>
      </c>
      <c r="CY156" s="14">
        <v>0</v>
      </c>
      <c r="CZ156" s="14">
        <v>0</v>
      </c>
      <c r="DA156" s="14">
        <v>0</v>
      </c>
      <c r="DB156" s="14">
        <v>0</v>
      </c>
      <c r="DC156" s="14">
        <v>0</v>
      </c>
      <c r="DD156" s="14">
        <v>0</v>
      </c>
      <c r="DE156" s="14">
        <v>0</v>
      </c>
      <c r="DF156" s="14">
        <v>0</v>
      </c>
      <c r="DG156" s="14">
        <v>0</v>
      </c>
      <c r="DH156" s="14">
        <v>0</v>
      </c>
      <c r="DI156" s="14">
        <v>0</v>
      </c>
      <c r="DJ156" s="14">
        <v>0</v>
      </c>
      <c r="DK156" s="14">
        <v>0</v>
      </c>
      <c r="DL156" s="14">
        <v>0</v>
      </c>
      <c r="DM156" s="14">
        <v>0</v>
      </c>
      <c r="DN156" s="14">
        <v>0</v>
      </c>
      <c r="DO156" s="14">
        <v>0</v>
      </c>
      <c r="DP156" s="14">
        <v>0</v>
      </c>
      <c r="DQ156" s="14">
        <v>0</v>
      </c>
      <c r="DR156" s="14">
        <v>0</v>
      </c>
      <c r="DS156" s="14">
        <v>0</v>
      </c>
      <c r="DT156" s="14">
        <v>0</v>
      </c>
      <c r="DU156" s="14">
        <v>0</v>
      </c>
      <c r="DV156" s="14">
        <v>0</v>
      </c>
      <c r="DW156" s="14">
        <v>0</v>
      </c>
      <c r="DX156" s="14">
        <v>0</v>
      </c>
      <c r="DY156" s="14">
        <v>0</v>
      </c>
      <c r="DZ156" s="14">
        <v>0</v>
      </c>
      <c r="EA156" s="14">
        <v>0</v>
      </c>
      <c r="EB156" s="14">
        <v>0</v>
      </c>
      <c r="EC156" s="14">
        <v>0</v>
      </c>
      <c r="ED156" s="14">
        <v>0</v>
      </c>
      <c r="EE156" s="14">
        <v>0</v>
      </c>
      <c r="EF156" s="14">
        <v>0</v>
      </c>
    </row>
    <row r="157" ht="32" customHeight="1" spans="1:136" x14ac:dyDescent="0.25">
      <c r="A157" s="4" t="s">
        <v>8</v>
      </c>
      <c r="B157" s="4" t="s">
        <v>41</v>
      </c>
      <c r="C157" s="4" t="s">
        <v>326</v>
      </c>
      <c r="D157" s="12" t="s">
        <v>419</v>
      </c>
      <c r="E157" s="8">
        <f>SUM(G157:EF157)</f>
      </c>
      <c r="F157" s="8">
        <f>IF(E157&gt;0,1,0)</f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4">
        <v>0</v>
      </c>
      <c r="AT157" s="14">
        <v>0</v>
      </c>
      <c r="AU157" s="14">
        <v>0</v>
      </c>
      <c r="AV157" s="14">
        <v>0</v>
      </c>
      <c r="AW157" s="14">
        <v>0</v>
      </c>
      <c r="AX157" s="14">
        <v>0</v>
      </c>
      <c r="AY157" s="14">
        <v>0</v>
      </c>
      <c r="AZ157" s="14">
        <v>0</v>
      </c>
      <c r="BA157" s="14">
        <v>0</v>
      </c>
      <c r="BB157" s="14">
        <v>0</v>
      </c>
      <c r="BC157" s="14">
        <v>0</v>
      </c>
      <c r="BD157" s="14">
        <v>0</v>
      </c>
      <c r="BE157" s="14">
        <v>0</v>
      </c>
      <c r="BF157" s="14">
        <v>0</v>
      </c>
      <c r="BG157" s="14">
        <v>0</v>
      </c>
      <c r="BH157" s="14">
        <v>0</v>
      </c>
      <c r="BI157" s="14">
        <v>0</v>
      </c>
      <c r="BJ157" s="14">
        <v>0</v>
      </c>
      <c r="BK157" s="14">
        <v>0</v>
      </c>
      <c r="BL157" s="14">
        <v>0</v>
      </c>
      <c r="BM157" s="14">
        <v>0</v>
      </c>
      <c r="BN157" s="14">
        <v>0</v>
      </c>
      <c r="BO157" s="14">
        <v>0</v>
      </c>
      <c r="BP157" s="14">
        <v>0</v>
      </c>
      <c r="BQ157" s="14">
        <v>0</v>
      </c>
      <c r="BR157" s="14">
        <v>0</v>
      </c>
      <c r="BS157" s="14">
        <v>0</v>
      </c>
      <c r="BT157" s="14">
        <v>0</v>
      </c>
      <c r="BU157" s="14">
        <v>0</v>
      </c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4">
        <v>0</v>
      </c>
      <c r="CH157" s="14">
        <v>0</v>
      </c>
      <c r="CI157" s="14">
        <v>0</v>
      </c>
      <c r="CJ157" s="14">
        <v>0</v>
      </c>
      <c r="CK157" s="14">
        <v>0</v>
      </c>
      <c r="CL157" s="14">
        <v>0</v>
      </c>
      <c r="CM157" s="14">
        <v>0</v>
      </c>
      <c r="CN157" s="14">
        <v>0</v>
      </c>
      <c r="CO157" s="14">
        <v>0</v>
      </c>
      <c r="CP157" s="14">
        <v>0</v>
      </c>
      <c r="CQ157" s="14">
        <v>0</v>
      </c>
      <c r="CR157" s="14">
        <v>0</v>
      </c>
      <c r="CS157" s="14">
        <v>0</v>
      </c>
      <c r="CT157" s="14">
        <v>0</v>
      </c>
      <c r="CU157" s="14">
        <v>0</v>
      </c>
      <c r="CV157" s="14">
        <v>0</v>
      </c>
      <c r="CW157" s="14">
        <v>0</v>
      </c>
      <c r="CX157" s="14">
        <v>0</v>
      </c>
      <c r="CY157" s="14">
        <v>0</v>
      </c>
      <c r="CZ157" s="14">
        <v>0</v>
      </c>
      <c r="DA157" s="14">
        <v>0</v>
      </c>
      <c r="DB157" s="14">
        <v>0</v>
      </c>
      <c r="DC157" s="14">
        <v>0</v>
      </c>
      <c r="DD157" s="14">
        <v>0</v>
      </c>
      <c r="DE157" s="14">
        <v>0</v>
      </c>
      <c r="DF157" s="14">
        <v>0</v>
      </c>
      <c r="DG157" s="14">
        <v>0</v>
      </c>
      <c r="DH157" s="14">
        <v>0</v>
      </c>
      <c r="DI157" s="14">
        <v>0</v>
      </c>
      <c r="DJ157" s="14">
        <v>0</v>
      </c>
      <c r="DK157" s="14">
        <v>0</v>
      </c>
      <c r="DL157" s="14">
        <v>0</v>
      </c>
      <c r="DM157" s="14">
        <v>0</v>
      </c>
      <c r="DN157" s="14">
        <v>0</v>
      </c>
      <c r="DO157" s="14">
        <v>0</v>
      </c>
      <c r="DP157" s="14">
        <v>0</v>
      </c>
      <c r="DQ157" s="14">
        <v>0</v>
      </c>
      <c r="DR157" s="14">
        <v>0</v>
      </c>
      <c r="DS157" s="14">
        <v>0</v>
      </c>
      <c r="DT157" s="14">
        <v>0</v>
      </c>
      <c r="DU157" s="14">
        <v>0</v>
      </c>
      <c r="DV157" s="14">
        <v>0</v>
      </c>
      <c r="DW157" s="14">
        <v>0</v>
      </c>
      <c r="DX157" s="14">
        <v>0</v>
      </c>
      <c r="DY157" s="14">
        <v>0</v>
      </c>
      <c r="DZ157" s="14">
        <v>0</v>
      </c>
      <c r="EA157" s="14">
        <v>0</v>
      </c>
      <c r="EB157" s="14">
        <v>0</v>
      </c>
      <c r="EC157" s="14">
        <v>0</v>
      </c>
      <c r="ED157" s="14">
        <v>0</v>
      </c>
      <c r="EE157" s="14">
        <v>0</v>
      </c>
      <c r="EF157" s="14">
        <v>0</v>
      </c>
    </row>
    <row r="158" ht="32" customHeight="1" spans="1:136" x14ac:dyDescent="0.25">
      <c r="A158" s="15" t="s">
        <v>8</v>
      </c>
      <c r="B158" s="15" t="s">
        <v>42</v>
      </c>
      <c r="C158" s="15" t="s">
        <v>202</v>
      </c>
      <c r="D158" s="16" t="s">
        <v>420</v>
      </c>
      <c r="E158" s="17">
        <f>SUM(G158:EF158)</f>
      </c>
      <c r="F158" s="17">
        <f>IF(E158&gt;0,1,0)</f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8">
        <v>0</v>
      </c>
      <c r="BE158" s="18">
        <v>0</v>
      </c>
      <c r="BF158" s="18">
        <v>0</v>
      </c>
      <c r="BG158" s="18">
        <v>0</v>
      </c>
      <c r="BH158" s="18">
        <v>0</v>
      </c>
      <c r="BI158" s="18">
        <v>0</v>
      </c>
      <c r="BJ158" s="18">
        <v>0</v>
      </c>
      <c r="BK158" s="18">
        <v>0</v>
      </c>
      <c r="BL158" s="18">
        <v>0</v>
      </c>
      <c r="BM158" s="18">
        <v>0</v>
      </c>
      <c r="BN158" s="18">
        <v>0</v>
      </c>
      <c r="BO158" s="18">
        <v>0</v>
      </c>
      <c r="BP158" s="18">
        <v>0</v>
      </c>
      <c r="BQ158" s="18">
        <v>0</v>
      </c>
      <c r="BR158" s="18">
        <v>0</v>
      </c>
      <c r="BS158" s="18">
        <v>0</v>
      </c>
      <c r="BT158" s="18">
        <v>0</v>
      </c>
      <c r="BU158" s="18">
        <v>0</v>
      </c>
      <c r="BV158" s="18">
        <v>0</v>
      </c>
      <c r="BW158" s="18">
        <v>0</v>
      </c>
      <c r="BX158" s="18">
        <v>0</v>
      </c>
      <c r="BY158" s="18">
        <v>0</v>
      </c>
      <c r="BZ158" s="18">
        <v>0</v>
      </c>
      <c r="CA158" s="18">
        <v>0</v>
      </c>
      <c r="CB158" s="18">
        <v>0</v>
      </c>
      <c r="CC158" s="18">
        <v>0</v>
      </c>
      <c r="CD158" s="18">
        <v>0</v>
      </c>
      <c r="CE158" s="18">
        <v>0</v>
      </c>
      <c r="CF158" s="18">
        <v>0</v>
      </c>
      <c r="CG158" s="18">
        <v>0</v>
      </c>
      <c r="CH158" s="18">
        <v>0</v>
      </c>
      <c r="CI158" s="18">
        <v>0</v>
      </c>
      <c r="CJ158" s="18">
        <v>0</v>
      </c>
      <c r="CK158" s="18">
        <v>0</v>
      </c>
      <c r="CL158" s="18">
        <v>0</v>
      </c>
      <c r="CM158" s="18">
        <v>0</v>
      </c>
      <c r="CN158" s="18">
        <v>0</v>
      </c>
      <c r="CO158" s="18">
        <v>0</v>
      </c>
      <c r="CP158" s="18">
        <v>0</v>
      </c>
      <c r="CQ158" s="18">
        <v>0</v>
      </c>
      <c r="CR158" s="18">
        <v>0</v>
      </c>
      <c r="CS158" s="18">
        <v>0</v>
      </c>
      <c r="CT158" s="18">
        <v>0</v>
      </c>
      <c r="CU158" s="18">
        <v>0</v>
      </c>
      <c r="CV158" s="18">
        <v>0</v>
      </c>
      <c r="CW158" s="18">
        <v>0</v>
      </c>
      <c r="CX158" s="18">
        <v>0</v>
      </c>
      <c r="CY158" s="18">
        <v>0</v>
      </c>
      <c r="CZ158" s="18">
        <v>0</v>
      </c>
      <c r="DA158" s="18">
        <v>0</v>
      </c>
      <c r="DB158" s="18">
        <v>0</v>
      </c>
      <c r="DC158" s="18">
        <v>0</v>
      </c>
      <c r="DD158" s="18">
        <v>0</v>
      </c>
      <c r="DE158" s="18">
        <v>0</v>
      </c>
      <c r="DF158" s="18">
        <v>0</v>
      </c>
      <c r="DG158" s="18">
        <v>0</v>
      </c>
      <c r="DH158" s="18">
        <v>0</v>
      </c>
      <c r="DI158" s="18">
        <v>0</v>
      </c>
      <c r="DJ158" s="18">
        <v>0</v>
      </c>
      <c r="DK158" s="18">
        <v>0</v>
      </c>
      <c r="DL158" s="18">
        <v>0</v>
      </c>
      <c r="DM158" s="18">
        <v>0</v>
      </c>
      <c r="DN158" s="18">
        <v>0</v>
      </c>
      <c r="DO158" s="18">
        <v>0</v>
      </c>
      <c r="DP158" s="18">
        <v>0</v>
      </c>
      <c r="DQ158" s="18">
        <v>0</v>
      </c>
      <c r="DR158" s="18">
        <v>0</v>
      </c>
      <c r="DS158" s="18">
        <v>0</v>
      </c>
      <c r="DT158" s="18">
        <v>0</v>
      </c>
      <c r="DU158" s="18">
        <v>0</v>
      </c>
      <c r="DV158" s="18">
        <v>0</v>
      </c>
      <c r="DW158" s="18">
        <v>0</v>
      </c>
      <c r="DX158" s="18">
        <v>0</v>
      </c>
      <c r="DY158" s="18">
        <v>0</v>
      </c>
      <c r="DZ158" s="18">
        <v>0</v>
      </c>
      <c r="EA158" s="18">
        <v>0</v>
      </c>
      <c r="EB158" s="18">
        <v>0</v>
      </c>
      <c r="EC158" s="18">
        <v>0</v>
      </c>
      <c r="ED158" s="18">
        <v>0</v>
      </c>
      <c r="EE158" s="18">
        <v>0</v>
      </c>
      <c r="EF158" s="18">
        <v>0</v>
      </c>
    </row>
    <row r="159" ht="32" customHeight="1" spans="1:136" x14ac:dyDescent="0.25">
      <c r="A159" s="4" t="s">
        <v>8</v>
      </c>
      <c r="B159" s="4" t="s">
        <v>42</v>
      </c>
      <c r="C159" s="4" t="s">
        <v>204</v>
      </c>
      <c r="D159" s="12" t="s">
        <v>421</v>
      </c>
      <c r="E159" s="8">
        <f>SUM(G159:EF159)</f>
      </c>
      <c r="F159" s="8">
        <f>IF(E159&gt;0,1,0)</f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0</v>
      </c>
      <c r="AR159" s="14">
        <v>0</v>
      </c>
      <c r="AS159" s="14">
        <v>0</v>
      </c>
      <c r="AT159" s="14">
        <v>0</v>
      </c>
      <c r="AU159" s="14">
        <v>0</v>
      </c>
      <c r="AV159" s="14">
        <v>0</v>
      </c>
      <c r="AW159" s="14">
        <v>0</v>
      </c>
      <c r="AX159" s="14">
        <v>0</v>
      </c>
      <c r="AY159" s="14">
        <v>0</v>
      </c>
      <c r="AZ159" s="14">
        <v>0</v>
      </c>
      <c r="BA159" s="14">
        <v>0</v>
      </c>
      <c r="BB159" s="14">
        <v>0</v>
      </c>
      <c r="BC159" s="14">
        <v>0</v>
      </c>
      <c r="BD159" s="14">
        <v>0</v>
      </c>
      <c r="BE159" s="14">
        <v>0</v>
      </c>
      <c r="BF159" s="14">
        <v>0</v>
      </c>
      <c r="BG159" s="14">
        <v>0</v>
      </c>
      <c r="BH159" s="14">
        <v>0</v>
      </c>
      <c r="BI159" s="14">
        <v>0</v>
      </c>
      <c r="BJ159" s="14">
        <v>0</v>
      </c>
      <c r="BK159" s="14">
        <v>0</v>
      </c>
      <c r="BL159" s="14">
        <v>0</v>
      </c>
      <c r="BM159" s="14">
        <v>0</v>
      </c>
      <c r="BN159" s="14">
        <v>0</v>
      </c>
      <c r="BO159" s="14">
        <v>0</v>
      </c>
      <c r="BP159" s="14">
        <v>0</v>
      </c>
      <c r="BQ159" s="14">
        <v>0</v>
      </c>
      <c r="BR159" s="14">
        <v>0</v>
      </c>
      <c r="BS159" s="14">
        <v>0</v>
      </c>
      <c r="BT159" s="14">
        <v>0</v>
      </c>
      <c r="BU159" s="14">
        <v>0</v>
      </c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4">
        <v>0</v>
      </c>
      <c r="CH159" s="14">
        <v>0</v>
      </c>
      <c r="CI159" s="14">
        <v>0</v>
      </c>
      <c r="CJ159" s="14">
        <v>0</v>
      </c>
      <c r="CK159" s="14">
        <v>0</v>
      </c>
      <c r="CL159" s="14">
        <v>0</v>
      </c>
      <c r="CM159" s="14">
        <v>0</v>
      </c>
      <c r="CN159" s="14">
        <v>0</v>
      </c>
      <c r="CO159" s="14">
        <v>0</v>
      </c>
      <c r="CP159" s="14">
        <v>0</v>
      </c>
      <c r="CQ159" s="14">
        <v>0</v>
      </c>
      <c r="CR159" s="14">
        <v>0</v>
      </c>
      <c r="CS159" s="14">
        <v>0</v>
      </c>
      <c r="CT159" s="14">
        <v>0</v>
      </c>
      <c r="CU159" s="14">
        <v>0</v>
      </c>
      <c r="CV159" s="14">
        <v>0</v>
      </c>
      <c r="CW159" s="14">
        <v>0</v>
      </c>
      <c r="CX159" s="14">
        <v>0</v>
      </c>
      <c r="CY159" s="14">
        <v>0</v>
      </c>
      <c r="CZ159" s="14">
        <v>0</v>
      </c>
      <c r="DA159" s="14">
        <v>0</v>
      </c>
      <c r="DB159" s="14">
        <v>0</v>
      </c>
      <c r="DC159" s="14">
        <v>0</v>
      </c>
      <c r="DD159" s="14">
        <v>0</v>
      </c>
      <c r="DE159" s="14">
        <v>0</v>
      </c>
      <c r="DF159" s="14">
        <v>0</v>
      </c>
      <c r="DG159" s="14">
        <v>0</v>
      </c>
      <c r="DH159" s="14">
        <v>0</v>
      </c>
      <c r="DI159" s="14">
        <v>0</v>
      </c>
      <c r="DJ159" s="14">
        <v>0</v>
      </c>
      <c r="DK159" s="14">
        <v>0</v>
      </c>
      <c r="DL159" s="14">
        <v>0</v>
      </c>
      <c r="DM159" s="14">
        <v>0</v>
      </c>
      <c r="DN159" s="14">
        <v>0</v>
      </c>
      <c r="DO159" s="14">
        <v>0</v>
      </c>
      <c r="DP159" s="14">
        <v>0</v>
      </c>
      <c r="DQ159" s="14">
        <v>0</v>
      </c>
      <c r="DR159" s="14">
        <v>0</v>
      </c>
      <c r="DS159" s="14">
        <v>0</v>
      </c>
      <c r="DT159" s="14">
        <v>0</v>
      </c>
      <c r="DU159" s="14">
        <v>0</v>
      </c>
      <c r="DV159" s="14">
        <v>0</v>
      </c>
      <c r="DW159" s="14">
        <v>0</v>
      </c>
      <c r="DX159" s="14">
        <v>0</v>
      </c>
      <c r="DY159" s="14">
        <v>0</v>
      </c>
      <c r="DZ159" s="14">
        <v>0</v>
      </c>
      <c r="EA159" s="14">
        <v>0</v>
      </c>
      <c r="EB159" s="14">
        <v>0</v>
      </c>
      <c r="EC159" s="14">
        <v>0</v>
      </c>
      <c r="ED159" s="14">
        <v>0</v>
      </c>
      <c r="EE159" s="14">
        <v>0</v>
      </c>
      <c r="EF159" s="14">
        <v>0</v>
      </c>
    </row>
    <row r="160" ht="32" customHeight="1" spans="1:136" x14ac:dyDescent="0.25">
      <c r="A160" s="4" t="s">
        <v>8</v>
      </c>
      <c r="B160" s="4" t="s">
        <v>42</v>
      </c>
      <c r="C160" s="4" t="s">
        <v>206</v>
      </c>
      <c r="D160" s="12" t="s">
        <v>422</v>
      </c>
      <c r="E160" s="8">
        <f>SUM(G160:EF160)</f>
      </c>
      <c r="F160" s="8">
        <f>IF(E160&gt;0,1,0)</f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4">
        <v>0</v>
      </c>
      <c r="AT160" s="14">
        <v>0</v>
      </c>
      <c r="AU160" s="14">
        <v>0</v>
      </c>
      <c r="AV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B160" s="14">
        <v>0</v>
      </c>
      <c r="BC160" s="14">
        <v>0</v>
      </c>
      <c r="BD160" s="14">
        <v>0</v>
      </c>
      <c r="BE160" s="14">
        <v>0</v>
      </c>
      <c r="BF160" s="14">
        <v>0</v>
      </c>
      <c r="BG160" s="14">
        <v>0</v>
      </c>
      <c r="BH160" s="14">
        <v>0</v>
      </c>
      <c r="BI160" s="14">
        <v>0</v>
      </c>
      <c r="BJ160" s="14">
        <v>0</v>
      </c>
      <c r="BK160" s="14">
        <v>0</v>
      </c>
      <c r="BL160" s="14">
        <v>0</v>
      </c>
      <c r="BM160" s="14">
        <v>0</v>
      </c>
      <c r="BN160" s="14">
        <v>0</v>
      </c>
      <c r="BO160" s="14">
        <v>0</v>
      </c>
      <c r="BP160" s="14">
        <v>0</v>
      </c>
      <c r="BQ160" s="14">
        <v>0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0</v>
      </c>
      <c r="BY160" s="14">
        <v>0</v>
      </c>
      <c r="BZ160" s="14">
        <v>0</v>
      </c>
      <c r="CA160" s="14">
        <v>0</v>
      </c>
      <c r="CB160" s="14">
        <v>0</v>
      </c>
      <c r="CC160" s="14">
        <v>0</v>
      </c>
      <c r="CD160" s="14">
        <v>0</v>
      </c>
      <c r="CE160" s="14">
        <v>0</v>
      </c>
      <c r="CF160" s="14">
        <v>0</v>
      </c>
      <c r="CG160" s="14">
        <v>0</v>
      </c>
      <c r="CH160" s="14">
        <v>0</v>
      </c>
      <c r="CI160" s="14">
        <v>0</v>
      </c>
      <c r="CJ160" s="14">
        <v>0</v>
      </c>
      <c r="CK160" s="14">
        <v>0</v>
      </c>
      <c r="CL160" s="14">
        <v>0</v>
      </c>
      <c r="CM160" s="14">
        <v>0</v>
      </c>
      <c r="CN160" s="14">
        <v>0</v>
      </c>
      <c r="CO160" s="14">
        <v>0</v>
      </c>
      <c r="CP160" s="14">
        <v>0</v>
      </c>
      <c r="CQ160" s="14">
        <v>0</v>
      </c>
      <c r="CR160" s="14">
        <v>0</v>
      </c>
      <c r="CS160" s="14">
        <v>0</v>
      </c>
      <c r="CT160" s="14">
        <v>0</v>
      </c>
      <c r="CU160" s="14">
        <v>0</v>
      </c>
      <c r="CV160" s="14">
        <v>0</v>
      </c>
      <c r="CW160" s="14">
        <v>0</v>
      </c>
      <c r="CX160" s="14">
        <v>0</v>
      </c>
      <c r="CY160" s="14">
        <v>0</v>
      </c>
      <c r="CZ160" s="14">
        <v>0</v>
      </c>
      <c r="DA160" s="14">
        <v>0</v>
      </c>
      <c r="DB160" s="14">
        <v>0</v>
      </c>
      <c r="DC160" s="14">
        <v>0</v>
      </c>
      <c r="DD160" s="14">
        <v>0</v>
      </c>
      <c r="DE160" s="14">
        <v>0</v>
      </c>
      <c r="DF160" s="14">
        <v>0</v>
      </c>
      <c r="DG160" s="14">
        <v>0</v>
      </c>
      <c r="DH160" s="14">
        <v>0</v>
      </c>
      <c r="DI160" s="14">
        <v>0</v>
      </c>
      <c r="DJ160" s="14">
        <v>0</v>
      </c>
      <c r="DK160" s="14">
        <v>0</v>
      </c>
      <c r="DL160" s="14">
        <v>0</v>
      </c>
      <c r="DM160" s="14">
        <v>0</v>
      </c>
      <c r="DN160" s="14">
        <v>0</v>
      </c>
      <c r="DO160" s="14">
        <v>0</v>
      </c>
      <c r="DP160" s="14">
        <v>0</v>
      </c>
      <c r="DQ160" s="14">
        <v>0</v>
      </c>
      <c r="DR160" s="14">
        <v>0</v>
      </c>
      <c r="DS160" s="14">
        <v>0</v>
      </c>
      <c r="DT160" s="14">
        <v>0</v>
      </c>
      <c r="DU160" s="14">
        <v>0</v>
      </c>
      <c r="DV160" s="14">
        <v>0</v>
      </c>
      <c r="DW160" s="14">
        <v>0</v>
      </c>
      <c r="DX160" s="14">
        <v>0</v>
      </c>
      <c r="DY160" s="14">
        <v>0</v>
      </c>
      <c r="DZ160" s="14">
        <v>0</v>
      </c>
      <c r="EA160" s="14">
        <v>0</v>
      </c>
      <c r="EB160" s="14">
        <v>0</v>
      </c>
      <c r="EC160" s="14">
        <v>0</v>
      </c>
      <c r="ED160" s="14">
        <v>0</v>
      </c>
      <c r="EE160" s="14">
        <v>0</v>
      </c>
      <c r="EF160" s="14">
        <v>0</v>
      </c>
    </row>
    <row r="161" ht="32" customHeight="1" spans="1:136" x14ac:dyDescent="0.25">
      <c r="A161" s="4" t="s">
        <v>8</v>
      </c>
      <c r="B161" s="4" t="s">
        <v>42</v>
      </c>
      <c r="C161" s="4" t="s">
        <v>208</v>
      </c>
      <c r="D161" s="12" t="s">
        <v>423</v>
      </c>
      <c r="E161" s="8">
        <f>SUM(G161:EF161)</f>
      </c>
      <c r="F161" s="8">
        <f>IF(E161&gt;0,1,0)</f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  <c r="AS161" s="14">
        <v>0</v>
      </c>
      <c r="AT161" s="14">
        <v>0</v>
      </c>
      <c r="AU161" s="14">
        <v>0</v>
      </c>
      <c r="AV161" s="14">
        <v>0</v>
      </c>
      <c r="AW161" s="14">
        <v>0</v>
      </c>
      <c r="AX161" s="14">
        <v>0</v>
      </c>
      <c r="AY161" s="14">
        <v>0</v>
      </c>
      <c r="AZ161" s="14">
        <v>0</v>
      </c>
      <c r="BA161" s="14">
        <v>0</v>
      </c>
      <c r="BB161" s="14">
        <v>0</v>
      </c>
      <c r="BC161" s="14">
        <v>0</v>
      </c>
      <c r="BD161" s="14">
        <v>0</v>
      </c>
      <c r="BE161" s="14">
        <v>0</v>
      </c>
      <c r="BF161" s="14">
        <v>0</v>
      </c>
      <c r="BG161" s="14">
        <v>0</v>
      </c>
      <c r="BH161" s="14">
        <v>0</v>
      </c>
      <c r="BI161" s="14">
        <v>0</v>
      </c>
      <c r="BJ161" s="14">
        <v>0</v>
      </c>
      <c r="BK161" s="14">
        <v>0</v>
      </c>
      <c r="BL161" s="14">
        <v>0</v>
      </c>
      <c r="BM161" s="14">
        <v>0</v>
      </c>
      <c r="BN161" s="14">
        <v>0</v>
      </c>
      <c r="BO161" s="14">
        <v>0</v>
      </c>
      <c r="BP161" s="14">
        <v>0</v>
      </c>
      <c r="BQ161" s="14">
        <v>0</v>
      </c>
      <c r="BR161" s="14">
        <v>0</v>
      </c>
      <c r="BS161" s="14">
        <v>0</v>
      </c>
      <c r="BT161" s="14">
        <v>0</v>
      </c>
      <c r="BU161" s="14">
        <v>0</v>
      </c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4">
        <v>0</v>
      </c>
      <c r="CH161" s="14">
        <v>0</v>
      </c>
      <c r="CI161" s="14">
        <v>0</v>
      </c>
      <c r="CJ161" s="14">
        <v>0</v>
      </c>
      <c r="CK161" s="14">
        <v>0</v>
      </c>
      <c r="CL161" s="14">
        <v>0</v>
      </c>
      <c r="CM161" s="14">
        <v>0</v>
      </c>
      <c r="CN161" s="14">
        <v>0</v>
      </c>
      <c r="CO161" s="14">
        <v>0</v>
      </c>
      <c r="CP161" s="14">
        <v>0</v>
      </c>
      <c r="CQ161" s="14">
        <v>0</v>
      </c>
      <c r="CR161" s="14">
        <v>0</v>
      </c>
      <c r="CS161" s="14">
        <v>0</v>
      </c>
      <c r="CT161" s="14">
        <v>0</v>
      </c>
      <c r="CU161" s="14">
        <v>0</v>
      </c>
      <c r="CV161" s="14">
        <v>0</v>
      </c>
      <c r="CW161" s="14">
        <v>0</v>
      </c>
      <c r="CX161" s="14">
        <v>0</v>
      </c>
      <c r="CY161" s="14">
        <v>0</v>
      </c>
      <c r="CZ161" s="14">
        <v>0</v>
      </c>
      <c r="DA161" s="14">
        <v>0</v>
      </c>
      <c r="DB161" s="14">
        <v>0</v>
      </c>
      <c r="DC161" s="14">
        <v>0</v>
      </c>
      <c r="DD161" s="14">
        <v>0</v>
      </c>
      <c r="DE161" s="14">
        <v>0</v>
      </c>
      <c r="DF161" s="14">
        <v>0</v>
      </c>
      <c r="DG161" s="14">
        <v>0</v>
      </c>
      <c r="DH161" s="14">
        <v>0</v>
      </c>
      <c r="DI161" s="14">
        <v>0</v>
      </c>
      <c r="DJ161" s="14">
        <v>0</v>
      </c>
      <c r="DK161" s="14">
        <v>0</v>
      </c>
      <c r="DL161" s="14">
        <v>0</v>
      </c>
      <c r="DM161" s="14">
        <v>0</v>
      </c>
      <c r="DN161" s="14">
        <v>0</v>
      </c>
      <c r="DO161" s="14">
        <v>0</v>
      </c>
      <c r="DP161" s="14">
        <v>0</v>
      </c>
      <c r="DQ161" s="14">
        <v>0</v>
      </c>
      <c r="DR161" s="14">
        <v>0</v>
      </c>
      <c r="DS161" s="14">
        <v>0</v>
      </c>
      <c r="DT161" s="14">
        <v>0</v>
      </c>
      <c r="DU161" s="14">
        <v>0</v>
      </c>
      <c r="DV161" s="14">
        <v>0</v>
      </c>
      <c r="DW161" s="14">
        <v>0</v>
      </c>
      <c r="DX161" s="14">
        <v>0</v>
      </c>
      <c r="DY161" s="14">
        <v>0</v>
      </c>
      <c r="DZ161" s="14">
        <v>0</v>
      </c>
      <c r="EA161" s="14">
        <v>0</v>
      </c>
      <c r="EB161" s="14">
        <v>0</v>
      </c>
      <c r="EC161" s="14">
        <v>0</v>
      </c>
      <c r="ED161" s="14">
        <v>0</v>
      </c>
      <c r="EE161" s="14">
        <v>0</v>
      </c>
      <c r="EF161" s="14">
        <v>0</v>
      </c>
    </row>
    <row r="162" ht="32" customHeight="1" spans="1:136" x14ac:dyDescent="0.25">
      <c r="A162" s="4" t="s">
        <v>8</v>
      </c>
      <c r="B162" s="4" t="s">
        <v>42</v>
      </c>
      <c r="C162" s="4" t="s">
        <v>210</v>
      </c>
      <c r="D162" s="12" t="s">
        <v>424</v>
      </c>
      <c r="E162" s="8">
        <f>SUM(G162:EF162)</f>
      </c>
      <c r="F162" s="8">
        <f>IF(E162&gt;0,1,0)</f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4">
        <v>0</v>
      </c>
      <c r="AT162" s="14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0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0</v>
      </c>
      <c r="BL162" s="14">
        <v>0</v>
      </c>
      <c r="BM162" s="14">
        <v>0</v>
      </c>
      <c r="BN162" s="14">
        <v>0</v>
      </c>
      <c r="BO162" s="14">
        <v>0</v>
      </c>
      <c r="BP162" s="14">
        <v>0</v>
      </c>
      <c r="BQ162" s="14">
        <v>0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0</v>
      </c>
      <c r="BZ162" s="14">
        <v>0</v>
      </c>
      <c r="CA162" s="14">
        <v>0</v>
      </c>
      <c r="CB162" s="14">
        <v>0</v>
      </c>
      <c r="CC162" s="14">
        <v>0</v>
      </c>
      <c r="CD162" s="14">
        <v>0</v>
      </c>
      <c r="CE162" s="14">
        <v>0</v>
      </c>
      <c r="CF162" s="14">
        <v>0</v>
      </c>
      <c r="CG162" s="14">
        <v>0</v>
      </c>
      <c r="CH162" s="14">
        <v>0</v>
      </c>
      <c r="CI162" s="14">
        <v>0</v>
      </c>
      <c r="CJ162" s="14">
        <v>0</v>
      </c>
      <c r="CK162" s="14">
        <v>0</v>
      </c>
      <c r="CL162" s="14">
        <v>0</v>
      </c>
      <c r="CM162" s="14">
        <v>0</v>
      </c>
      <c r="CN162" s="14">
        <v>0</v>
      </c>
      <c r="CO162" s="14">
        <v>0</v>
      </c>
      <c r="CP162" s="14">
        <v>0</v>
      </c>
      <c r="CQ162" s="14">
        <v>0</v>
      </c>
      <c r="CR162" s="14">
        <v>0</v>
      </c>
      <c r="CS162" s="14">
        <v>0</v>
      </c>
      <c r="CT162" s="14">
        <v>0</v>
      </c>
      <c r="CU162" s="14">
        <v>0</v>
      </c>
      <c r="CV162" s="14">
        <v>0</v>
      </c>
      <c r="CW162" s="14">
        <v>0</v>
      </c>
      <c r="CX162" s="14">
        <v>0</v>
      </c>
      <c r="CY162" s="14">
        <v>0</v>
      </c>
      <c r="CZ162" s="14">
        <v>0</v>
      </c>
      <c r="DA162" s="14">
        <v>0</v>
      </c>
      <c r="DB162" s="14">
        <v>0</v>
      </c>
      <c r="DC162" s="14">
        <v>0</v>
      </c>
      <c r="DD162" s="14">
        <v>0</v>
      </c>
      <c r="DE162" s="14">
        <v>0</v>
      </c>
      <c r="DF162" s="14">
        <v>0</v>
      </c>
      <c r="DG162" s="14">
        <v>0</v>
      </c>
      <c r="DH162" s="14">
        <v>0</v>
      </c>
      <c r="DI162" s="14">
        <v>0</v>
      </c>
      <c r="DJ162" s="14">
        <v>0</v>
      </c>
      <c r="DK162" s="14">
        <v>0</v>
      </c>
      <c r="DL162" s="14">
        <v>0</v>
      </c>
      <c r="DM162" s="14">
        <v>0</v>
      </c>
      <c r="DN162" s="14">
        <v>0</v>
      </c>
      <c r="DO162" s="14">
        <v>0</v>
      </c>
      <c r="DP162" s="14">
        <v>0</v>
      </c>
      <c r="DQ162" s="14">
        <v>0</v>
      </c>
      <c r="DR162" s="14">
        <v>0</v>
      </c>
      <c r="DS162" s="14">
        <v>0</v>
      </c>
      <c r="DT162" s="14">
        <v>0</v>
      </c>
      <c r="DU162" s="14">
        <v>0</v>
      </c>
      <c r="DV162" s="14">
        <v>0</v>
      </c>
      <c r="DW162" s="14">
        <v>0</v>
      </c>
      <c r="DX162" s="14">
        <v>0</v>
      </c>
      <c r="DY162" s="14">
        <v>0</v>
      </c>
      <c r="DZ162" s="14">
        <v>0</v>
      </c>
      <c r="EA162" s="14">
        <v>0</v>
      </c>
      <c r="EB162" s="14">
        <v>0</v>
      </c>
      <c r="EC162" s="14">
        <v>0</v>
      </c>
      <c r="ED162" s="14">
        <v>0</v>
      </c>
      <c r="EE162" s="14">
        <v>0</v>
      </c>
      <c r="EF162" s="14">
        <v>0</v>
      </c>
    </row>
    <row r="163" ht="32" customHeight="1" spans="1:136" x14ac:dyDescent="0.25">
      <c r="A163" s="4" t="s">
        <v>8</v>
      </c>
      <c r="B163" s="4" t="s">
        <v>42</v>
      </c>
      <c r="C163" s="4" t="s">
        <v>425</v>
      </c>
      <c r="D163" s="12" t="s">
        <v>426</v>
      </c>
      <c r="E163" s="8">
        <f>SUM(G163:EF163)</f>
      </c>
      <c r="F163" s="8">
        <f>IF(E163&gt;0,1,0)</f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0</v>
      </c>
      <c r="AR163" s="14">
        <v>0</v>
      </c>
      <c r="AS163" s="14">
        <v>0</v>
      </c>
      <c r="AT163" s="14">
        <v>0</v>
      </c>
      <c r="AU163" s="14">
        <v>0</v>
      </c>
      <c r="AV163" s="14">
        <v>0</v>
      </c>
      <c r="AW163" s="14">
        <v>0</v>
      </c>
      <c r="AX163" s="14">
        <v>0</v>
      </c>
      <c r="AY163" s="14">
        <v>0</v>
      </c>
      <c r="AZ163" s="14">
        <v>0</v>
      </c>
      <c r="BA163" s="14">
        <v>0</v>
      </c>
      <c r="BB163" s="14">
        <v>0</v>
      </c>
      <c r="BC163" s="14">
        <v>0</v>
      </c>
      <c r="BD163" s="14">
        <v>0</v>
      </c>
      <c r="BE163" s="14">
        <v>0</v>
      </c>
      <c r="BF163" s="14">
        <v>0</v>
      </c>
      <c r="BG163" s="14">
        <v>0</v>
      </c>
      <c r="BH163" s="14">
        <v>0</v>
      </c>
      <c r="BI163" s="14">
        <v>0</v>
      </c>
      <c r="BJ163" s="14">
        <v>0</v>
      </c>
      <c r="BK163" s="14">
        <v>0</v>
      </c>
      <c r="BL163" s="14">
        <v>0</v>
      </c>
      <c r="BM163" s="14">
        <v>0</v>
      </c>
      <c r="BN163" s="14">
        <v>0</v>
      </c>
      <c r="BO163" s="14">
        <v>0</v>
      </c>
      <c r="BP163" s="14">
        <v>0</v>
      </c>
      <c r="BQ163" s="14">
        <v>0</v>
      </c>
      <c r="BR163" s="14">
        <v>0</v>
      </c>
      <c r="BS163" s="14">
        <v>0</v>
      </c>
      <c r="BT163" s="14">
        <v>0</v>
      </c>
      <c r="BU163" s="14">
        <v>0</v>
      </c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4">
        <v>0</v>
      </c>
      <c r="CH163" s="14">
        <v>0</v>
      </c>
      <c r="CI163" s="14">
        <v>0</v>
      </c>
      <c r="CJ163" s="14">
        <v>0</v>
      </c>
      <c r="CK163" s="14">
        <v>0</v>
      </c>
      <c r="CL163" s="14">
        <v>0</v>
      </c>
      <c r="CM163" s="14">
        <v>0</v>
      </c>
      <c r="CN163" s="14">
        <v>0</v>
      </c>
      <c r="CO163" s="14">
        <v>0</v>
      </c>
      <c r="CP163" s="14">
        <v>0</v>
      </c>
      <c r="CQ163" s="14">
        <v>0</v>
      </c>
      <c r="CR163" s="14">
        <v>0</v>
      </c>
      <c r="CS163" s="14">
        <v>0</v>
      </c>
      <c r="CT163" s="14">
        <v>0</v>
      </c>
      <c r="CU163" s="14">
        <v>0</v>
      </c>
      <c r="CV163" s="14">
        <v>0</v>
      </c>
      <c r="CW163" s="14">
        <v>0</v>
      </c>
      <c r="CX163" s="14">
        <v>0</v>
      </c>
      <c r="CY163" s="14">
        <v>0</v>
      </c>
      <c r="CZ163" s="14">
        <v>0</v>
      </c>
      <c r="DA163" s="14">
        <v>0</v>
      </c>
      <c r="DB163" s="14">
        <v>0</v>
      </c>
      <c r="DC163" s="14">
        <v>0</v>
      </c>
      <c r="DD163" s="14">
        <v>0</v>
      </c>
      <c r="DE163" s="14">
        <v>0</v>
      </c>
      <c r="DF163" s="14">
        <v>0</v>
      </c>
      <c r="DG163" s="14">
        <v>0</v>
      </c>
      <c r="DH163" s="14">
        <v>0</v>
      </c>
      <c r="DI163" s="14">
        <v>0</v>
      </c>
      <c r="DJ163" s="14">
        <v>0</v>
      </c>
      <c r="DK163" s="14">
        <v>0</v>
      </c>
      <c r="DL163" s="14">
        <v>0</v>
      </c>
      <c r="DM163" s="14">
        <v>0</v>
      </c>
      <c r="DN163" s="14">
        <v>0</v>
      </c>
      <c r="DO163" s="14">
        <v>0</v>
      </c>
      <c r="DP163" s="14">
        <v>0</v>
      </c>
      <c r="DQ163" s="14">
        <v>0</v>
      </c>
      <c r="DR163" s="14">
        <v>0</v>
      </c>
      <c r="DS163" s="14">
        <v>0</v>
      </c>
      <c r="DT163" s="14">
        <v>0</v>
      </c>
      <c r="DU163" s="14">
        <v>0</v>
      </c>
      <c r="DV163" s="14">
        <v>0</v>
      </c>
      <c r="DW163" s="14">
        <v>0</v>
      </c>
      <c r="DX163" s="14">
        <v>0</v>
      </c>
      <c r="DY163" s="14">
        <v>0</v>
      </c>
      <c r="DZ163" s="14">
        <v>0</v>
      </c>
      <c r="EA163" s="14">
        <v>0</v>
      </c>
      <c r="EB163" s="14">
        <v>0</v>
      </c>
      <c r="EC163" s="14">
        <v>0</v>
      </c>
      <c r="ED163" s="14">
        <v>0</v>
      </c>
      <c r="EE163" s="14">
        <v>0</v>
      </c>
      <c r="EF163" s="14">
        <v>0</v>
      </c>
    </row>
    <row r="164" ht="32" customHeight="1" spans="1:136" x14ac:dyDescent="0.25">
      <c r="A164" s="15" t="s">
        <v>8</v>
      </c>
      <c r="B164" s="15" t="s">
        <v>43</v>
      </c>
      <c r="C164" s="15" t="s">
        <v>212</v>
      </c>
      <c r="D164" s="16" t="s">
        <v>427</v>
      </c>
      <c r="E164" s="17">
        <f>SUM(G164:EF164)</f>
      </c>
      <c r="F164" s="17">
        <f>IF(E164&gt;0,1,0)</f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18">
        <v>0</v>
      </c>
      <c r="AD164" s="18">
        <v>0</v>
      </c>
      <c r="AE164" s="18">
        <v>0</v>
      </c>
      <c r="AF164" s="18">
        <v>0</v>
      </c>
      <c r="AG164" s="18">
        <v>0</v>
      </c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8">
        <v>0</v>
      </c>
      <c r="BG164" s="18">
        <v>0</v>
      </c>
      <c r="BH164" s="18">
        <v>0</v>
      </c>
      <c r="BI164" s="18">
        <v>0</v>
      </c>
      <c r="BJ164" s="18">
        <v>0</v>
      </c>
      <c r="BK164" s="18">
        <v>0</v>
      </c>
      <c r="BL164" s="18">
        <v>0</v>
      </c>
      <c r="BM164" s="18">
        <v>0</v>
      </c>
      <c r="BN164" s="18">
        <v>0</v>
      </c>
      <c r="BO164" s="18">
        <v>0</v>
      </c>
      <c r="BP164" s="18">
        <v>0</v>
      </c>
      <c r="BQ164" s="18">
        <v>0</v>
      </c>
      <c r="BR164" s="18">
        <v>0</v>
      </c>
      <c r="BS164" s="18">
        <v>0</v>
      </c>
      <c r="BT164" s="18">
        <v>0</v>
      </c>
      <c r="BU164" s="18">
        <v>0</v>
      </c>
      <c r="BV164" s="18">
        <v>0</v>
      </c>
      <c r="BW164" s="18">
        <v>0</v>
      </c>
      <c r="BX164" s="18">
        <v>0</v>
      </c>
      <c r="BY164" s="18">
        <v>0</v>
      </c>
      <c r="BZ164" s="18">
        <v>0</v>
      </c>
      <c r="CA164" s="18">
        <v>0</v>
      </c>
      <c r="CB164" s="18">
        <v>0</v>
      </c>
      <c r="CC164" s="18">
        <v>0</v>
      </c>
      <c r="CD164" s="18">
        <v>0</v>
      </c>
      <c r="CE164" s="18">
        <v>0</v>
      </c>
      <c r="CF164" s="18">
        <v>0</v>
      </c>
      <c r="CG164" s="18">
        <v>0</v>
      </c>
      <c r="CH164" s="18">
        <v>0</v>
      </c>
      <c r="CI164" s="18">
        <v>0</v>
      </c>
      <c r="CJ164" s="18">
        <v>0</v>
      </c>
      <c r="CK164" s="18">
        <v>0</v>
      </c>
      <c r="CL164" s="18">
        <v>0</v>
      </c>
      <c r="CM164" s="18">
        <v>0</v>
      </c>
      <c r="CN164" s="18">
        <v>0</v>
      </c>
      <c r="CO164" s="18">
        <v>0</v>
      </c>
      <c r="CP164" s="18">
        <v>0</v>
      </c>
      <c r="CQ164" s="18">
        <v>0</v>
      </c>
      <c r="CR164" s="18">
        <v>0</v>
      </c>
      <c r="CS164" s="18">
        <v>0</v>
      </c>
      <c r="CT164" s="18">
        <v>0</v>
      </c>
      <c r="CU164" s="18">
        <v>0</v>
      </c>
      <c r="CV164" s="18">
        <v>0</v>
      </c>
      <c r="CW164" s="18">
        <v>0</v>
      </c>
      <c r="CX164" s="18">
        <v>0</v>
      </c>
      <c r="CY164" s="18">
        <v>0</v>
      </c>
      <c r="CZ164" s="18">
        <v>0</v>
      </c>
      <c r="DA164" s="18">
        <v>0</v>
      </c>
      <c r="DB164" s="18">
        <v>0</v>
      </c>
      <c r="DC164" s="18">
        <v>0</v>
      </c>
      <c r="DD164" s="18">
        <v>0</v>
      </c>
      <c r="DE164" s="18">
        <v>0</v>
      </c>
      <c r="DF164" s="18">
        <v>0</v>
      </c>
      <c r="DG164" s="18">
        <v>0</v>
      </c>
      <c r="DH164" s="18">
        <v>0</v>
      </c>
      <c r="DI164" s="18">
        <v>0</v>
      </c>
      <c r="DJ164" s="18">
        <v>0</v>
      </c>
      <c r="DK164" s="18">
        <v>0</v>
      </c>
      <c r="DL164" s="18">
        <v>0</v>
      </c>
      <c r="DM164" s="18">
        <v>0</v>
      </c>
      <c r="DN164" s="18">
        <v>0</v>
      </c>
      <c r="DO164" s="18">
        <v>0</v>
      </c>
      <c r="DP164" s="18">
        <v>0</v>
      </c>
      <c r="DQ164" s="18">
        <v>0</v>
      </c>
      <c r="DR164" s="18">
        <v>0</v>
      </c>
      <c r="DS164" s="18">
        <v>0</v>
      </c>
      <c r="DT164" s="18">
        <v>0</v>
      </c>
      <c r="DU164" s="18">
        <v>0</v>
      </c>
      <c r="DV164" s="18">
        <v>0</v>
      </c>
      <c r="DW164" s="18">
        <v>0</v>
      </c>
      <c r="DX164" s="18">
        <v>0</v>
      </c>
      <c r="DY164" s="18">
        <v>0</v>
      </c>
      <c r="DZ164" s="18">
        <v>0</v>
      </c>
      <c r="EA164" s="18">
        <v>0</v>
      </c>
      <c r="EB164" s="18">
        <v>0</v>
      </c>
      <c r="EC164" s="18">
        <v>0</v>
      </c>
      <c r="ED164" s="18">
        <v>0</v>
      </c>
      <c r="EE164" s="18">
        <v>0</v>
      </c>
      <c r="EF164" s="18">
        <v>0</v>
      </c>
    </row>
    <row r="165" ht="32" customHeight="1" spans="1:136" x14ac:dyDescent="0.25">
      <c r="A165" s="4" t="s">
        <v>8</v>
      </c>
      <c r="B165" s="4" t="s">
        <v>43</v>
      </c>
      <c r="C165" s="4" t="s">
        <v>214</v>
      </c>
      <c r="D165" s="12" t="s">
        <v>428</v>
      </c>
      <c r="E165" s="8">
        <f>SUM(G165:EF165)</f>
      </c>
      <c r="F165" s="8">
        <f>IF(E165&gt;0,1,0)</f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  <c r="AS165" s="14">
        <v>0</v>
      </c>
      <c r="AT165" s="14">
        <v>0</v>
      </c>
      <c r="AU165" s="14">
        <v>0</v>
      </c>
      <c r="AV165" s="14">
        <v>0</v>
      </c>
      <c r="AW165" s="14">
        <v>0</v>
      </c>
      <c r="AX165" s="14">
        <v>0</v>
      </c>
      <c r="AY165" s="14">
        <v>0</v>
      </c>
      <c r="AZ165" s="14">
        <v>0</v>
      </c>
      <c r="BA165" s="14">
        <v>0</v>
      </c>
      <c r="BB165" s="14">
        <v>0</v>
      </c>
      <c r="BC165" s="14">
        <v>0</v>
      </c>
      <c r="BD165" s="14">
        <v>0</v>
      </c>
      <c r="BE165" s="14">
        <v>0</v>
      </c>
      <c r="BF165" s="14">
        <v>0</v>
      </c>
      <c r="BG165" s="14">
        <v>0</v>
      </c>
      <c r="BH165" s="14">
        <v>0</v>
      </c>
      <c r="BI165" s="14">
        <v>0</v>
      </c>
      <c r="BJ165" s="14">
        <v>0</v>
      </c>
      <c r="BK165" s="14">
        <v>0</v>
      </c>
      <c r="BL165" s="14">
        <v>0</v>
      </c>
      <c r="BM165" s="14">
        <v>0</v>
      </c>
      <c r="BN165" s="14">
        <v>0</v>
      </c>
      <c r="BO165" s="14">
        <v>0</v>
      </c>
      <c r="BP165" s="14">
        <v>0</v>
      </c>
      <c r="BQ165" s="14">
        <v>0</v>
      </c>
      <c r="BR165" s="14">
        <v>0</v>
      </c>
      <c r="BS165" s="14">
        <v>0</v>
      </c>
      <c r="BT165" s="14">
        <v>0</v>
      </c>
      <c r="BU165" s="14">
        <v>0</v>
      </c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4">
        <v>0</v>
      </c>
      <c r="CH165" s="14">
        <v>0</v>
      </c>
      <c r="CI165" s="14">
        <v>0</v>
      </c>
      <c r="CJ165" s="14">
        <v>0</v>
      </c>
      <c r="CK165" s="14">
        <v>0</v>
      </c>
      <c r="CL165" s="14">
        <v>0</v>
      </c>
      <c r="CM165" s="14">
        <v>0</v>
      </c>
      <c r="CN165" s="14">
        <v>0</v>
      </c>
      <c r="CO165" s="14">
        <v>0</v>
      </c>
      <c r="CP165" s="14">
        <v>0</v>
      </c>
      <c r="CQ165" s="14">
        <v>0</v>
      </c>
      <c r="CR165" s="14">
        <v>0</v>
      </c>
      <c r="CS165" s="14">
        <v>0</v>
      </c>
      <c r="CT165" s="14">
        <v>0</v>
      </c>
      <c r="CU165" s="14">
        <v>0</v>
      </c>
      <c r="CV165" s="14">
        <v>0</v>
      </c>
      <c r="CW165" s="14">
        <v>0</v>
      </c>
      <c r="CX165" s="14">
        <v>0</v>
      </c>
      <c r="CY165" s="14">
        <v>0</v>
      </c>
      <c r="CZ165" s="14">
        <v>0</v>
      </c>
      <c r="DA165" s="14">
        <v>0</v>
      </c>
      <c r="DB165" s="14">
        <v>0</v>
      </c>
      <c r="DC165" s="14">
        <v>0</v>
      </c>
      <c r="DD165" s="14">
        <v>0</v>
      </c>
      <c r="DE165" s="14">
        <v>0</v>
      </c>
      <c r="DF165" s="14">
        <v>0</v>
      </c>
      <c r="DG165" s="14">
        <v>0</v>
      </c>
      <c r="DH165" s="14">
        <v>0</v>
      </c>
      <c r="DI165" s="14">
        <v>0</v>
      </c>
      <c r="DJ165" s="14">
        <v>0</v>
      </c>
      <c r="DK165" s="14">
        <v>0</v>
      </c>
      <c r="DL165" s="14">
        <v>0</v>
      </c>
      <c r="DM165" s="14">
        <v>0</v>
      </c>
      <c r="DN165" s="14">
        <v>0</v>
      </c>
      <c r="DO165" s="14">
        <v>0</v>
      </c>
      <c r="DP165" s="14">
        <v>0</v>
      </c>
      <c r="DQ165" s="14">
        <v>0</v>
      </c>
      <c r="DR165" s="14">
        <v>0</v>
      </c>
      <c r="DS165" s="14">
        <v>0</v>
      </c>
      <c r="DT165" s="14">
        <v>0</v>
      </c>
      <c r="DU165" s="14">
        <v>0</v>
      </c>
      <c r="DV165" s="14">
        <v>0</v>
      </c>
      <c r="DW165" s="14">
        <v>0</v>
      </c>
      <c r="DX165" s="14">
        <v>0</v>
      </c>
      <c r="DY165" s="14">
        <v>0</v>
      </c>
      <c r="DZ165" s="14">
        <v>0</v>
      </c>
      <c r="EA165" s="14">
        <v>0</v>
      </c>
      <c r="EB165" s="14">
        <v>0</v>
      </c>
      <c r="EC165" s="14">
        <v>0</v>
      </c>
      <c r="ED165" s="14">
        <v>0</v>
      </c>
      <c r="EE165" s="14">
        <v>0</v>
      </c>
      <c r="EF165" s="14">
        <v>0</v>
      </c>
    </row>
    <row r="166" ht="32" customHeight="1" spans="1:136" x14ac:dyDescent="0.25">
      <c r="A166" s="4" t="s">
        <v>8</v>
      </c>
      <c r="B166" s="4" t="s">
        <v>43</v>
      </c>
      <c r="C166" s="4" t="s">
        <v>216</v>
      </c>
      <c r="D166" s="12" t="s">
        <v>429</v>
      </c>
      <c r="E166" s="8">
        <f>SUM(G166:EF166)</f>
      </c>
      <c r="F166" s="8">
        <f>IF(E166&gt;0,1,0)</f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4">
        <v>0</v>
      </c>
      <c r="AT166" s="14">
        <v>0</v>
      </c>
      <c r="AU166" s="14">
        <v>0</v>
      </c>
      <c r="AV166" s="14">
        <v>0</v>
      </c>
      <c r="AW166" s="14">
        <v>0</v>
      </c>
      <c r="AX166" s="14">
        <v>0</v>
      </c>
      <c r="AY166" s="14">
        <v>0</v>
      </c>
      <c r="AZ166" s="14">
        <v>0</v>
      </c>
      <c r="BA166" s="14">
        <v>0</v>
      </c>
      <c r="BB166" s="14">
        <v>0</v>
      </c>
      <c r="BC166" s="14">
        <v>0</v>
      </c>
      <c r="BD166" s="14">
        <v>0</v>
      </c>
      <c r="BE166" s="14">
        <v>0</v>
      </c>
      <c r="BF166" s="14">
        <v>0</v>
      </c>
      <c r="BG166" s="14">
        <v>0</v>
      </c>
      <c r="BH166" s="14">
        <v>0</v>
      </c>
      <c r="BI166" s="14">
        <v>0</v>
      </c>
      <c r="BJ166" s="14">
        <v>0</v>
      </c>
      <c r="BK166" s="14">
        <v>0</v>
      </c>
      <c r="BL166" s="14">
        <v>0</v>
      </c>
      <c r="BM166" s="14">
        <v>0</v>
      </c>
      <c r="BN166" s="14">
        <v>0</v>
      </c>
      <c r="BO166" s="14">
        <v>0</v>
      </c>
      <c r="BP166" s="14">
        <v>0</v>
      </c>
      <c r="BQ166" s="14">
        <v>0</v>
      </c>
      <c r="BR166" s="14">
        <v>0</v>
      </c>
      <c r="BS166" s="14">
        <v>0</v>
      </c>
      <c r="BT166" s="14">
        <v>0</v>
      </c>
      <c r="BU166" s="14">
        <v>0</v>
      </c>
      <c r="BV166" s="14">
        <v>0</v>
      </c>
      <c r="BW166" s="14">
        <v>0</v>
      </c>
      <c r="BX166" s="14">
        <v>0</v>
      </c>
      <c r="BY166" s="14">
        <v>0</v>
      </c>
      <c r="BZ166" s="14">
        <v>0</v>
      </c>
      <c r="CA166" s="14">
        <v>0</v>
      </c>
      <c r="CB166" s="14">
        <v>0</v>
      </c>
      <c r="CC166" s="14">
        <v>0</v>
      </c>
      <c r="CD166" s="14">
        <v>0</v>
      </c>
      <c r="CE166" s="14">
        <v>0</v>
      </c>
      <c r="CF166" s="14">
        <v>0</v>
      </c>
      <c r="CG166" s="14">
        <v>0</v>
      </c>
      <c r="CH166" s="14">
        <v>0</v>
      </c>
      <c r="CI166" s="14">
        <v>0</v>
      </c>
      <c r="CJ166" s="14">
        <v>0</v>
      </c>
      <c r="CK166" s="14">
        <v>0</v>
      </c>
      <c r="CL166" s="14">
        <v>0</v>
      </c>
      <c r="CM166" s="14">
        <v>0</v>
      </c>
      <c r="CN166" s="14">
        <v>0</v>
      </c>
      <c r="CO166" s="14">
        <v>0</v>
      </c>
      <c r="CP166" s="14">
        <v>0</v>
      </c>
      <c r="CQ166" s="14">
        <v>0</v>
      </c>
      <c r="CR166" s="14">
        <v>0</v>
      </c>
      <c r="CS166" s="14">
        <v>0</v>
      </c>
      <c r="CT166" s="14">
        <v>0</v>
      </c>
      <c r="CU166" s="14">
        <v>0</v>
      </c>
      <c r="CV166" s="14">
        <v>0</v>
      </c>
      <c r="CW166" s="14">
        <v>0</v>
      </c>
      <c r="CX166" s="14">
        <v>0</v>
      </c>
      <c r="CY166" s="14">
        <v>0</v>
      </c>
      <c r="CZ166" s="14">
        <v>0</v>
      </c>
      <c r="DA166" s="14">
        <v>0</v>
      </c>
      <c r="DB166" s="14">
        <v>0</v>
      </c>
      <c r="DC166" s="14">
        <v>0</v>
      </c>
      <c r="DD166" s="14">
        <v>0</v>
      </c>
      <c r="DE166" s="14">
        <v>0</v>
      </c>
      <c r="DF166" s="14">
        <v>0</v>
      </c>
      <c r="DG166" s="14">
        <v>0</v>
      </c>
      <c r="DH166" s="14">
        <v>0</v>
      </c>
      <c r="DI166" s="14">
        <v>0</v>
      </c>
      <c r="DJ166" s="14">
        <v>0</v>
      </c>
      <c r="DK166" s="14">
        <v>0</v>
      </c>
      <c r="DL166" s="14">
        <v>0</v>
      </c>
      <c r="DM166" s="14">
        <v>0</v>
      </c>
      <c r="DN166" s="14">
        <v>0</v>
      </c>
      <c r="DO166" s="14">
        <v>0</v>
      </c>
      <c r="DP166" s="14">
        <v>0</v>
      </c>
      <c r="DQ166" s="14">
        <v>0</v>
      </c>
      <c r="DR166" s="14">
        <v>0</v>
      </c>
      <c r="DS166" s="14">
        <v>0</v>
      </c>
      <c r="DT166" s="14">
        <v>0</v>
      </c>
      <c r="DU166" s="14">
        <v>0</v>
      </c>
      <c r="DV166" s="14">
        <v>0</v>
      </c>
      <c r="DW166" s="14">
        <v>0</v>
      </c>
      <c r="DX166" s="14">
        <v>0</v>
      </c>
      <c r="DY166" s="14">
        <v>0</v>
      </c>
      <c r="DZ166" s="14">
        <v>0</v>
      </c>
      <c r="EA166" s="14">
        <v>0</v>
      </c>
      <c r="EB166" s="14">
        <v>0</v>
      </c>
      <c r="EC166" s="14">
        <v>0</v>
      </c>
      <c r="ED166" s="14">
        <v>0</v>
      </c>
      <c r="EE166" s="14">
        <v>0</v>
      </c>
      <c r="EF166" s="14">
        <v>0</v>
      </c>
    </row>
    <row r="167" ht="32" customHeight="1" spans="1:136" x14ac:dyDescent="0.25">
      <c r="A167" s="4" t="s">
        <v>8</v>
      </c>
      <c r="B167" s="4" t="s">
        <v>43</v>
      </c>
      <c r="C167" s="4" t="s">
        <v>218</v>
      </c>
      <c r="D167" s="12" t="s">
        <v>430</v>
      </c>
      <c r="E167" s="8">
        <f>SUM(G167:EF167)</f>
      </c>
      <c r="F167" s="8">
        <f>IF(E167&gt;0,1,0)</f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  <c r="AS167" s="14">
        <v>0</v>
      </c>
      <c r="AT167" s="14">
        <v>0</v>
      </c>
      <c r="AU167" s="14">
        <v>0</v>
      </c>
      <c r="AV167" s="14">
        <v>0</v>
      </c>
      <c r="AW167" s="14">
        <v>0</v>
      </c>
      <c r="AX167" s="14">
        <v>0</v>
      </c>
      <c r="AY167" s="14">
        <v>0</v>
      </c>
      <c r="AZ167" s="14">
        <v>0</v>
      </c>
      <c r="BA167" s="14">
        <v>0</v>
      </c>
      <c r="BB167" s="14">
        <v>0</v>
      </c>
      <c r="BC167" s="14">
        <v>0</v>
      </c>
      <c r="BD167" s="14">
        <v>0</v>
      </c>
      <c r="BE167" s="14">
        <v>0</v>
      </c>
      <c r="BF167" s="14">
        <v>0</v>
      </c>
      <c r="BG167" s="14">
        <v>0</v>
      </c>
      <c r="BH167" s="14">
        <v>0</v>
      </c>
      <c r="BI167" s="14">
        <v>0</v>
      </c>
      <c r="BJ167" s="14">
        <v>0</v>
      </c>
      <c r="BK167" s="14">
        <v>0</v>
      </c>
      <c r="BL167" s="14">
        <v>0</v>
      </c>
      <c r="BM167" s="14">
        <v>0</v>
      </c>
      <c r="BN167" s="14">
        <v>0</v>
      </c>
      <c r="BO167" s="14">
        <v>0</v>
      </c>
      <c r="BP167" s="14">
        <v>0</v>
      </c>
      <c r="BQ167" s="14">
        <v>0</v>
      </c>
      <c r="BR167" s="14">
        <v>0</v>
      </c>
      <c r="BS167" s="14">
        <v>0</v>
      </c>
      <c r="BT167" s="14">
        <v>0</v>
      </c>
      <c r="BU167" s="14">
        <v>0</v>
      </c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4">
        <v>0</v>
      </c>
      <c r="CH167" s="14">
        <v>0</v>
      </c>
      <c r="CI167" s="14">
        <v>0</v>
      </c>
      <c r="CJ167" s="14">
        <v>0</v>
      </c>
      <c r="CK167" s="14">
        <v>0</v>
      </c>
      <c r="CL167" s="14">
        <v>0</v>
      </c>
      <c r="CM167" s="14">
        <v>0</v>
      </c>
      <c r="CN167" s="14">
        <v>0</v>
      </c>
      <c r="CO167" s="14">
        <v>0</v>
      </c>
      <c r="CP167" s="14">
        <v>0</v>
      </c>
      <c r="CQ167" s="14">
        <v>0</v>
      </c>
      <c r="CR167" s="14">
        <v>0</v>
      </c>
      <c r="CS167" s="14">
        <v>0</v>
      </c>
      <c r="CT167" s="14">
        <v>0</v>
      </c>
      <c r="CU167" s="14">
        <v>0</v>
      </c>
      <c r="CV167" s="14">
        <v>0</v>
      </c>
      <c r="CW167" s="14">
        <v>0</v>
      </c>
      <c r="CX167" s="14">
        <v>0</v>
      </c>
      <c r="CY167" s="14">
        <v>0</v>
      </c>
      <c r="CZ167" s="14">
        <v>0</v>
      </c>
      <c r="DA167" s="14">
        <v>0</v>
      </c>
      <c r="DB167" s="14">
        <v>0</v>
      </c>
      <c r="DC167" s="14">
        <v>0</v>
      </c>
      <c r="DD167" s="14">
        <v>0</v>
      </c>
      <c r="DE167" s="14">
        <v>0</v>
      </c>
      <c r="DF167" s="14">
        <v>0</v>
      </c>
      <c r="DG167" s="14">
        <v>0</v>
      </c>
      <c r="DH167" s="14">
        <v>0</v>
      </c>
      <c r="DI167" s="14">
        <v>0</v>
      </c>
      <c r="DJ167" s="14">
        <v>0</v>
      </c>
      <c r="DK167" s="14">
        <v>0</v>
      </c>
      <c r="DL167" s="14">
        <v>0</v>
      </c>
      <c r="DM167" s="14">
        <v>0</v>
      </c>
      <c r="DN167" s="14">
        <v>0</v>
      </c>
      <c r="DO167" s="14">
        <v>0</v>
      </c>
      <c r="DP167" s="14">
        <v>0</v>
      </c>
      <c r="DQ167" s="14">
        <v>0</v>
      </c>
      <c r="DR167" s="14">
        <v>0</v>
      </c>
      <c r="DS167" s="14">
        <v>0</v>
      </c>
      <c r="DT167" s="14">
        <v>0</v>
      </c>
      <c r="DU167" s="14">
        <v>0</v>
      </c>
      <c r="DV167" s="14">
        <v>0</v>
      </c>
      <c r="DW167" s="14">
        <v>0</v>
      </c>
      <c r="DX167" s="14">
        <v>0</v>
      </c>
      <c r="DY167" s="14">
        <v>0</v>
      </c>
      <c r="DZ167" s="14">
        <v>0</v>
      </c>
      <c r="EA167" s="14">
        <v>0</v>
      </c>
      <c r="EB167" s="14">
        <v>0</v>
      </c>
      <c r="EC167" s="14">
        <v>0</v>
      </c>
      <c r="ED167" s="14">
        <v>0</v>
      </c>
      <c r="EE167" s="14">
        <v>0</v>
      </c>
      <c r="EF167" s="14">
        <v>0</v>
      </c>
    </row>
    <row r="168" ht="32" customHeight="1" spans="1:136" x14ac:dyDescent="0.25">
      <c r="A168" s="4" t="s">
        <v>8</v>
      </c>
      <c r="B168" s="4" t="s">
        <v>43</v>
      </c>
      <c r="C168" s="4" t="s">
        <v>220</v>
      </c>
      <c r="D168" s="12" t="s">
        <v>431</v>
      </c>
      <c r="E168" s="8">
        <f>SUM(G168:EF168)</f>
      </c>
      <c r="F168" s="8">
        <f>IF(E168&gt;0,1,0)</f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  <c r="AS168" s="14">
        <v>0</v>
      </c>
      <c r="AT168" s="14">
        <v>0</v>
      </c>
      <c r="AU168" s="14">
        <v>0</v>
      </c>
      <c r="AV168" s="14">
        <v>0</v>
      </c>
      <c r="AW168" s="14">
        <v>0</v>
      </c>
      <c r="AX168" s="14">
        <v>0</v>
      </c>
      <c r="AY168" s="14">
        <v>0</v>
      </c>
      <c r="AZ168" s="14">
        <v>0</v>
      </c>
      <c r="BA168" s="14">
        <v>0</v>
      </c>
      <c r="BB168" s="14">
        <v>0</v>
      </c>
      <c r="BC168" s="14">
        <v>0</v>
      </c>
      <c r="BD168" s="14">
        <v>0</v>
      </c>
      <c r="BE168" s="14">
        <v>0</v>
      </c>
      <c r="BF168" s="14">
        <v>0</v>
      </c>
      <c r="BG168" s="14">
        <v>0</v>
      </c>
      <c r="BH168" s="14">
        <v>0</v>
      </c>
      <c r="BI168" s="14">
        <v>0</v>
      </c>
      <c r="BJ168" s="14">
        <v>0</v>
      </c>
      <c r="BK168" s="14">
        <v>0</v>
      </c>
      <c r="BL168" s="14">
        <v>0</v>
      </c>
      <c r="BM168" s="14">
        <v>0</v>
      </c>
      <c r="BN168" s="14">
        <v>0</v>
      </c>
      <c r="BO168" s="14">
        <v>0</v>
      </c>
      <c r="BP168" s="14">
        <v>0</v>
      </c>
      <c r="BQ168" s="14">
        <v>0</v>
      </c>
      <c r="BR168" s="14">
        <v>0</v>
      </c>
      <c r="BS168" s="14">
        <v>0</v>
      </c>
      <c r="BT168" s="14">
        <v>0</v>
      </c>
      <c r="BU168" s="14">
        <v>0</v>
      </c>
      <c r="BV168" s="14">
        <v>0</v>
      </c>
      <c r="BW168" s="14">
        <v>0</v>
      </c>
      <c r="BX168" s="14">
        <v>0</v>
      </c>
      <c r="BY168" s="14">
        <v>0</v>
      </c>
      <c r="BZ168" s="14">
        <v>0</v>
      </c>
      <c r="CA168" s="14">
        <v>0</v>
      </c>
      <c r="CB168" s="14">
        <v>0</v>
      </c>
      <c r="CC168" s="14">
        <v>0</v>
      </c>
      <c r="CD168" s="14">
        <v>0</v>
      </c>
      <c r="CE168" s="14">
        <v>0</v>
      </c>
      <c r="CF168" s="14">
        <v>0</v>
      </c>
      <c r="CG168" s="14">
        <v>0</v>
      </c>
      <c r="CH168" s="14">
        <v>0</v>
      </c>
      <c r="CI168" s="14">
        <v>0</v>
      </c>
      <c r="CJ168" s="14">
        <v>0</v>
      </c>
      <c r="CK168" s="14">
        <v>0</v>
      </c>
      <c r="CL168" s="14">
        <v>0</v>
      </c>
      <c r="CM168" s="14">
        <v>0</v>
      </c>
      <c r="CN168" s="14">
        <v>0</v>
      </c>
      <c r="CO168" s="14">
        <v>0</v>
      </c>
      <c r="CP168" s="14">
        <v>0</v>
      </c>
      <c r="CQ168" s="14">
        <v>0</v>
      </c>
      <c r="CR168" s="14">
        <v>0</v>
      </c>
      <c r="CS168" s="14">
        <v>0</v>
      </c>
      <c r="CT168" s="14">
        <v>0</v>
      </c>
      <c r="CU168" s="14">
        <v>0</v>
      </c>
      <c r="CV168" s="14">
        <v>0</v>
      </c>
      <c r="CW168" s="14">
        <v>0</v>
      </c>
      <c r="CX168" s="14">
        <v>0</v>
      </c>
      <c r="CY168" s="14">
        <v>0</v>
      </c>
      <c r="CZ168" s="14">
        <v>0</v>
      </c>
      <c r="DA168" s="14">
        <v>0</v>
      </c>
      <c r="DB168" s="14">
        <v>0</v>
      </c>
      <c r="DC168" s="14">
        <v>0</v>
      </c>
      <c r="DD168" s="14">
        <v>0</v>
      </c>
      <c r="DE168" s="14">
        <v>0</v>
      </c>
      <c r="DF168" s="14">
        <v>0</v>
      </c>
      <c r="DG168" s="14">
        <v>0</v>
      </c>
      <c r="DH168" s="14">
        <v>0</v>
      </c>
      <c r="DI168" s="14">
        <v>0</v>
      </c>
      <c r="DJ168" s="14">
        <v>0</v>
      </c>
      <c r="DK168" s="14">
        <v>0</v>
      </c>
      <c r="DL168" s="14">
        <v>0</v>
      </c>
      <c r="DM168" s="14">
        <v>0</v>
      </c>
      <c r="DN168" s="14">
        <v>0</v>
      </c>
      <c r="DO168" s="14">
        <v>0</v>
      </c>
      <c r="DP168" s="14">
        <v>0</v>
      </c>
      <c r="DQ168" s="14">
        <v>0</v>
      </c>
      <c r="DR168" s="14">
        <v>0</v>
      </c>
      <c r="DS168" s="14">
        <v>0</v>
      </c>
      <c r="DT168" s="14">
        <v>0</v>
      </c>
      <c r="DU168" s="14">
        <v>0</v>
      </c>
      <c r="DV168" s="14">
        <v>0</v>
      </c>
      <c r="DW168" s="14">
        <v>0</v>
      </c>
      <c r="DX168" s="14">
        <v>0</v>
      </c>
      <c r="DY168" s="14">
        <v>0</v>
      </c>
      <c r="DZ168" s="14">
        <v>0</v>
      </c>
      <c r="EA168" s="14">
        <v>0</v>
      </c>
      <c r="EB168" s="14">
        <v>0</v>
      </c>
      <c r="EC168" s="14">
        <v>0</v>
      </c>
      <c r="ED168" s="14">
        <v>0</v>
      </c>
      <c r="EE168" s="14">
        <v>0</v>
      </c>
      <c r="EF168" s="14">
        <v>0</v>
      </c>
    </row>
    <row r="169" ht="32" customHeight="1" spans="1:136" x14ac:dyDescent="0.25">
      <c r="A169" s="15" t="s">
        <v>8</v>
      </c>
      <c r="B169" s="15" t="s">
        <v>44</v>
      </c>
      <c r="C169" s="15" t="s">
        <v>222</v>
      </c>
      <c r="D169" s="16" t="s">
        <v>432</v>
      </c>
      <c r="E169" s="17">
        <f>SUM(G169:EF169)</f>
      </c>
      <c r="F169" s="17">
        <f>IF(E169&gt;0,1,0)</f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D169" s="18">
        <v>0</v>
      </c>
      <c r="AE169" s="18">
        <v>0</v>
      </c>
      <c r="AF169" s="18">
        <v>0</v>
      </c>
      <c r="AG169" s="18">
        <v>0</v>
      </c>
      <c r="AH169" s="18">
        <v>0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0</v>
      </c>
      <c r="BN169" s="18">
        <v>0</v>
      </c>
      <c r="BO169" s="18">
        <v>0</v>
      </c>
      <c r="BP169" s="18">
        <v>0</v>
      </c>
      <c r="BQ169" s="18">
        <v>0</v>
      </c>
      <c r="BR169" s="18">
        <v>0</v>
      </c>
      <c r="BS169" s="18">
        <v>0</v>
      </c>
      <c r="BT169" s="18">
        <v>0</v>
      </c>
      <c r="BU169" s="18">
        <v>0</v>
      </c>
      <c r="BV169" s="18">
        <v>0</v>
      </c>
      <c r="BW169" s="18">
        <v>0</v>
      </c>
      <c r="BX169" s="18">
        <v>0</v>
      </c>
      <c r="BY169" s="18">
        <v>0</v>
      </c>
      <c r="BZ169" s="18">
        <v>0</v>
      </c>
      <c r="CA169" s="18">
        <v>0</v>
      </c>
      <c r="CB169" s="18">
        <v>0</v>
      </c>
      <c r="CC169" s="18">
        <v>0</v>
      </c>
      <c r="CD169" s="18">
        <v>0</v>
      </c>
      <c r="CE169" s="18">
        <v>0</v>
      </c>
      <c r="CF169" s="18">
        <v>0</v>
      </c>
      <c r="CG169" s="18">
        <v>0</v>
      </c>
      <c r="CH169" s="18">
        <v>0</v>
      </c>
      <c r="CI169" s="18">
        <v>0</v>
      </c>
      <c r="CJ169" s="18">
        <v>0</v>
      </c>
      <c r="CK169" s="18">
        <v>0</v>
      </c>
      <c r="CL169" s="18">
        <v>0</v>
      </c>
      <c r="CM169" s="18">
        <v>0</v>
      </c>
      <c r="CN169" s="18">
        <v>0</v>
      </c>
      <c r="CO169" s="18">
        <v>0</v>
      </c>
      <c r="CP169" s="18">
        <v>0</v>
      </c>
      <c r="CQ169" s="18">
        <v>0</v>
      </c>
      <c r="CR169" s="18">
        <v>0</v>
      </c>
      <c r="CS169" s="18">
        <v>0</v>
      </c>
      <c r="CT169" s="18">
        <v>0</v>
      </c>
      <c r="CU169" s="18">
        <v>0</v>
      </c>
      <c r="CV169" s="18">
        <v>0</v>
      </c>
      <c r="CW169" s="18">
        <v>0</v>
      </c>
      <c r="CX169" s="18">
        <v>0</v>
      </c>
      <c r="CY169" s="18">
        <v>0</v>
      </c>
      <c r="CZ169" s="18">
        <v>0</v>
      </c>
      <c r="DA169" s="18">
        <v>0</v>
      </c>
      <c r="DB169" s="18">
        <v>0</v>
      </c>
      <c r="DC169" s="18">
        <v>0</v>
      </c>
      <c r="DD169" s="18">
        <v>0</v>
      </c>
      <c r="DE169" s="18">
        <v>0</v>
      </c>
      <c r="DF169" s="18">
        <v>0</v>
      </c>
      <c r="DG169" s="18">
        <v>0</v>
      </c>
      <c r="DH169" s="18">
        <v>0</v>
      </c>
      <c r="DI169" s="18">
        <v>0</v>
      </c>
      <c r="DJ169" s="18">
        <v>0</v>
      </c>
      <c r="DK169" s="18">
        <v>0</v>
      </c>
      <c r="DL169" s="18">
        <v>0</v>
      </c>
      <c r="DM169" s="18">
        <v>0</v>
      </c>
      <c r="DN169" s="18">
        <v>0</v>
      </c>
      <c r="DO169" s="18">
        <v>0</v>
      </c>
      <c r="DP169" s="18">
        <v>0</v>
      </c>
      <c r="DQ169" s="18">
        <v>0</v>
      </c>
      <c r="DR169" s="18">
        <v>0</v>
      </c>
      <c r="DS169" s="18">
        <v>0</v>
      </c>
      <c r="DT169" s="18">
        <v>0</v>
      </c>
      <c r="DU169" s="18">
        <v>0</v>
      </c>
      <c r="DV169" s="18">
        <v>0</v>
      </c>
      <c r="DW169" s="18">
        <v>0</v>
      </c>
      <c r="DX169" s="18">
        <v>0</v>
      </c>
      <c r="DY169" s="18">
        <v>0</v>
      </c>
      <c r="DZ169" s="18">
        <v>0</v>
      </c>
      <c r="EA169" s="18">
        <v>0</v>
      </c>
      <c r="EB169" s="18">
        <v>0</v>
      </c>
      <c r="EC169" s="18">
        <v>0</v>
      </c>
      <c r="ED169" s="18">
        <v>0</v>
      </c>
      <c r="EE169" s="18">
        <v>0</v>
      </c>
      <c r="EF169" s="18">
        <v>0</v>
      </c>
    </row>
    <row r="170" ht="32" customHeight="1" spans="1:136" x14ac:dyDescent="0.25">
      <c r="A170" s="4" t="s">
        <v>8</v>
      </c>
      <c r="B170" s="4" t="s">
        <v>44</v>
      </c>
      <c r="C170" s="4" t="s">
        <v>224</v>
      </c>
      <c r="D170" s="12" t="s">
        <v>433</v>
      </c>
      <c r="E170" s="8">
        <f>SUM(G170:EF170)</f>
      </c>
      <c r="F170" s="8">
        <f>IF(E170&gt;0,1,0)</f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4">
        <v>0</v>
      </c>
      <c r="AT170" s="14">
        <v>0</v>
      </c>
      <c r="AU170" s="14">
        <v>0</v>
      </c>
      <c r="AV170" s="14">
        <v>0</v>
      </c>
      <c r="AW170" s="14">
        <v>0</v>
      </c>
      <c r="AX170" s="14">
        <v>0</v>
      </c>
      <c r="AY170" s="14">
        <v>0</v>
      </c>
      <c r="AZ170" s="14">
        <v>0</v>
      </c>
      <c r="BA170" s="14">
        <v>0</v>
      </c>
      <c r="BB170" s="14">
        <v>0</v>
      </c>
      <c r="BC170" s="14">
        <v>0</v>
      </c>
      <c r="BD170" s="14">
        <v>0</v>
      </c>
      <c r="BE170" s="14">
        <v>0</v>
      </c>
      <c r="BF170" s="14">
        <v>0</v>
      </c>
      <c r="BG170" s="14">
        <v>0</v>
      </c>
      <c r="BH170" s="14">
        <v>0</v>
      </c>
      <c r="BI170" s="14">
        <v>0</v>
      </c>
      <c r="BJ170" s="14">
        <v>0</v>
      </c>
      <c r="BK170" s="14">
        <v>0</v>
      </c>
      <c r="BL170" s="14">
        <v>0</v>
      </c>
      <c r="BM170" s="14">
        <v>0</v>
      </c>
      <c r="BN170" s="14">
        <v>0</v>
      </c>
      <c r="BO170" s="14">
        <v>0</v>
      </c>
      <c r="BP170" s="14">
        <v>0</v>
      </c>
      <c r="BQ170" s="14">
        <v>0</v>
      </c>
      <c r="BR170" s="14">
        <v>0</v>
      </c>
      <c r="BS170" s="14">
        <v>0</v>
      </c>
      <c r="BT170" s="14">
        <v>0</v>
      </c>
      <c r="BU170" s="14">
        <v>0</v>
      </c>
      <c r="BV170" s="14">
        <v>0</v>
      </c>
      <c r="BW170" s="14">
        <v>0</v>
      </c>
      <c r="BX170" s="14">
        <v>0</v>
      </c>
      <c r="BY170" s="14">
        <v>0</v>
      </c>
      <c r="BZ170" s="14">
        <v>0</v>
      </c>
      <c r="CA170" s="14">
        <v>0</v>
      </c>
      <c r="CB170" s="14">
        <v>0</v>
      </c>
      <c r="CC170" s="14">
        <v>0</v>
      </c>
      <c r="CD170" s="14">
        <v>0</v>
      </c>
      <c r="CE170" s="14">
        <v>0</v>
      </c>
      <c r="CF170" s="14">
        <v>0</v>
      </c>
      <c r="CG170" s="14">
        <v>0</v>
      </c>
      <c r="CH170" s="14">
        <v>0</v>
      </c>
      <c r="CI170" s="14">
        <v>0</v>
      </c>
      <c r="CJ170" s="14">
        <v>0</v>
      </c>
      <c r="CK170" s="14">
        <v>0</v>
      </c>
      <c r="CL170" s="14">
        <v>0</v>
      </c>
      <c r="CM170" s="14">
        <v>0</v>
      </c>
      <c r="CN170" s="14">
        <v>0</v>
      </c>
      <c r="CO170" s="14">
        <v>0</v>
      </c>
      <c r="CP170" s="14">
        <v>0</v>
      </c>
      <c r="CQ170" s="14">
        <v>0</v>
      </c>
      <c r="CR170" s="14">
        <v>0</v>
      </c>
      <c r="CS170" s="14">
        <v>0</v>
      </c>
      <c r="CT170" s="14">
        <v>0</v>
      </c>
      <c r="CU170" s="14">
        <v>0</v>
      </c>
      <c r="CV170" s="14">
        <v>0</v>
      </c>
      <c r="CW170" s="14">
        <v>0</v>
      </c>
      <c r="CX170" s="14">
        <v>0</v>
      </c>
      <c r="CY170" s="14">
        <v>0</v>
      </c>
      <c r="CZ170" s="14">
        <v>0</v>
      </c>
      <c r="DA170" s="14">
        <v>0</v>
      </c>
      <c r="DB170" s="14">
        <v>0</v>
      </c>
      <c r="DC170" s="14">
        <v>0</v>
      </c>
      <c r="DD170" s="14">
        <v>0</v>
      </c>
      <c r="DE170" s="14">
        <v>0</v>
      </c>
      <c r="DF170" s="14">
        <v>0</v>
      </c>
      <c r="DG170" s="14">
        <v>0</v>
      </c>
      <c r="DH170" s="14">
        <v>0</v>
      </c>
      <c r="DI170" s="14">
        <v>0</v>
      </c>
      <c r="DJ170" s="14">
        <v>0</v>
      </c>
      <c r="DK170" s="14">
        <v>0</v>
      </c>
      <c r="DL170" s="14">
        <v>0</v>
      </c>
      <c r="DM170" s="14">
        <v>0</v>
      </c>
      <c r="DN170" s="14">
        <v>0</v>
      </c>
      <c r="DO170" s="14">
        <v>0</v>
      </c>
      <c r="DP170" s="14">
        <v>0</v>
      </c>
      <c r="DQ170" s="14">
        <v>0</v>
      </c>
      <c r="DR170" s="14">
        <v>0</v>
      </c>
      <c r="DS170" s="14">
        <v>0</v>
      </c>
      <c r="DT170" s="14">
        <v>0</v>
      </c>
      <c r="DU170" s="14">
        <v>0</v>
      </c>
      <c r="DV170" s="14">
        <v>0</v>
      </c>
      <c r="DW170" s="14">
        <v>0</v>
      </c>
      <c r="DX170" s="14">
        <v>0</v>
      </c>
      <c r="DY170" s="14">
        <v>0</v>
      </c>
      <c r="DZ170" s="14">
        <v>0</v>
      </c>
      <c r="EA170" s="14">
        <v>0</v>
      </c>
      <c r="EB170" s="14">
        <v>0</v>
      </c>
      <c r="EC170" s="14">
        <v>0</v>
      </c>
      <c r="ED170" s="14">
        <v>0</v>
      </c>
      <c r="EE170" s="14">
        <v>0</v>
      </c>
      <c r="EF170" s="14">
        <v>0</v>
      </c>
    </row>
    <row r="171" ht="32" customHeight="1" spans="1:136" x14ac:dyDescent="0.25">
      <c r="A171" s="4" t="s">
        <v>8</v>
      </c>
      <c r="B171" s="4" t="s">
        <v>44</v>
      </c>
      <c r="C171" s="4" t="s">
        <v>226</v>
      </c>
      <c r="D171" s="12" t="s">
        <v>434</v>
      </c>
      <c r="E171" s="8">
        <f>SUM(G171:EF171)</f>
      </c>
      <c r="F171" s="8">
        <f>IF(E171&gt;0,1,0)</f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  <c r="AS171" s="14">
        <v>0</v>
      </c>
      <c r="AT171" s="14">
        <v>0</v>
      </c>
      <c r="AU171" s="14">
        <v>0</v>
      </c>
      <c r="AV171" s="14">
        <v>0</v>
      </c>
      <c r="AW171" s="14">
        <v>0</v>
      </c>
      <c r="AX171" s="14">
        <v>0</v>
      </c>
      <c r="AY171" s="14">
        <v>0</v>
      </c>
      <c r="AZ171" s="14">
        <v>0</v>
      </c>
      <c r="BA171" s="14">
        <v>0</v>
      </c>
      <c r="BB171" s="14">
        <v>0</v>
      </c>
      <c r="BC171" s="14">
        <v>0</v>
      </c>
      <c r="BD171" s="14">
        <v>0</v>
      </c>
      <c r="BE171" s="14">
        <v>0</v>
      </c>
      <c r="BF171" s="14">
        <v>0</v>
      </c>
      <c r="BG171" s="14">
        <v>0</v>
      </c>
      <c r="BH171" s="14">
        <v>0</v>
      </c>
      <c r="BI171" s="14">
        <v>0</v>
      </c>
      <c r="BJ171" s="14">
        <v>0</v>
      </c>
      <c r="BK171" s="14">
        <v>0</v>
      </c>
      <c r="BL171" s="14">
        <v>0</v>
      </c>
      <c r="BM171" s="14">
        <v>0</v>
      </c>
      <c r="BN171" s="14">
        <v>0</v>
      </c>
      <c r="BO171" s="14">
        <v>0</v>
      </c>
      <c r="BP171" s="14">
        <v>0</v>
      </c>
      <c r="BQ171" s="14">
        <v>0</v>
      </c>
      <c r="BR171" s="14">
        <v>0</v>
      </c>
      <c r="BS171" s="14">
        <v>0</v>
      </c>
      <c r="BT171" s="14">
        <v>0</v>
      </c>
      <c r="BU171" s="14">
        <v>0</v>
      </c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4">
        <v>0</v>
      </c>
      <c r="CH171" s="14">
        <v>0</v>
      </c>
      <c r="CI171" s="14">
        <v>0</v>
      </c>
      <c r="CJ171" s="14">
        <v>0</v>
      </c>
      <c r="CK171" s="14">
        <v>0</v>
      </c>
      <c r="CL171" s="14">
        <v>0</v>
      </c>
      <c r="CM171" s="14">
        <v>0</v>
      </c>
      <c r="CN171" s="14">
        <v>0</v>
      </c>
      <c r="CO171" s="14">
        <v>0</v>
      </c>
      <c r="CP171" s="14">
        <v>0</v>
      </c>
      <c r="CQ171" s="14">
        <v>0</v>
      </c>
      <c r="CR171" s="14">
        <v>0</v>
      </c>
      <c r="CS171" s="14">
        <v>0</v>
      </c>
      <c r="CT171" s="14">
        <v>0</v>
      </c>
      <c r="CU171" s="14">
        <v>0</v>
      </c>
      <c r="CV171" s="14">
        <v>0</v>
      </c>
      <c r="CW171" s="14">
        <v>0</v>
      </c>
      <c r="CX171" s="14">
        <v>0</v>
      </c>
      <c r="CY171" s="14">
        <v>0</v>
      </c>
      <c r="CZ171" s="14">
        <v>0</v>
      </c>
      <c r="DA171" s="14">
        <v>0</v>
      </c>
      <c r="DB171" s="14">
        <v>0</v>
      </c>
      <c r="DC171" s="14">
        <v>0</v>
      </c>
      <c r="DD171" s="14">
        <v>0</v>
      </c>
      <c r="DE171" s="14">
        <v>0</v>
      </c>
      <c r="DF171" s="14">
        <v>0</v>
      </c>
      <c r="DG171" s="14">
        <v>0</v>
      </c>
      <c r="DH171" s="14">
        <v>0</v>
      </c>
      <c r="DI171" s="14">
        <v>0</v>
      </c>
      <c r="DJ171" s="14">
        <v>0</v>
      </c>
      <c r="DK171" s="14">
        <v>0</v>
      </c>
      <c r="DL171" s="14">
        <v>0</v>
      </c>
      <c r="DM171" s="14">
        <v>0</v>
      </c>
      <c r="DN171" s="14">
        <v>0</v>
      </c>
      <c r="DO171" s="14">
        <v>0</v>
      </c>
      <c r="DP171" s="14">
        <v>0</v>
      </c>
      <c r="DQ171" s="14">
        <v>0</v>
      </c>
      <c r="DR171" s="14">
        <v>0</v>
      </c>
      <c r="DS171" s="14">
        <v>0</v>
      </c>
      <c r="DT171" s="14">
        <v>0</v>
      </c>
      <c r="DU171" s="14">
        <v>0</v>
      </c>
      <c r="DV171" s="14">
        <v>0</v>
      </c>
      <c r="DW171" s="14">
        <v>0</v>
      </c>
      <c r="DX171" s="14">
        <v>0</v>
      </c>
      <c r="DY171" s="14">
        <v>0</v>
      </c>
      <c r="DZ171" s="14">
        <v>0</v>
      </c>
      <c r="EA171" s="14">
        <v>0</v>
      </c>
      <c r="EB171" s="14">
        <v>0</v>
      </c>
      <c r="EC171" s="14">
        <v>0</v>
      </c>
      <c r="ED171" s="14">
        <v>0</v>
      </c>
      <c r="EE171" s="14">
        <v>0</v>
      </c>
      <c r="EF171" s="14">
        <v>0</v>
      </c>
    </row>
    <row r="172" ht="32" customHeight="1" spans="1:136" x14ac:dyDescent="0.25">
      <c r="A172" s="4" t="s">
        <v>8</v>
      </c>
      <c r="B172" s="4" t="s">
        <v>44</v>
      </c>
      <c r="C172" s="4" t="s">
        <v>228</v>
      </c>
      <c r="D172" s="12" t="s">
        <v>435</v>
      </c>
      <c r="E172" s="8">
        <f>SUM(G172:EF172)</f>
      </c>
      <c r="F172" s="8">
        <f>IF(E172&gt;0,1,0)</f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4">
        <v>0</v>
      </c>
      <c r="AT172" s="14">
        <v>0</v>
      </c>
      <c r="AU172" s="14">
        <v>0</v>
      </c>
      <c r="AV172" s="14">
        <v>0</v>
      </c>
      <c r="AW172" s="14">
        <v>0</v>
      </c>
      <c r="AX172" s="14">
        <v>0</v>
      </c>
      <c r="AY172" s="14">
        <v>0</v>
      </c>
      <c r="AZ172" s="14">
        <v>0</v>
      </c>
      <c r="BA172" s="14">
        <v>0</v>
      </c>
      <c r="BB172" s="14">
        <v>0</v>
      </c>
      <c r="BC172" s="14">
        <v>0</v>
      </c>
      <c r="BD172" s="14">
        <v>0</v>
      </c>
      <c r="BE172" s="14">
        <v>0</v>
      </c>
      <c r="BF172" s="14">
        <v>0</v>
      </c>
      <c r="BG172" s="14">
        <v>0</v>
      </c>
      <c r="BH172" s="14">
        <v>0</v>
      </c>
      <c r="BI172" s="14">
        <v>0</v>
      </c>
      <c r="BJ172" s="14">
        <v>0</v>
      </c>
      <c r="BK172" s="14">
        <v>0</v>
      </c>
      <c r="BL172" s="14">
        <v>0</v>
      </c>
      <c r="BM172" s="14">
        <v>0</v>
      </c>
      <c r="BN172" s="14">
        <v>0</v>
      </c>
      <c r="BO172" s="14">
        <v>0</v>
      </c>
      <c r="BP172" s="14">
        <v>0</v>
      </c>
      <c r="BQ172" s="14">
        <v>0</v>
      </c>
      <c r="BR172" s="14">
        <v>0</v>
      </c>
      <c r="BS172" s="14">
        <v>0</v>
      </c>
      <c r="BT172" s="14">
        <v>0</v>
      </c>
      <c r="BU172" s="14">
        <v>0</v>
      </c>
      <c r="BV172" s="14">
        <v>0</v>
      </c>
      <c r="BW172" s="14">
        <v>0</v>
      </c>
      <c r="BX172" s="14">
        <v>0</v>
      </c>
      <c r="BY172" s="14">
        <v>0</v>
      </c>
      <c r="BZ172" s="14">
        <v>0</v>
      </c>
      <c r="CA172" s="14">
        <v>0</v>
      </c>
      <c r="CB172" s="14">
        <v>0</v>
      </c>
      <c r="CC172" s="14">
        <v>0</v>
      </c>
      <c r="CD172" s="14">
        <v>0</v>
      </c>
      <c r="CE172" s="14">
        <v>0</v>
      </c>
      <c r="CF172" s="14">
        <v>0</v>
      </c>
      <c r="CG172" s="14">
        <v>0</v>
      </c>
      <c r="CH172" s="14">
        <v>0</v>
      </c>
      <c r="CI172" s="14">
        <v>0</v>
      </c>
      <c r="CJ172" s="14">
        <v>0</v>
      </c>
      <c r="CK172" s="14">
        <v>0</v>
      </c>
      <c r="CL172" s="14">
        <v>0</v>
      </c>
      <c r="CM172" s="14">
        <v>0</v>
      </c>
      <c r="CN172" s="14">
        <v>0</v>
      </c>
      <c r="CO172" s="14">
        <v>0</v>
      </c>
      <c r="CP172" s="14">
        <v>0</v>
      </c>
      <c r="CQ172" s="14">
        <v>0</v>
      </c>
      <c r="CR172" s="14">
        <v>0</v>
      </c>
      <c r="CS172" s="14">
        <v>0</v>
      </c>
      <c r="CT172" s="14">
        <v>0</v>
      </c>
      <c r="CU172" s="14">
        <v>0</v>
      </c>
      <c r="CV172" s="14">
        <v>0</v>
      </c>
      <c r="CW172" s="14">
        <v>0</v>
      </c>
      <c r="CX172" s="14">
        <v>0</v>
      </c>
      <c r="CY172" s="14">
        <v>0</v>
      </c>
      <c r="CZ172" s="14">
        <v>0</v>
      </c>
      <c r="DA172" s="14">
        <v>0</v>
      </c>
      <c r="DB172" s="14">
        <v>0</v>
      </c>
      <c r="DC172" s="14">
        <v>0</v>
      </c>
      <c r="DD172" s="14">
        <v>0</v>
      </c>
      <c r="DE172" s="14">
        <v>0</v>
      </c>
      <c r="DF172" s="14">
        <v>0</v>
      </c>
      <c r="DG172" s="14">
        <v>0</v>
      </c>
      <c r="DH172" s="14">
        <v>0</v>
      </c>
      <c r="DI172" s="14">
        <v>0</v>
      </c>
      <c r="DJ172" s="14">
        <v>0</v>
      </c>
      <c r="DK172" s="14">
        <v>0</v>
      </c>
      <c r="DL172" s="14">
        <v>0</v>
      </c>
      <c r="DM172" s="14">
        <v>0</v>
      </c>
      <c r="DN172" s="14">
        <v>0</v>
      </c>
      <c r="DO172" s="14">
        <v>0</v>
      </c>
      <c r="DP172" s="14">
        <v>0</v>
      </c>
      <c r="DQ172" s="14">
        <v>0</v>
      </c>
      <c r="DR172" s="14">
        <v>0</v>
      </c>
      <c r="DS172" s="14">
        <v>0</v>
      </c>
      <c r="DT172" s="14">
        <v>0</v>
      </c>
      <c r="DU172" s="14">
        <v>0</v>
      </c>
      <c r="DV172" s="14">
        <v>0</v>
      </c>
      <c r="DW172" s="14">
        <v>0</v>
      </c>
      <c r="DX172" s="14">
        <v>0</v>
      </c>
      <c r="DY172" s="14">
        <v>0</v>
      </c>
      <c r="DZ172" s="14">
        <v>0</v>
      </c>
      <c r="EA172" s="14">
        <v>0</v>
      </c>
      <c r="EB172" s="14">
        <v>0</v>
      </c>
      <c r="EC172" s="14">
        <v>0</v>
      </c>
      <c r="ED172" s="14">
        <v>0</v>
      </c>
      <c r="EE172" s="14">
        <v>0</v>
      </c>
      <c r="EF172" s="14">
        <v>0</v>
      </c>
    </row>
    <row r="173" ht="32" customHeight="1" spans="1:136" x14ac:dyDescent="0.25">
      <c r="A173" s="15" t="s">
        <v>8</v>
      </c>
      <c r="B173" s="15" t="s">
        <v>45</v>
      </c>
      <c r="C173" s="15" t="s">
        <v>234</v>
      </c>
      <c r="D173" s="16" t="s">
        <v>436</v>
      </c>
      <c r="E173" s="17">
        <f>SUM(G173:EF173)</f>
      </c>
      <c r="F173" s="17">
        <f>IF(E173&gt;0,1,0)</f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0</v>
      </c>
      <c r="AG173" s="18">
        <v>0</v>
      </c>
      <c r="AH173" s="18">
        <v>0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18">
        <v>0</v>
      </c>
      <c r="BN173" s="18">
        <v>0</v>
      </c>
      <c r="BO173" s="18">
        <v>0</v>
      </c>
      <c r="BP173" s="18">
        <v>0</v>
      </c>
      <c r="BQ173" s="18">
        <v>0</v>
      </c>
      <c r="BR173" s="18">
        <v>0</v>
      </c>
      <c r="BS173" s="18">
        <v>0</v>
      </c>
      <c r="BT173" s="18">
        <v>0</v>
      </c>
      <c r="BU173" s="18">
        <v>0</v>
      </c>
      <c r="BV173" s="18">
        <v>0</v>
      </c>
      <c r="BW173" s="18">
        <v>0</v>
      </c>
      <c r="BX173" s="18">
        <v>0</v>
      </c>
      <c r="BY173" s="18">
        <v>0</v>
      </c>
      <c r="BZ173" s="18">
        <v>0</v>
      </c>
      <c r="CA173" s="18">
        <v>0</v>
      </c>
      <c r="CB173" s="18">
        <v>0</v>
      </c>
      <c r="CC173" s="18">
        <v>0</v>
      </c>
      <c r="CD173" s="18">
        <v>0</v>
      </c>
      <c r="CE173" s="18">
        <v>0</v>
      </c>
      <c r="CF173" s="18">
        <v>0</v>
      </c>
      <c r="CG173" s="18">
        <v>0</v>
      </c>
      <c r="CH173" s="18">
        <v>0</v>
      </c>
      <c r="CI173" s="18">
        <v>0</v>
      </c>
      <c r="CJ173" s="18">
        <v>0</v>
      </c>
      <c r="CK173" s="18">
        <v>0</v>
      </c>
      <c r="CL173" s="18">
        <v>0</v>
      </c>
      <c r="CM173" s="18">
        <v>0</v>
      </c>
      <c r="CN173" s="18">
        <v>0</v>
      </c>
      <c r="CO173" s="18">
        <v>0</v>
      </c>
      <c r="CP173" s="18">
        <v>0</v>
      </c>
      <c r="CQ173" s="18">
        <v>0</v>
      </c>
      <c r="CR173" s="18">
        <v>0</v>
      </c>
      <c r="CS173" s="18">
        <v>0</v>
      </c>
      <c r="CT173" s="18">
        <v>0</v>
      </c>
      <c r="CU173" s="18">
        <v>0</v>
      </c>
      <c r="CV173" s="18">
        <v>0</v>
      </c>
      <c r="CW173" s="18">
        <v>0</v>
      </c>
      <c r="CX173" s="18">
        <v>0</v>
      </c>
      <c r="CY173" s="18">
        <v>0</v>
      </c>
      <c r="CZ173" s="18">
        <v>0</v>
      </c>
      <c r="DA173" s="18">
        <v>0</v>
      </c>
      <c r="DB173" s="18">
        <v>0</v>
      </c>
      <c r="DC173" s="18">
        <v>0</v>
      </c>
      <c r="DD173" s="18">
        <v>0</v>
      </c>
      <c r="DE173" s="18">
        <v>0</v>
      </c>
      <c r="DF173" s="18">
        <v>0</v>
      </c>
      <c r="DG173" s="18">
        <v>0</v>
      </c>
      <c r="DH173" s="18">
        <v>0</v>
      </c>
      <c r="DI173" s="18">
        <v>0</v>
      </c>
      <c r="DJ173" s="18">
        <v>0</v>
      </c>
      <c r="DK173" s="18">
        <v>0</v>
      </c>
      <c r="DL173" s="18">
        <v>0</v>
      </c>
      <c r="DM173" s="18">
        <v>0</v>
      </c>
      <c r="DN173" s="18">
        <v>0</v>
      </c>
      <c r="DO173" s="18">
        <v>0</v>
      </c>
      <c r="DP173" s="18">
        <v>0</v>
      </c>
      <c r="DQ173" s="18">
        <v>0</v>
      </c>
      <c r="DR173" s="18">
        <v>0</v>
      </c>
      <c r="DS173" s="18">
        <v>0</v>
      </c>
      <c r="DT173" s="18">
        <v>0</v>
      </c>
      <c r="DU173" s="18">
        <v>0</v>
      </c>
      <c r="DV173" s="18">
        <v>0</v>
      </c>
      <c r="DW173" s="18">
        <v>0</v>
      </c>
      <c r="DX173" s="18">
        <v>0</v>
      </c>
      <c r="DY173" s="18">
        <v>0</v>
      </c>
      <c r="DZ173" s="18">
        <v>0</v>
      </c>
      <c r="EA173" s="18">
        <v>0</v>
      </c>
      <c r="EB173" s="18">
        <v>0</v>
      </c>
      <c r="EC173" s="18">
        <v>0</v>
      </c>
      <c r="ED173" s="18">
        <v>0</v>
      </c>
      <c r="EE173" s="18">
        <v>0</v>
      </c>
      <c r="EF173" s="18">
        <v>0</v>
      </c>
    </row>
    <row r="174" ht="32" customHeight="1" spans="1:136" x14ac:dyDescent="0.25">
      <c r="A174" s="4" t="s">
        <v>8</v>
      </c>
      <c r="B174" s="4" t="s">
        <v>45</v>
      </c>
      <c r="C174" s="4" t="s">
        <v>236</v>
      </c>
      <c r="D174" s="12" t="s">
        <v>437</v>
      </c>
      <c r="E174" s="8">
        <f>SUM(G174:EF174)</f>
      </c>
      <c r="F174" s="8">
        <f>IF(E174&gt;0,1,0)</f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4">
        <v>0</v>
      </c>
      <c r="AT174" s="14">
        <v>0</v>
      </c>
      <c r="AU174" s="14">
        <v>0</v>
      </c>
      <c r="AV174" s="14">
        <v>0</v>
      </c>
      <c r="AW174" s="14">
        <v>0</v>
      </c>
      <c r="AX174" s="14">
        <v>0</v>
      </c>
      <c r="AY174" s="14">
        <v>0</v>
      </c>
      <c r="AZ174" s="14">
        <v>0</v>
      </c>
      <c r="BA174" s="14">
        <v>0</v>
      </c>
      <c r="BB174" s="14">
        <v>0</v>
      </c>
      <c r="BC174" s="14">
        <v>0</v>
      </c>
      <c r="BD174" s="14">
        <v>0</v>
      </c>
      <c r="BE174" s="14">
        <v>0</v>
      </c>
      <c r="BF174" s="14">
        <v>0</v>
      </c>
      <c r="BG174" s="14">
        <v>0</v>
      </c>
      <c r="BH174" s="14">
        <v>0</v>
      </c>
      <c r="BI174" s="14">
        <v>0</v>
      </c>
      <c r="BJ174" s="14">
        <v>0</v>
      </c>
      <c r="BK174" s="14">
        <v>0</v>
      </c>
      <c r="BL174" s="14">
        <v>0</v>
      </c>
      <c r="BM174" s="14">
        <v>0</v>
      </c>
      <c r="BN174" s="14">
        <v>0</v>
      </c>
      <c r="BO174" s="14">
        <v>0</v>
      </c>
      <c r="BP174" s="14">
        <v>0</v>
      </c>
      <c r="BQ174" s="14">
        <v>0</v>
      </c>
      <c r="BR174" s="14">
        <v>0</v>
      </c>
      <c r="BS174" s="14">
        <v>0</v>
      </c>
      <c r="BT174" s="14">
        <v>0</v>
      </c>
      <c r="BU174" s="14">
        <v>0</v>
      </c>
      <c r="BV174" s="14">
        <v>0</v>
      </c>
      <c r="BW174" s="14">
        <v>0</v>
      </c>
      <c r="BX174" s="14">
        <v>0</v>
      </c>
      <c r="BY174" s="14">
        <v>0</v>
      </c>
      <c r="BZ174" s="14">
        <v>0</v>
      </c>
      <c r="CA174" s="14">
        <v>0</v>
      </c>
      <c r="CB174" s="14">
        <v>0</v>
      </c>
      <c r="CC174" s="14">
        <v>0</v>
      </c>
      <c r="CD174" s="14">
        <v>0</v>
      </c>
      <c r="CE174" s="14">
        <v>0</v>
      </c>
      <c r="CF174" s="14">
        <v>0</v>
      </c>
      <c r="CG174" s="14">
        <v>0</v>
      </c>
      <c r="CH174" s="14">
        <v>0</v>
      </c>
      <c r="CI174" s="14">
        <v>0</v>
      </c>
      <c r="CJ174" s="14">
        <v>0</v>
      </c>
      <c r="CK174" s="14">
        <v>0</v>
      </c>
      <c r="CL174" s="14">
        <v>0</v>
      </c>
      <c r="CM174" s="14">
        <v>0</v>
      </c>
      <c r="CN174" s="14">
        <v>0</v>
      </c>
      <c r="CO174" s="14">
        <v>0</v>
      </c>
      <c r="CP174" s="14">
        <v>0</v>
      </c>
      <c r="CQ174" s="14">
        <v>0</v>
      </c>
      <c r="CR174" s="14">
        <v>0</v>
      </c>
      <c r="CS174" s="14">
        <v>0</v>
      </c>
      <c r="CT174" s="14">
        <v>0</v>
      </c>
      <c r="CU174" s="14">
        <v>0</v>
      </c>
      <c r="CV174" s="14">
        <v>0</v>
      </c>
      <c r="CW174" s="14">
        <v>0</v>
      </c>
      <c r="CX174" s="14">
        <v>0</v>
      </c>
      <c r="CY174" s="14">
        <v>0</v>
      </c>
      <c r="CZ174" s="14">
        <v>0</v>
      </c>
      <c r="DA174" s="14">
        <v>0</v>
      </c>
      <c r="DB174" s="14">
        <v>0</v>
      </c>
      <c r="DC174" s="14">
        <v>0</v>
      </c>
      <c r="DD174" s="14">
        <v>0</v>
      </c>
      <c r="DE174" s="14">
        <v>0</v>
      </c>
      <c r="DF174" s="14">
        <v>0</v>
      </c>
      <c r="DG174" s="14">
        <v>0</v>
      </c>
      <c r="DH174" s="14">
        <v>0</v>
      </c>
      <c r="DI174" s="14">
        <v>0</v>
      </c>
      <c r="DJ174" s="14">
        <v>0</v>
      </c>
      <c r="DK174" s="14">
        <v>0</v>
      </c>
      <c r="DL174" s="14">
        <v>0</v>
      </c>
      <c r="DM174" s="14">
        <v>0</v>
      </c>
      <c r="DN174" s="14">
        <v>0</v>
      </c>
      <c r="DO174" s="14">
        <v>0</v>
      </c>
      <c r="DP174" s="14">
        <v>0</v>
      </c>
      <c r="DQ174" s="14">
        <v>0</v>
      </c>
      <c r="DR174" s="14">
        <v>0</v>
      </c>
      <c r="DS174" s="14">
        <v>0</v>
      </c>
      <c r="DT174" s="14">
        <v>0</v>
      </c>
      <c r="DU174" s="14">
        <v>0</v>
      </c>
      <c r="DV174" s="14">
        <v>0</v>
      </c>
      <c r="DW174" s="14">
        <v>0</v>
      </c>
      <c r="DX174" s="14">
        <v>0</v>
      </c>
      <c r="DY174" s="14">
        <v>0</v>
      </c>
      <c r="DZ174" s="14">
        <v>0</v>
      </c>
      <c r="EA174" s="14">
        <v>0</v>
      </c>
      <c r="EB174" s="14">
        <v>0</v>
      </c>
      <c r="EC174" s="14">
        <v>0</v>
      </c>
      <c r="ED174" s="14">
        <v>0</v>
      </c>
      <c r="EE174" s="14">
        <v>0</v>
      </c>
      <c r="EF174" s="14">
        <v>0</v>
      </c>
    </row>
    <row r="175" ht="32" customHeight="1" spans="1:136" x14ac:dyDescent="0.25">
      <c r="A175" s="4" t="s">
        <v>8</v>
      </c>
      <c r="B175" s="4" t="s">
        <v>45</v>
      </c>
      <c r="C175" s="4" t="s">
        <v>238</v>
      </c>
      <c r="D175" s="12" t="s">
        <v>438</v>
      </c>
      <c r="E175" s="8">
        <f>SUM(G175:EF175)</f>
      </c>
      <c r="F175" s="8">
        <f>IF(E175&gt;0,1,0)</f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4">
        <v>0</v>
      </c>
      <c r="AT175" s="14">
        <v>0</v>
      </c>
      <c r="AU175" s="14">
        <v>0</v>
      </c>
      <c r="AV175" s="14">
        <v>0</v>
      </c>
      <c r="AW175" s="14">
        <v>0</v>
      </c>
      <c r="AX175" s="14">
        <v>0</v>
      </c>
      <c r="AY175" s="14">
        <v>0</v>
      </c>
      <c r="AZ175" s="14">
        <v>0</v>
      </c>
      <c r="BA175" s="14">
        <v>0</v>
      </c>
      <c r="BB175" s="14">
        <v>0</v>
      </c>
      <c r="BC175" s="14">
        <v>0</v>
      </c>
      <c r="BD175" s="14">
        <v>0</v>
      </c>
      <c r="BE175" s="14">
        <v>0</v>
      </c>
      <c r="BF175" s="14">
        <v>0</v>
      </c>
      <c r="BG175" s="14">
        <v>0</v>
      </c>
      <c r="BH175" s="14">
        <v>0</v>
      </c>
      <c r="BI175" s="14">
        <v>0</v>
      </c>
      <c r="BJ175" s="14">
        <v>0</v>
      </c>
      <c r="BK175" s="14">
        <v>0</v>
      </c>
      <c r="BL175" s="14">
        <v>0</v>
      </c>
      <c r="BM175" s="14">
        <v>0</v>
      </c>
      <c r="BN175" s="14">
        <v>0</v>
      </c>
      <c r="BO175" s="14">
        <v>0</v>
      </c>
      <c r="BP175" s="14">
        <v>0</v>
      </c>
      <c r="BQ175" s="14">
        <v>0</v>
      </c>
      <c r="BR175" s="14">
        <v>0</v>
      </c>
      <c r="BS175" s="14">
        <v>0</v>
      </c>
      <c r="BT175" s="14">
        <v>0</v>
      </c>
      <c r="BU175" s="14">
        <v>0</v>
      </c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4">
        <v>0</v>
      </c>
      <c r="CH175" s="14">
        <v>0</v>
      </c>
      <c r="CI175" s="14">
        <v>0</v>
      </c>
      <c r="CJ175" s="14">
        <v>0</v>
      </c>
      <c r="CK175" s="14">
        <v>0</v>
      </c>
      <c r="CL175" s="14">
        <v>0</v>
      </c>
      <c r="CM175" s="14">
        <v>0</v>
      </c>
      <c r="CN175" s="14">
        <v>0</v>
      </c>
      <c r="CO175" s="14">
        <v>0</v>
      </c>
      <c r="CP175" s="14">
        <v>0</v>
      </c>
      <c r="CQ175" s="14">
        <v>0</v>
      </c>
      <c r="CR175" s="14">
        <v>0</v>
      </c>
      <c r="CS175" s="14">
        <v>0</v>
      </c>
      <c r="CT175" s="14">
        <v>0</v>
      </c>
      <c r="CU175" s="14">
        <v>0</v>
      </c>
      <c r="CV175" s="14">
        <v>0</v>
      </c>
      <c r="CW175" s="14">
        <v>0</v>
      </c>
      <c r="CX175" s="14">
        <v>0</v>
      </c>
      <c r="CY175" s="14">
        <v>0</v>
      </c>
      <c r="CZ175" s="14">
        <v>0</v>
      </c>
      <c r="DA175" s="14">
        <v>0</v>
      </c>
      <c r="DB175" s="14">
        <v>0</v>
      </c>
      <c r="DC175" s="14">
        <v>0</v>
      </c>
      <c r="DD175" s="14">
        <v>0</v>
      </c>
      <c r="DE175" s="14">
        <v>0</v>
      </c>
      <c r="DF175" s="14">
        <v>0</v>
      </c>
      <c r="DG175" s="14">
        <v>0</v>
      </c>
      <c r="DH175" s="14">
        <v>0</v>
      </c>
      <c r="DI175" s="14">
        <v>0</v>
      </c>
      <c r="DJ175" s="14">
        <v>0</v>
      </c>
      <c r="DK175" s="14">
        <v>0</v>
      </c>
      <c r="DL175" s="14">
        <v>0</v>
      </c>
      <c r="DM175" s="14">
        <v>0</v>
      </c>
      <c r="DN175" s="14">
        <v>0</v>
      </c>
      <c r="DO175" s="14">
        <v>0</v>
      </c>
      <c r="DP175" s="14">
        <v>0</v>
      </c>
      <c r="DQ175" s="14">
        <v>0</v>
      </c>
      <c r="DR175" s="14">
        <v>0</v>
      </c>
      <c r="DS175" s="14">
        <v>0</v>
      </c>
      <c r="DT175" s="14">
        <v>0</v>
      </c>
      <c r="DU175" s="14">
        <v>0</v>
      </c>
      <c r="DV175" s="14">
        <v>0</v>
      </c>
      <c r="DW175" s="14">
        <v>0</v>
      </c>
      <c r="DX175" s="14">
        <v>0</v>
      </c>
      <c r="DY175" s="14">
        <v>0</v>
      </c>
      <c r="DZ175" s="14">
        <v>0</v>
      </c>
      <c r="EA175" s="14">
        <v>0</v>
      </c>
      <c r="EB175" s="14">
        <v>0</v>
      </c>
      <c r="EC175" s="14">
        <v>0</v>
      </c>
      <c r="ED175" s="14">
        <v>0</v>
      </c>
      <c r="EE175" s="14">
        <v>0</v>
      </c>
      <c r="EF175" s="14">
        <v>0</v>
      </c>
    </row>
    <row r="176" ht="32" customHeight="1" spans="1:136" x14ac:dyDescent="0.25">
      <c r="A176" s="4" t="s">
        <v>8</v>
      </c>
      <c r="B176" s="4" t="s">
        <v>45</v>
      </c>
      <c r="C176" s="4" t="s">
        <v>240</v>
      </c>
      <c r="D176" s="12" t="s">
        <v>439</v>
      </c>
      <c r="E176" s="8">
        <f>SUM(G176:EF176)</f>
      </c>
      <c r="F176" s="8">
        <f>IF(E176&gt;0,1,0)</f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  <c r="AS176" s="14">
        <v>0</v>
      </c>
      <c r="AT176" s="14">
        <v>0</v>
      </c>
      <c r="AU176" s="14">
        <v>0</v>
      </c>
      <c r="AV176" s="14">
        <v>0</v>
      </c>
      <c r="AW176" s="14">
        <v>0</v>
      </c>
      <c r="AX176" s="14">
        <v>0</v>
      </c>
      <c r="AY176" s="14">
        <v>0</v>
      </c>
      <c r="AZ176" s="14">
        <v>0</v>
      </c>
      <c r="BA176" s="14">
        <v>0</v>
      </c>
      <c r="BB176" s="14">
        <v>0</v>
      </c>
      <c r="BC176" s="14">
        <v>0</v>
      </c>
      <c r="BD176" s="14">
        <v>0</v>
      </c>
      <c r="BE176" s="14">
        <v>0</v>
      </c>
      <c r="BF176" s="14">
        <v>0</v>
      </c>
      <c r="BG176" s="14">
        <v>0</v>
      </c>
      <c r="BH176" s="14">
        <v>0</v>
      </c>
      <c r="BI176" s="14">
        <v>0</v>
      </c>
      <c r="BJ176" s="14">
        <v>0</v>
      </c>
      <c r="BK176" s="14">
        <v>0</v>
      </c>
      <c r="BL176" s="14">
        <v>0</v>
      </c>
      <c r="BM176" s="14">
        <v>0</v>
      </c>
      <c r="BN176" s="14">
        <v>0</v>
      </c>
      <c r="BO176" s="14">
        <v>0</v>
      </c>
      <c r="BP176" s="14">
        <v>0</v>
      </c>
      <c r="BQ176" s="14">
        <v>0</v>
      </c>
      <c r="BR176" s="14">
        <v>0</v>
      </c>
      <c r="BS176" s="14">
        <v>0</v>
      </c>
      <c r="BT176" s="14">
        <v>0</v>
      </c>
      <c r="BU176" s="14">
        <v>0</v>
      </c>
      <c r="BV176" s="14">
        <v>0</v>
      </c>
      <c r="BW176" s="14">
        <v>0</v>
      </c>
      <c r="BX176" s="14">
        <v>0</v>
      </c>
      <c r="BY176" s="14">
        <v>0</v>
      </c>
      <c r="BZ176" s="14">
        <v>0</v>
      </c>
      <c r="CA176" s="14">
        <v>0</v>
      </c>
      <c r="CB176" s="14">
        <v>0</v>
      </c>
      <c r="CC176" s="14">
        <v>0</v>
      </c>
      <c r="CD176" s="14">
        <v>0</v>
      </c>
      <c r="CE176" s="14">
        <v>0</v>
      </c>
      <c r="CF176" s="14">
        <v>0</v>
      </c>
      <c r="CG176" s="14">
        <v>0</v>
      </c>
      <c r="CH176" s="14">
        <v>0</v>
      </c>
      <c r="CI176" s="14">
        <v>0</v>
      </c>
      <c r="CJ176" s="14">
        <v>0</v>
      </c>
      <c r="CK176" s="14">
        <v>0</v>
      </c>
      <c r="CL176" s="14">
        <v>0</v>
      </c>
      <c r="CM176" s="14">
        <v>0</v>
      </c>
      <c r="CN176" s="14">
        <v>0</v>
      </c>
      <c r="CO176" s="14">
        <v>0</v>
      </c>
      <c r="CP176" s="14">
        <v>0</v>
      </c>
      <c r="CQ176" s="14">
        <v>0</v>
      </c>
      <c r="CR176" s="14">
        <v>0</v>
      </c>
      <c r="CS176" s="14">
        <v>0</v>
      </c>
      <c r="CT176" s="14">
        <v>0</v>
      </c>
      <c r="CU176" s="14">
        <v>0</v>
      </c>
      <c r="CV176" s="14">
        <v>0</v>
      </c>
      <c r="CW176" s="14">
        <v>0</v>
      </c>
      <c r="CX176" s="14">
        <v>0</v>
      </c>
      <c r="CY176" s="14">
        <v>0</v>
      </c>
      <c r="CZ176" s="14">
        <v>0</v>
      </c>
      <c r="DA176" s="14">
        <v>0</v>
      </c>
      <c r="DB176" s="14">
        <v>0</v>
      </c>
      <c r="DC176" s="14">
        <v>0</v>
      </c>
      <c r="DD176" s="14">
        <v>0</v>
      </c>
      <c r="DE176" s="14">
        <v>0</v>
      </c>
      <c r="DF176" s="14">
        <v>0</v>
      </c>
      <c r="DG176" s="14">
        <v>0</v>
      </c>
      <c r="DH176" s="14">
        <v>0</v>
      </c>
      <c r="DI176" s="14">
        <v>0</v>
      </c>
      <c r="DJ176" s="14">
        <v>0</v>
      </c>
      <c r="DK176" s="14">
        <v>0</v>
      </c>
      <c r="DL176" s="14">
        <v>0</v>
      </c>
      <c r="DM176" s="14">
        <v>0</v>
      </c>
      <c r="DN176" s="14">
        <v>0</v>
      </c>
      <c r="DO176" s="14">
        <v>0</v>
      </c>
      <c r="DP176" s="14">
        <v>0</v>
      </c>
      <c r="DQ176" s="14">
        <v>0</v>
      </c>
      <c r="DR176" s="14">
        <v>0</v>
      </c>
      <c r="DS176" s="14">
        <v>0</v>
      </c>
      <c r="DT176" s="14">
        <v>0</v>
      </c>
      <c r="DU176" s="14">
        <v>0</v>
      </c>
      <c r="DV176" s="14">
        <v>0</v>
      </c>
      <c r="DW176" s="14">
        <v>0</v>
      </c>
      <c r="DX176" s="14">
        <v>0</v>
      </c>
      <c r="DY176" s="14">
        <v>0</v>
      </c>
      <c r="DZ176" s="14">
        <v>0</v>
      </c>
      <c r="EA176" s="14">
        <v>0</v>
      </c>
      <c r="EB176" s="14">
        <v>0</v>
      </c>
      <c r="EC176" s="14">
        <v>0</v>
      </c>
      <c r="ED176" s="14">
        <v>0</v>
      </c>
      <c r="EE176" s="14">
        <v>0</v>
      </c>
      <c r="EF176" s="14">
        <v>0</v>
      </c>
    </row>
    <row r="177" ht="32" customHeight="1" spans="1:136" x14ac:dyDescent="0.25">
      <c r="A177" s="4" t="s">
        <v>8</v>
      </c>
      <c r="B177" s="4" t="s">
        <v>45</v>
      </c>
      <c r="C177" s="4" t="s">
        <v>242</v>
      </c>
      <c r="D177" s="12" t="s">
        <v>440</v>
      </c>
      <c r="E177" s="8">
        <f>SUM(G177:EF177)</f>
      </c>
      <c r="F177" s="8">
        <f>IF(E177&gt;0,1,0)</f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  <c r="AS177" s="14">
        <v>0</v>
      </c>
      <c r="AT177" s="14">
        <v>0</v>
      </c>
      <c r="AU177" s="14">
        <v>0</v>
      </c>
      <c r="AV177" s="14">
        <v>0</v>
      </c>
      <c r="AW177" s="14">
        <v>0</v>
      </c>
      <c r="AX177" s="14">
        <v>0</v>
      </c>
      <c r="AY177" s="14">
        <v>0</v>
      </c>
      <c r="AZ177" s="14">
        <v>0</v>
      </c>
      <c r="BA177" s="14">
        <v>0</v>
      </c>
      <c r="BB177" s="14">
        <v>0</v>
      </c>
      <c r="BC177" s="14">
        <v>0</v>
      </c>
      <c r="BD177" s="14">
        <v>0</v>
      </c>
      <c r="BE177" s="14">
        <v>0</v>
      </c>
      <c r="BF177" s="14">
        <v>0</v>
      </c>
      <c r="BG177" s="14">
        <v>0</v>
      </c>
      <c r="BH177" s="14">
        <v>0</v>
      </c>
      <c r="BI177" s="14">
        <v>0</v>
      </c>
      <c r="BJ177" s="14">
        <v>0</v>
      </c>
      <c r="BK177" s="14">
        <v>0</v>
      </c>
      <c r="BL177" s="14">
        <v>0</v>
      </c>
      <c r="BM177" s="14">
        <v>0</v>
      </c>
      <c r="BN177" s="14">
        <v>0</v>
      </c>
      <c r="BO177" s="14">
        <v>0</v>
      </c>
      <c r="BP177" s="14">
        <v>0</v>
      </c>
      <c r="BQ177" s="14">
        <v>0</v>
      </c>
      <c r="BR177" s="14">
        <v>0</v>
      </c>
      <c r="BS177" s="14">
        <v>0</v>
      </c>
      <c r="BT177" s="14">
        <v>0</v>
      </c>
      <c r="BU177" s="14">
        <v>0</v>
      </c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4">
        <v>0</v>
      </c>
      <c r="CH177" s="14">
        <v>0</v>
      </c>
      <c r="CI177" s="14">
        <v>0</v>
      </c>
      <c r="CJ177" s="14">
        <v>0</v>
      </c>
      <c r="CK177" s="14">
        <v>0</v>
      </c>
      <c r="CL177" s="14">
        <v>0</v>
      </c>
      <c r="CM177" s="14">
        <v>0</v>
      </c>
      <c r="CN177" s="14">
        <v>0</v>
      </c>
      <c r="CO177" s="14">
        <v>0</v>
      </c>
      <c r="CP177" s="14">
        <v>0</v>
      </c>
      <c r="CQ177" s="14">
        <v>0</v>
      </c>
      <c r="CR177" s="14">
        <v>0</v>
      </c>
      <c r="CS177" s="14">
        <v>0</v>
      </c>
      <c r="CT177" s="14">
        <v>0</v>
      </c>
      <c r="CU177" s="14">
        <v>0</v>
      </c>
      <c r="CV177" s="14">
        <v>0</v>
      </c>
      <c r="CW177" s="14">
        <v>0</v>
      </c>
      <c r="CX177" s="14">
        <v>0</v>
      </c>
      <c r="CY177" s="14">
        <v>0</v>
      </c>
      <c r="CZ177" s="14">
        <v>0</v>
      </c>
      <c r="DA177" s="14">
        <v>0</v>
      </c>
      <c r="DB177" s="14">
        <v>0</v>
      </c>
      <c r="DC177" s="14">
        <v>0</v>
      </c>
      <c r="DD177" s="14">
        <v>0</v>
      </c>
      <c r="DE177" s="14">
        <v>0</v>
      </c>
      <c r="DF177" s="14">
        <v>0</v>
      </c>
      <c r="DG177" s="14">
        <v>0</v>
      </c>
      <c r="DH177" s="14">
        <v>0</v>
      </c>
      <c r="DI177" s="14">
        <v>0</v>
      </c>
      <c r="DJ177" s="14">
        <v>0</v>
      </c>
      <c r="DK177" s="14">
        <v>0</v>
      </c>
      <c r="DL177" s="14">
        <v>0</v>
      </c>
      <c r="DM177" s="14">
        <v>0</v>
      </c>
      <c r="DN177" s="14">
        <v>0</v>
      </c>
      <c r="DO177" s="14">
        <v>0</v>
      </c>
      <c r="DP177" s="14">
        <v>0</v>
      </c>
      <c r="DQ177" s="14">
        <v>0</v>
      </c>
      <c r="DR177" s="14">
        <v>0</v>
      </c>
      <c r="DS177" s="14">
        <v>0</v>
      </c>
      <c r="DT177" s="14">
        <v>0</v>
      </c>
      <c r="DU177" s="14">
        <v>0</v>
      </c>
      <c r="DV177" s="14">
        <v>0</v>
      </c>
      <c r="DW177" s="14">
        <v>0</v>
      </c>
      <c r="DX177" s="14">
        <v>0</v>
      </c>
      <c r="DY177" s="14">
        <v>0</v>
      </c>
      <c r="DZ177" s="14">
        <v>0</v>
      </c>
      <c r="EA177" s="14">
        <v>0</v>
      </c>
      <c r="EB177" s="14">
        <v>0</v>
      </c>
      <c r="EC177" s="14">
        <v>0</v>
      </c>
      <c r="ED177" s="14">
        <v>0</v>
      </c>
      <c r="EE177" s="14">
        <v>0</v>
      </c>
      <c r="EF177" s="14">
        <v>0</v>
      </c>
    </row>
    <row r="178" ht="32" customHeight="1" spans="1:136" x14ac:dyDescent="0.25">
      <c r="A178" s="15" t="s">
        <v>8</v>
      </c>
      <c r="B178" s="15" t="s">
        <v>46</v>
      </c>
      <c r="C178" s="15" t="s">
        <v>244</v>
      </c>
      <c r="D178" s="16" t="s">
        <v>441</v>
      </c>
      <c r="E178" s="17">
        <f>SUM(G178:EF178)</f>
      </c>
      <c r="F178" s="17">
        <f>IF(E178&gt;0,1,0)</f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D178" s="18">
        <v>0</v>
      </c>
      <c r="AE178" s="18">
        <v>0</v>
      </c>
      <c r="AF178" s="18">
        <v>0</v>
      </c>
      <c r="AG178" s="18">
        <v>0</v>
      </c>
      <c r="AH178" s="18">
        <v>0</v>
      </c>
      <c r="AI178" s="18">
        <v>0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18">
        <v>0</v>
      </c>
      <c r="BM178" s="18">
        <v>0</v>
      </c>
      <c r="BN178" s="18">
        <v>0</v>
      </c>
      <c r="BO178" s="18">
        <v>0</v>
      </c>
      <c r="BP178" s="18">
        <v>0</v>
      </c>
      <c r="BQ178" s="18">
        <v>0</v>
      </c>
      <c r="BR178" s="18">
        <v>0</v>
      </c>
      <c r="BS178" s="18">
        <v>0</v>
      </c>
      <c r="BT178" s="18">
        <v>0</v>
      </c>
      <c r="BU178" s="18">
        <v>0</v>
      </c>
      <c r="BV178" s="18">
        <v>0</v>
      </c>
      <c r="BW178" s="18">
        <v>0</v>
      </c>
      <c r="BX178" s="18">
        <v>0</v>
      </c>
      <c r="BY178" s="18">
        <v>0</v>
      </c>
      <c r="BZ178" s="18">
        <v>0</v>
      </c>
      <c r="CA178" s="18">
        <v>0</v>
      </c>
      <c r="CB178" s="18">
        <v>0</v>
      </c>
      <c r="CC178" s="18">
        <v>0</v>
      </c>
      <c r="CD178" s="18">
        <v>0</v>
      </c>
      <c r="CE178" s="18">
        <v>0</v>
      </c>
      <c r="CF178" s="18">
        <v>0</v>
      </c>
      <c r="CG178" s="18">
        <v>0</v>
      </c>
      <c r="CH178" s="18">
        <v>0</v>
      </c>
      <c r="CI178" s="18">
        <v>0</v>
      </c>
      <c r="CJ178" s="18">
        <v>0</v>
      </c>
      <c r="CK178" s="18">
        <v>0</v>
      </c>
      <c r="CL178" s="18">
        <v>0</v>
      </c>
      <c r="CM178" s="18">
        <v>0</v>
      </c>
      <c r="CN178" s="18">
        <v>0</v>
      </c>
      <c r="CO178" s="18">
        <v>0</v>
      </c>
      <c r="CP178" s="18">
        <v>0</v>
      </c>
      <c r="CQ178" s="18">
        <v>0</v>
      </c>
      <c r="CR178" s="18">
        <v>0</v>
      </c>
      <c r="CS178" s="18">
        <v>0</v>
      </c>
      <c r="CT178" s="18">
        <v>0</v>
      </c>
      <c r="CU178" s="18">
        <v>0</v>
      </c>
      <c r="CV178" s="18">
        <v>0</v>
      </c>
      <c r="CW178" s="18">
        <v>0</v>
      </c>
      <c r="CX178" s="18">
        <v>0</v>
      </c>
      <c r="CY178" s="18">
        <v>0</v>
      </c>
      <c r="CZ178" s="18">
        <v>0</v>
      </c>
      <c r="DA178" s="18">
        <v>0</v>
      </c>
      <c r="DB178" s="18">
        <v>0</v>
      </c>
      <c r="DC178" s="18">
        <v>0</v>
      </c>
      <c r="DD178" s="18">
        <v>0</v>
      </c>
      <c r="DE178" s="18">
        <v>0</v>
      </c>
      <c r="DF178" s="18">
        <v>0</v>
      </c>
      <c r="DG178" s="18">
        <v>0</v>
      </c>
      <c r="DH178" s="18">
        <v>0</v>
      </c>
      <c r="DI178" s="18">
        <v>0</v>
      </c>
      <c r="DJ178" s="18">
        <v>0</v>
      </c>
      <c r="DK178" s="18">
        <v>0</v>
      </c>
      <c r="DL178" s="18">
        <v>0</v>
      </c>
      <c r="DM178" s="18">
        <v>0</v>
      </c>
      <c r="DN178" s="18">
        <v>0</v>
      </c>
      <c r="DO178" s="18">
        <v>0</v>
      </c>
      <c r="DP178" s="18">
        <v>0</v>
      </c>
      <c r="DQ178" s="18">
        <v>0</v>
      </c>
      <c r="DR178" s="18">
        <v>0</v>
      </c>
      <c r="DS178" s="18">
        <v>0</v>
      </c>
      <c r="DT178" s="18">
        <v>0</v>
      </c>
      <c r="DU178" s="18">
        <v>0</v>
      </c>
      <c r="DV178" s="18">
        <v>0</v>
      </c>
      <c r="DW178" s="18">
        <v>0</v>
      </c>
      <c r="DX178" s="18">
        <v>0</v>
      </c>
      <c r="DY178" s="18">
        <v>0</v>
      </c>
      <c r="DZ178" s="18">
        <v>0</v>
      </c>
      <c r="EA178" s="18">
        <v>0</v>
      </c>
      <c r="EB178" s="18">
        <v>0</v>
      </c>
      <c r="EC178" s="18">
        <v>0</v>
      </c>
      <c r="ED178" s="18">
        <v>0</v>
      </c>
      <c r="EE178" s="18">
        <v>0</v>
      </c>
      <c r="EF178" s="18">
        <v>0</v>
      </c>
    </row>
    <row r="179" ht="32" customHeight="1" spans="1:136" x14ac:dyDescent="0.25">
      <c r="A179" s="4" t="s">
        <v>8</v>
      </c>
      <c r="B179" s="4" t="s">
        <v>46</v>
      </c>
      <c r="C179" s="4" t="s">
        <v>246</v>
      </c>
      <c r="D179" s="12" t="s">
        <v>442</v>
      </c>
      <c r="E179" s="8">
        <f>SUM(G179:EF179)</f>
      </c>
      <c r="F179" s="8">
        <f>IF(E179&gt;0,1,0)</f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 s="14">
        <v>0</v>
      </c>
      <c r="AR179" s="14">
        <v>0</v>
      </c>
      <c r="AS179" s="14">
        <v>0</v>
      </c>
      <c r="AT179" s="14">
        <v>0</v>
      </c>
      <c r="AU179" s="14">
        <v>0</v>
      </c>
      <c r="AV179" s="14">
        <v>0</v>
      </c>
      <c r="AW179" s="14">
        <v>0</v>
      </c>
      <c r="AX179" s="14">
        <v>0</v>
      </c>
      <c r="AY179" s="14">
        <v>0</v>
      </c>
      <c r="AZ179" s="14">
        <v>0</v>
      </c>
      <c r="BA179" s="14">
        <v>0</v>
      </c>
      <c r="BB179" s="14">
        <v>0</v>
      </c>
      <c r="BC179" s="14">
        <v>0</v>
      </c>
      <c r="BD179" s="14">
        <v>0</v>
      </c>
      <c r="BE179" s="14">
        <v>0</v>
      </c>
      <c r="BF179" s="14">
        <v>0</v>
      </c>
      <c r="BG179" s="14">
        <v>0</v>
      </c>
      <c r="BH179" s="14">
        <v>0</v>
      </c>
      <c r="BI179" s="14">
        <v>0</v>
      </c>
      <c r="BJ179" s="14">
        <v>0</v>
      </c>
      <c r="BK179" s="14">
        <v>0</v>
      </c>
      <c r="BL179" s="14">
        <v>0</v>
      </c>
      <c r="BM179" s="14">
        <v>0</v>
      </c>
      <c r="BN179" s="14">
        <v>0</v>
      </c>
      <c r="BO179" s="14">
        <v>0</v>
      </c>
      <c r="BP179" s="14">
        <v>0</v>
      </c>
      <c r="BQ179" s="14">
        <v>0</v>
      </c>
      <c r="BR179" s="14">
        <v>0</v>
      </c>
      <c r="BS179" s="14">
        <v>0</v>
      </c>
      <c r="BT179" s="14">
        <v>0</v>
      </c>
      <c r="BU179" s="14">
        <v>0</v>
      </c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4">
        <v>0</v>
      </c>
      <c r="CH179" s="14">
        <v>0</v>
      </c>
      <c r="CI179" s="14">
        <v>0</v>
      </c>
      <c r="CJ179" s="14">
        <v>0</v>
      </c>
      <c r="CK179" s="14">
        <v>0</v>
      </c>
      <c r="CL179" s="14">
        <v>0</v>
      </c>
      <c r="CM179" s="14">
        <v>0</v>
      </c>
      <c r="CN179" s="14">
        <v>0</v>
      </c>
      <c r="CO179" s="14">
        <v>0</v>
      </c>
      <c r="CP179" s="14">
        <v>0</v>
      </c>
      <c r="CQ179" s="14">
        <v>0</v>
      </c>
      <c r="CR179" s="14">
        <v>0</v>
      </c>
      <c r="CS179" s="14">
        <v>0</v>
      </c>
      <c r="CT179" s="14">
        <v>0</v>
      </c>
      <c r="CU179" s="14">
        <v>0</v>
      </c>
      <c r="CV179" s="14">
        <v>0</v>
      </c>
      <c r="CW179" s="14">
        <v>0</v>
      </c>
      <c r="CX179" s="14">
        <v>0</v>
      </c>
      <c r="CY179" s="14">
        <v>0</v>
      </c>
      <c r="CZ179" s="14">
        <v>0</v>
      </c>
      <c r="DA179" s="14">
        <v>0</v>
      </c>
      <c r="DB179" s="14">
        <v>0</v>
      </c>
      <c r="DC179" s="14">
        <v>0</v>
      </c>
      <c r="DD179" s="14">
        <v>0</v>
      </c>
      <c r="DE179" s="14">
        <v>0</v>
      </c>
      <c r="DF179" s="14">
        <v>0</v>
      </c>
      <c r="DG179" s="14">
        <v>0</v>
      </c>
      <c r="DH179" s="14">
        <v>0</v>
      </c>
      <c r="DI179" s="14">
        <v>0</v>
      </c>
      <c r="DJ179" s="14">
        <v>0</v>
      </c>
      <c r="DK179" s="14">
        <v>0</v>
      </c>
      <c r="DL179" s="14">
        <v>0</v>
      </c>
      <c r="DM179" s="14">
        <v>0</v>
      </c>
      <c r="DN179" s="14">
        <v>0</v>
      </c>
      <c r="DO179" s="14">
        <v>0</v>
      </c>
      <c r="DP179" s="14">
        <v>0</v>
      </c>
      <c r="DQ179" s="14">
        <v>0</v>
      </c>
      <c r="DR179" s="14">
        <v>0</v>
      </c>
      <c r="DS179" s="14">
        <v>0</v>
      </c>
      <c r="DT179" s="14">
        <v>0</v>
      </c>
      <c r="DU179" s="14">
        <v>0</v>
      </c>
      <c r="DV179" s="14">
        <v>0</v>
      </c>
      <c r="DW179" s="14">
        <v>0</v>
      </c>
      <c r="DX179" s="14">
        <v>0</v>
      </c>
      <c r="DY179" s="14">
        <v>0</v>
      </c>
      <c r="DZ179" s="14">
        <v>0</v>
      </c>
      <c r="EA179" s="14">
        <v>0</v>
      </c>
      <c r="EB179" s="14">
        <v>0</v>
      </c>
      <c r="EC179" s="14">
        <v>0</v>
      </c>
      <c r="ED179" s="14">
        <v>0</v>
      </c>
      <c r="EE179" s="14">
        <v>0</v>
      </c>
      <c r="EF179" s="14">
        <v>0</v>
      </c>
    </row>
    <row r="180" ht="32" customHeight="1" spans="1:136" x14ac:dyDescent="0.25">
      <c r="A180" s="4" t="s">
        <v>8</v>
      </c>
      <c r="B180" s="4" t="s">
        <v>46</v>
      </c>
      <c r="C180" s="4" t="s">
        <v>248</v>
      </c>
      <c r="D180" s="12" t="s">
        <v>443</v>
      </c>
      <c r="E180" s="8">
        <f>SUM(G180:EF180)</f>
      </c>
      <c r="F180" s="8">
        <f>IF(E180&gt;0,1,0)</f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  <c r="AS180" s="14">
        <v>0</v>
      </c>
      <c r="AT180" s="14">
        <v>0</v>
      </c>
      <c r="AU180" s="14">
        <v>0</v>
      </c>
      <c r="AV180" s="14">
        <v>0</v>
      </c>
      <c r="AW180" s="14">
        <v>0</v>
      </c>
      <c r="AX180" s="14">
        <v>0</v>
      </c>
      <c r="AY180" s="14">
        <v>0</v>
      </c>
      <c r="AZ180" s="14">
        <v>0</v>
      </c>
      <c r="BA180" s="14">
        <v>0</v>
      </c>
      <c r="BB180" s="14">
        <v>0</v>
      </c>
      <c r="BC180" s="14">
        <v>0</v>
      </c>
      <c r="BD180" s="14">
        <v>0</v>
      </c>
      <c r="BE180" s="14">
        <v>0</v>
      </c>
      <c r="BF180" s="14">
        <v>0</v>
      </c>
      <c r="BG180" s="14">
        <v>0</v>
      </c>
      <c r="BH180" s="14">
        <v>0</v>
      </c>
      <c r="BI180" s="14">
        <v>0</v>
      </c>
      <c r="BJ180" s="14">
        <v>0</v>
      </c>
      <c r="BK180" s="14">
        <v>0</v>
      </c>
      <c r="BL180" s="14">
        <v>0</v>
      </c>
      <c r="BM180" s="14">
        <v>0</v>
      </c>
      <c r="BN180" s="14">
        <v>0</v>
      </c>
      <c r="BO180" s="14">
        <v>0</v>
      </c>
      <c r="BP180" s="14">
        <v>0</v>
      </c>
      <c r="BQ180" s="14">
        <v>0</v>
      </c>
      <c r="BR180" s="14">
        <v>0</v>
      </c>
      <c r="BS180" s="14">
        <v>0</v>
      </c>
      <c r="BT180" s="14">
        <v>0</v>
      </c>
      <c r="BU180" s="14">
        <v>0</v>
      </c>
      <c r="BV180" s="14">
        <v>0</v>
      </c>
      <c r="BW180" s="14">
        <v>0</v>
      </c>
      <c r="BX180" s="14">
        <v>0</v>
      </c>
      <c r="BY180" s="14">
        <v>0</v>
      </c>
      <c r="BZ180" s="14">
        <v>0</v>
      </c>
      <c r="CA180" s="14">
        <v>0</v>
      </c>
      <c r="CB180" s="14">
        <v>0</v>
      </c>
      <c r="CC180" s="14">
        <v>0</v>
      </c>
      <c r="CD180" s="14">
        <v>0</v>
      </c>
      <c r="CE180" s="14">
        <v>0</v>
      </c>
      <c r="CF180" s="14">
        <v>0</v>
      </c>
      <c r="CG180" s="14">
        <v>0</v>
      </c>
      <c r="CH180" s="14">
        <v>0</v>
      </c>
      <c r="CI180" s="14">
        <v>0</v>
      </c>
      <c r="CJ180" s="14">
        <v>0</v>
      </c>
      <c r="CK180" s="14">
        <v>0</v>
      </c>
      <c r="CL180" s="14">
        <v>0</v>
      </c>
      <c r="CM180" s="14">
        <v>0</v>
      </c>
      <c r="CN180" s="14">
        <v>0</v>
      </c>
      <c r="CO180" s="14">
        <v>0</v>
      </c>
      <c r="CP180" s="14">
        <v>0</v>
      </c>
      <c r="CQ180" s="14">
        <v>0</v>
      </c>
      <c r="CR180" s="14">
        <v>0</v>
      </c>
      <c r="CS180" s="14">
        <v>0</v>
      </c>
      <c r="CT180" s="14">
        <v>0</v>
      </c>
      <c r="CU180" s="14">
        <v>0</v>
      </c>
      <c r="CV180" s="14">
        <v>0</v>
      </c>
      <c r="CW180" s="14">
        <v>0</v>
      </c>
      <c r="CX180" s="14">
        <v>0</v>
      </c>
      <c r="CY180" s="14">
        <v>0</v>
      </c>
      <c r="CZ180" s="14">
        <v>0</v>
      </c>
      <c r="DA180" s="14">
        <v>0</v>
      </c>
      <c r="DB180" s="14">
        <v>0</v>
      </c>
      <c r="DC180" s="14">
        <v>0</v>
      </c>
      <c r="DD180" s="14">
        <v>0</v>
      </c>
      <c r="DE180" s="14">
        <v>0</v>
      </c>
      <c r="DF180" s="14">
        <v>0</v>
      </c>
      <c r="DG180" s="14">
        <v>0</v>
      </c>
      <c r="DH180" s="14">
        <v>0</v>
      </c>
      <c r="DI180" s="14">
        <v>0</v>
      </c>
      <c r="DJ180" s="14">
        <v>0</v>
      </c>
      <c r="DK180" s="14">
        <v>0</v>
      </c>
      <c r="DL180" s="14">
        <v>0</v>
      </c>
      <c r="DM180" s="14">
        <v>0</v>
      </c>
      <c r="DN180" s="14">
        <v>0</v>
      </c>
      <c r="DO180" s="14">
        <v>0</v>
      </c>
      <c r="DP180" s="14">
        <v>0</v>
      </c>
      <c r="DQ180" s="14">
        <v>0</v>
      </c>
      <c r="DR180" s="14">
        <v>0</v>
      </c>
      <c r="DS180" s="14">
        <v>0</v>
      </c>
      <c r="DT180" s="14">
        <v>0</v>
      </c>
      <c r="DU180" s="14">
        <v>0</v>
      </c>
      <c r="DV180" s="14">
        <v>0</v>
      </c>
      <c r="DW180" s="14">
        <v>0</v>
      </c>
      <c r="DX180" s="14">
        <v>0</v>
      </c>
      <c r="DY180" s="14">
        <v>0</v>
      </c>
      <c r="DZ180" s="14">
        <v>0</v>
      </c>
      <c r="EA180" s="14">
        <v>0</v>
      </c>
      <c r="EB180" s="14">
        <v>0</v>
      </c>
      <c r="EC180" s="14">
        <v>0</v>
      </c>
      <c r="ED180" s="14">
        <v>0</v>
      </c>
      <c r="EE180" s="14">
        <v>0</v>
      </c>
      <c r="EF180" s="14">
        <v>0</v>
      </c>
    </row>
    <row r="181" ht="32" customHeight="1" spans="1:136" x14ac:dyDescent="0.25">
      <c r="A181" s="4" t="s">
        <v>8</v>
      </c>
      <c r="B181" s="4" t="s">
        <v>46</v>
      </c>
      <c r="C181" s="4" t="s">
        <v>250</v>
      </c>
      <c r="D181" s="12" t="s">
        <v>444</v>
      </c>
      <c r="E181" s="8">
        <f>SUM(G181:EF181)</f>
      </c>
      <c r="F181" s="8">
        <f>IF(E181&gt;0,1,0)</f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  <c r="AS181" s="14">
        <v>0</v>
      </c>
      <c r="AT181" s="14">
        <v>0</v>
      </c>
      <c r="AU181" s="14">
        <v>0</v>
      </c>
      <c r="AV181" s="14">
        <v>0</v>
      </c>
      <c r="AW181" s="14">
        <v>0</v>
      </c>
      <c r="AX181" s="14">
        <v>0</v>
      </c>
      <c r="AY181" s="14">
        <v>0</v>
      </c>
      <c r="AZ181" s="14">
        <v>0</v>
      </c>
      <c r="BA181" s="14">
        <v>0</v>
      </c>
      <c r="BB181" s="14">
        <v>0</v>
      </c>
      <c r="BC181" s="14">
        <v>0</v>
      </c>
      <c r="BD181" s="14">
        <v>0</v>
      </c>
      <c r="BE181" s="14">
        <v>0</v>
      </c>
      <c r="BF181" s="14">
        <v>0</v>
      </c>
      <c r="BG181" s="14">
        <v>0</v>
      </c>
      <c r="BH181" s="14">
        <v>0</v>
      </c>
      <c r="BI181" s="14">
        <v>0</v>
      </c>
      <c r="BJ181" s="14">
        <v>0</v>
      </c>
      <c r="BK181" s="14">
        <v>0</v>
      </c>
      <c r="BL181" s="14">
        <v>0</v>
      </c>
      <c r="BM181" s="14">
        <v>0</v>
      </c>
      <c r="BN181" s="14">
        <v>0</v>
      </c>
      <c r="BO181" s="14">
        <v>0</v>
      </c>
      <c r="BP181" s="14">
        <v>0</v>
      </c>
      <c r="BQ181" s="14">
        <v>0</v>
      </c>
      <c r="BR181" s="14">
        <v>0</v>
      </c>
      <c r="BS181" s="14">
        <v>0</v>
      </c>
      <c r="BT181" s="14">
        <v>0</v>
      </c>
      <c r="BU181" s="14">
        <v>0</v>
      </c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4">
        <v>0</v>
      </c>
      <c r="CH181" s="14">
        <v>0</v>
      </c>
      <c r="CI181" s="14">
        <v>0</v>
      </c>
      <c r="CJ181" s="14">
        <v>0</v>
      </c>
      <c r="CK181" s="14">
        <v>0</v>
      </c>
      <c r="CL181" s="14">
        <v>0</v>
      </c>
      <c r="CM181" s="14">
        <v>0</v>
      </c>
      <c r="CN181" s="14">
        <v>0</v>
      </c>
      <c r="CO181" s="14">
        <v>0</v>
      </c>
      <c r="CP181" s="14">
        <v>0</v>
      </c>
      <c r="CQ181" s="14">
        <v>0</v>
      </c>
      <c r="CR181" s="14">
        <v>0</v>
      </c>
      <c r="CS181" s="14">
        <v>0</v>
      </c>
      <c r="CT181" s="14">
        <v>0</v>
      </c>
      <c r="CU181" s="14">
        <v>0</v>
      </c>
      <c r="CV181" s="14">
        <v>0</v>
      </c>
      <c r="CW181" s="14">
        <v>0</v>
      </c>
      <c r="CX181" s="14">
        <v>0</v>
      </c>
      <c r="CY181" s="14">
        <v>0</v>
      </c>
      <c r="CZ181" s="14">
        <v>0</v>
      </c>
      <c r="DA181" s="14">
        <v>0</v>
      </c>
      <c r="DB181" s="14">
        <v>0</v>
      </c>
      <c r="DC181" s="14">
        <v>0</v>
      </c>
      <c r="DD181" s="14">
        <v>0</v>
      </c>
      <c r="DE181" s="14">
        <v>0</v>
      </c>
      <c r="DF181" s="14">
        <v>0</v>
      </c>
      <c r="DG181" s="14">
        <v>0</v>
      </c>
      <c r="DH181" s="14">
        <v>0</v>
      </c>
      <c r="DI181" s="14">
        <v>0</v>
      </c>
      <c r="DJ181" s="14">
        <v>0</v>
      </c>
      <c r="DK181" s="14">
        <v>0</v>
      </c>
      <c r="DL181" s="14">
        <v>0</v>
      </c>
      <c r="DM181" s="14">
        <v>0</v>
      </c>
      <c r="DN181" s="14">
        <v>0</v>
      </c>
      <c r="DO181" s="14">
        <v>0</v>
      </c>
      <c r="DP181" s="14">
        <v>0</v>
      </c>
      <c r="DQ181" s="14">
        <v>0</v>
      </c>
      <c r="DR181" s="14">
        <v>0</v>
      </c>
      <c r="DS181" s="14">
        <v>0</v>
      </c>
      <c r="DT181" s="14">
        <v>0</v>
      </c>
      <c r="DU181" s="14">
        <v>0</v>
      </c>
      <c r="DV181" s="14">
        <v>0</v>
      </c>
      <c r="DW181" s="14">
        <v>0</v>
      </c>
      <c r="DX181" s="14">
        <v>0</v>
      </c>
      <c r="DY181" s="14">
        <v>0</v>
      </c>
      <c r="DZ181" s="14">
        <v>0</v>
      </c>
      <c r="EA181" s="14">
        <v>0</v>
      </c>
      <c r="EB181" s="14">
        <v>0</v>
      </c>
      <c r="EC181" s="14">
        <v>0</v>
      </c>
      <c r="ED181" s="14">
        <v>0</v>
      </c>
      <c r="EE181" s="14">
        <v>0</v>
      </c>
      <c r="EF181" s="14">
        <v>0</v>
      </c>
    </row>
    <row r="182" ht="32" customHeight="1" spans="1:136" x14ac:dyDescent="0.25">
      <c r="A182" s="4" t="s">
        <v>8</v>
      </c>
      <c r="B182" s="4" t="s">
        <v>46</v>
      </c>
      <c r="C182" s="4" t="s">
        <v>252</v>
      </c>
      <c r="D182" s="12" t="s">
        <v>445</v>
      </c>
      <c r="E182" s="8">
        <f>SUM(G182:EF182)</f>
      </c>
      <c r="F182" s="8">
        <f>IF(E182&gt;0,1,0)</f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4">
        <v>0</v>
      </c>
      <c r="AU182" s="14">
        <v>0</v>
      </c>
      <c r="AV182" s="14">
        <v>0</v>
      </c>
      <c r="AW182" s="14">
        <v>0</v>
      </c>
      <c r="AX182" s="14">
        <v>0</v>
      </c>
      <c r="AY182" s="14">
        <v>0</v>
      </c>
      <c r="AZ182" s="14">
        <v>0</v>
      </c>
      <c r="BA182" s="14">
        <v>0</v>
      </c>
      <c r="BB182" s="14">
        <v>0</v>
      </c>
      <c r="BC182" s="14">
        <v>0</v>
      </c>
      <c r="BD182" s="14">
        <v>0</v>
      </c>
      <c r="BE182" s="14">
        <v>0</v>
      </c>
      <c r="BF182" s="14">
        <v>0</v>
      </c>
      <c r="BG182" s="14">
        <v>0</v>
      </c>
      <c r="BH182" s="14">
        <v>0</v>
      </c>
      <c r="BI182" s="14">
        <v>0</v>
      </c>
      <c r="BJ182" s="14">
        <v>0</v>
      </c>
      <c r="BK182" s="14">
        <v>0</v>
      </c>
      <c r="BL182" s="14">
        <v>0</v>
      </c>
      <c r="BM182" s="14">
        <v>0</v>
      </c>
      <c r="BN182" s="14">
        <v>0</v>
      </c>
      <c r="BO182" s="14">
        <v>0</v>
      </c>
      <c r="BP182" s="14">
        <v>0</v>
      </c>
      <c r="BQ182" s="14">
        <v>0</v>
      </c>
      <c r="BR182" s="14">
        <v>0</v>
      </c>
      <c r="BS182" s="14">
        <v>0</v>
      </c>
      <c r="BT182" s="14">
        <v>0</v>
      </c>
      <c r="BU182" s="14">
        <v>0</v>
      </c>
      <c r="BV182" s="14">
        <v>0</v>
      </c>
      <c r="BW182" s="14">
        <v>0</v>
      </c>
      <c r="BX182" s="14">
        <v>0</v>
      </c>
      <c r="BY182" s="14">
        <v>0</v>
      </c>
      <c r="BZ182" s="14">
        <v>0</v>
      </c>
      <c r="CA182" s="14">
        <v>0</v>
      </c>
      <c r="CB182" s="14">
        <v>0</v>
      </c>
      <c r="CC182" s="14">
        <v>0</v>
      </c>
      <c r="CD182" s="14">
        <v>0</v>
      </c>
      <c r="CE182" s="14">
        <v>0</v>
      </c>
      <c r="CF182" s="14">
        <v>0</v>
      </c>
      <c r="CG182" s="14">
        <v>0</v>
      </c>
      <c r="CH182" s="14">
        <v>0</v>
      </c>
      <c r="CI182" s="14">
        <v>0</v>
      </c>
      <c r="CJ182" s="14">
        <v>0</v>
      </c>
      <c r="CK182" s="14">
        <v>0</v>
      </c>
      <c r="CL182" s="14">
        <v>0</v>
      </c>
      <c r="CM182" s="14">
        <v>0</v>
      </c>
      <c r="CN182" s="14">
        <v>0</v>
      </c>
      <c r="CO182" s="14">
        <v>0</v>
      </c>
      <c r="CP182" s="14">
        <v>0</v>
      </c>
      <c r="CQ182" s="14">
        <v>0</v>
      </c>
      <c r="CR182" s="14">
        <v>0</v>
      </c>
      <c r="CS182" s="14">
        <v>0</v>
      </c>
      <c r="CT182" s="14">
        <v>0</v>
      </c>
      <c r="CU182" s="14">
        <v>0</v>
      </c>
      <c r="CV182" s="14">
        <v>0</v>
      </c>
      <c r="CW182" s="14">
        <v>0</v>
      </c>
      <c r="CX182" s="14">
        <v>0</v>
      </c>
      <c r="CY182" s="14">
        <v>0</v>
      </c>
      <c r="CZ182" s="14">
        <v>0</v>
      </c>
      <c r="DA182" s="14">
        <v>0</v>
      </c>
      <c r="DB182" s="14">
        <v>0</v>
      </c>
      <c r="DC182" s="14">
        <v>0</v>
      </c>
      <c r="DD182" s="14">
        <v>0</v>
      </c>
      <c r="DE182" s="14">
        <v>0</v>
      </c>
      <c r="DF182" s="14">
        <v>0</v>
      </c>
      <c r="DG182" s="14">
        <v>0</v>
      </c>
      <c r="DH182" s="14">
        <v>0</v>
      </c>
      <c r="DI182" s="14">
        <v>0</v>
      </c>
      <c r="DJ182" s="14">
        <v>0</v>
      </c>
      <c r="DK182" s="14">
        <v>0</v>
      </c>
      <c r="DL182" s="14">
        <v>0</v>
      </c>
      <c r="DM182" s="14">
        <v>0</v>
      </c>
      <c r="DN182" s="14">
        <v>0</v>
      </c>
      <c r="DO182" s="14">
        <v>0</v>
      </c>
      <c r="DP182" s="14">
        <v>0</v>
      </c>
      <c r="DQ182" s="14">
        <v>0</v>
      </c>
      <c r="DR182" s="14">
        <v>0</v>
      </c>
      <c r="DS182" s="14">
        <v>0</v>
      </c>
      <c r="DT182" s="14">
        <v>0</v>
      </c>
      <c r="DU182" s="14">
        <v>0</v>
      </c>
      <c r="DV182" s="14">
        <v>0</v>
      </c>
      <c r="DW182" s="14">
        <v>0</v>
      </c>
      <c r="DX182" s="14">
        <v>0</v>
      </c>
      <c r="DY182" s="14">
        <v>0</v>
      </c>
      <c r="DZ182" s="14">
        <v>0</v>
      </c>
      <c r="EA182" s="14">
        <v>0</v>
      </c>
      <c r="EB182" s="14">
        <v>0</v>
      </c>
      <c r="EC182" s="14">
        <v>0</v>
      </c>
      <c r="ED182" s="14">
        <v>0</v>
      </c>
      <c r="EE182" s="14">
        <v>0</v>
      </c>
      <c r="EF182" s="14">
        <v>0</v>
      </c>
    </row>
    <row r="183" ht="32" customHeight="1" spans="1:136" x14ac:dyDescent="0.25">
      <c r="A183" s="15" t="s">
        <v>8</v>
      </c>
      <c r="B183" s="15" t="s">
        <v>47</v>
      </c>
      <c r="C183" s="15" t="s">
        <v>254</v>
      </c>
      <c r="D183" s="16" t="s">
        <v>446</v>
      </c>
      <c r="E183" s="17">
        <f>SUM(G183:EF183)</f>
      </c>
      <c r="F183" s="17">
        <f>IF(E183&gt;0,1,0)</f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D183" s="18">
        <v>0</v>
      </c>
      <c r="AE183" s="18">
        <v>0</v>
      </c>
      <c r="AF183" s="18">
        <v>0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18">
        <v>0</v>
      </c>
      <c r="BN183" s="18">
        <v>0</v>
      </c>
      <c r="BO183" s="18">
        <v>0</v>
      </c>
      <c r="BP183" s="18">
        <v>0</v>
      </c>
      <c r="BQ183" s="18">
        <v>0</v>
      </c>
      <c r="BR183" s="18">
        <v>0</v>
      </c>
      <c r="BS183" s="18">
        <v>0</v>
      </c>
      <c r="BT183" s="18">
        <v>0</v>
      </c>
      <c r="BU183" s="18">
        <v>0</v>
      </c>
      <c r="BV183" s="18">
        <v>0</v>
      </c>
      <c r="BW183" s="18">
        <v>0</v>
      </c>
      <c r="BX183" s="18">
        <v>0</v>
      </c>
      <c r="BY183" s="18">
        <v>0</v>
      </c>
      <c r="BZ183" s="18">
        <v>0</v>
      </c>
      <c r="CA183" s="18">
        <v>0</v>
      </c>
      <c r="CB183" s="18">
        <v>0</v>
      </c>
      <c r="CC183" s="18">
        <v>0</v>
      </c>
      <c r="CD183" s="18">
        <v>0</v>
      </c>
      <c r="CE183" s="18">
        <v>0</v>
      </c>
      <c r="CF183" s="18">
        <v>0</v>
      </c>
      <c r="CG183" s="18">
        <v>0</v>
      </c>
      <c r="CH183" s="18">
        <v>0</v>
      </c>
      <c r="CI183" s="18">
        <v>0</v>
      </c>
      <c r="CJ183" s="18">
        <v>0</v>
      </c>
      <c r="CK183" s="18">
        <v>0</v>
      </c>
      <c r="CL183" s="18">
        <v>0</v>
      </c>
      <c r="CM183" s="18">
        <v>0</v>
      </c>
      <c r="CN183" s="18">
        <v>0</v>
      </c>
      <c r="CO183" s="18">
        <v>0</v>
      </c>
      <c r="CP183" s="18">
        <v>0</v>
      </c>
      <c r="CQ183" s="18">
        <v>0</v>
      </c>
      <c r="CR183" s="18">
        <v>0</v>
      </c>
      <c r="CS183" s="18">
        <v>0</v>
      </c>
      <c r="CT183" s="18">
        <v>0</v>
      </c>
      <c r="CU183" s="18">
        <v>0</v>
      </c>
      <c r="CV183" s="18">
        <v>0</v>
      </c>
      <c r="CW183" s="18">
        <v>0</v>
      </c>
      <c r="CX183" s="18">
        <v>0</v>
      </c>
      <c r="CY183" s="18">
        <v>0</v>
      </c>
      <c r="CZ183" s="18">
        <v>0</v>
      </c>
      <c r="DA183" s="18">
        <v>0</v>
      </c>
      <c r="DB183" s="18">
        <v>0</v>
      </c>
      <c r="DC183" s="18">
        <v>0</v>
      </c>
      <c r="DD183" s="18">
        <v>0</v>
      </c>
      <c r="DE183" s="18">
        <v>0</v>
      </c>
      <c r="DF183" s="18">
        <v>0</v>
      </c>
      <c r="DG183" s="18">
        <v>0</v>
      </c>
      <c r="DH183" s="18">
        <v>0</v>
      </c>
      <c r="DI183" s="18">
        <v>0</v>
      </c>
      <c r="DJ183" s="18">
        <v>0</v>
      </c>
      <c r="DK183" s="18">
        <v>0</v>
      </c>
      <c r="DL183" s="18">
        <v>0</v>
      </c>
      <c r="DM183" s="18">
        <v>0</v>
      </c>
      <c r="DN183" s="18">
        <v>0</v>
      </c>
      <c r="DO183" s="18">
        <v>0</v>
      </c>
      <c r="DP183" s="18">
        <v>0</v>
      </c>
      <c r="DQ183" s="18">
        <v>0</v>
      </c>
      <c r="DR183" s="18">
        <v>0</v>
      </c>
      <c r="DS183" s="18">
        <v>0</v>
      </c>
      <c r="DT183" s="18">
        <v>0</v>
      </c>
      <c r="DU183" s="18">
        <v>0</v>
      </c>
      <c r="DV183" s="18">
        <v>0</v>
      </c>
      <c r="DW183" s="18">
        <v>0</v>
      </c>
      <c r="DX183" s="18">
        <v>0</v>
      </c>
      <c r="DY183" s="18">
        <v>0</v>
      </c>
      <c r="DZ183" s="18">
        <v>0</v>
      </c>
      <c r="EA183" s="18">
        <v>0</v>
      </c>
      <c r="EB183" s="18">
        <v>0</v>
      </c>
      <c r="EC183" s="18">
        <v>0</v>
      </c>
      <c r="ED183" s="18">
        <v>0</v>
      </c>
      <c r="EE183" s="18">
        <v>0</v>
      </c>
      <c r="EF183" s="18">
        <v>0</v>
      </c>
    </row>
    <row r="184" ht="32" customHeight="1" spans="1:136" x14ac:dyDescent="0.25">
      <c r="A184" s="4" t="s">
        <v>8</v>
      </c>
      <c r="B184" s="4" t="s">
        <v>47</v>
      </c>
      <c r="C184" s="4" t="s">
        <v>256</v>
      </c>
      <c r="D184" s="12" t="s">
        <v>447</v>
      </c>
      <c r="E184" s="8">
        <f>SUM(G184:EF184)</f>
      </c>
      <c r="F184" s="8">
        <f>IF(E184&gt;0,1,0)</f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0</v>
      </c>
      <c r="AN184" s="14">
        <v>0</v>
      </c>
      <c r="AO184" s="14">
        <v>0</v>
      </c>
      <c r="AP184" s="14">
        <v>0</v>
      </c>
      <c r="AQ184" s="14">
        <v>0</v>
      </c>
      <c r="AR184" s="14">
        <v>0</v>
      </c>
      <c r="AS184" s="14">
        <v>0</v>
      </c>
      <c r="AT184" s="14">
        <v>0</v>
      </c>
      <c r="AU184" s="14">
        <v>0</v>
      </c>
      <c r="AV184" s="14">
        <v>0</v>
      </c>
      <c r="AW184" s="14">
        <v>0</v>
      </c>
      <c r="AX184" s="14">
        <v>0</v>
      </c>
      <c r="AY184" s="14">
        <v>0</v>
      </c>
      <c r="AZ184" s="14">
        <v>0</v>
      </c>
      <c r="BA184" s="14">
        <v>0</v>
      </c>
      <c r="BB184" s="14">
        <v>0</v>
      </c>
      <c r="BC184" s="14">
        <v>0</v>
      </c>
      <c r="BD184" s="14">
        <v>0</v>
      </c>
      <c r="BE184" s="14">
        <v>0</v>
      </c>
      <c r="BF184" s="14">
        <v>0</v>
      </c>
      <c r="BG184" s="14">
        <v>0</v>
      </c>
      <c r="BH184" s="14">
        <v>0</v>
      </c>
      <c r="BI184" s="14">
        <v>0</v>
      </c>
      <c r="BJ184" s="14">
        <v>0</v>
      </c>
      <c r="BK184" s="14">
        <v>0</v>
      </c>
      <c r="BL184" s="14">
        <v>0</v>
      </c>
      <c r="BM184" s="14">
        <v>0</v>
      </c>
      <c r="BN184" s="14">
        <v>0</v>
      </c>
      <c r="BO184" s="14">
        <v>0</v>
      </c>
      <c r="BP184" s="14">
        <v>0</v>
      </c>
      <c r="BQ184" s="14">
        <v>0</v>
      </c>
      <c r="BR184" s="14">
        <v>0</v>
      </c>
      <c r="BS184" s="14">
        <v>0</v>
      </c>
      <c r="BT184" s="14">
        <v>0</v>
      </c>
      <c r="BU184" s="14">
        <v>0</v>
      </c>
      <c r="BV184" s="14">
        <v>0</v>
      </c>
      <c r="BW184" s="14">
        <v>0</v>
      </c>
      <c r="BX184" s="14">
        <v>0</v>
      </c>
      <c r="BY184" s="14">
        <v>0</v>
      </c>
      <c r="BZ184" s="14">
        <v>0</v>
      </c>
      <c r="CA184" s="14">
        <v>0</v>
      </c>
      <c r="CB184" s="14">
        <v>0</v>
      </c>
      <c r="CC184" s="14">
        <v>0</v>
      </c>
      <c r="CD184" s="14">
        <v>0</v>
      </c>
      <c r="CE184" s="14">
        <v>0</v>
      </c>
      <c r="CF184" s="14">
        <v>0</v>
      </c>
      <c r="CG184" s="14">
        <v>0</v>
      </c>
      <c r="CH184" s="14">
        <v>0</v>
      </c>
      <c r="CI184" s="14">
        <v>0</v>
      </c>
      <c r="CJ184" s="14">
        <v>0</v>
      </c>
      <c r="CK184" s="14">
        <v>0</v>
      </c>
      <c r="CL184" s="14">
        <v>0</v>
      </c>
      <c r="CM184" s="14">
        <v>0</v>
      </c>
      <c r="CN184" s="14">
        <v>0</v>
      </c>
      <c r="CO184" s="14">
        <v>0</v>
      </c>
      <c r="CP184" s="14">
        <v>0</v>
      </c>
      <c r="CQ184" s="14">
        <v>0</v>
      </c>
      <c r="CR184" s="14">
        <v>0</v>
      </c>
      <c r="CS184" s="14">
        <v>0</v>
      </c>
      <c r="CT184" s="14">
        <v>0</v>
      </c>
      <c r="CU184" s="14">
        <v>0</v>
      </c>
      <c r="CV184" s="14">
        <v>0</v>
      </c>
      <c r="CW184" s="14">
        <v>0</v>
      </c>
      <c r="CX184" s="14">
        <v>0</v>
      </c>
      <c r="CY184" s="14">
        <v>0</v>
      </c>
      <c r="CZ184" s="14">
        <v>0</v>
      </c>
      <c r="DA184" s="14">
        <v>0</v>
      </c>
      <c r="DB184" s="14">
        <v>0</v>
      </c>
      <c r="DC184" s="14">
        <v>0</v>
      </c>
      <c r="DD184" s="14">
        <v>0</v>
      </c>
      <c r="DE184" s="14">
        <v>0</v>
      </c>
      <c r="DF184" s="14">
        <v>0</v>
      </c>
      <c r="DG184" s="14">
        <v>0</v>
      </c>
      <c r="DH184" s="14">
        <v>0</v>
      </c>
      <c r="DI184" s="14">
        <v>0</v>
      </c>
      <c r="DJ184" s="14">
        <v>0</v>
      </c>
      <c r="DK184" s="14">
        <v>0</v>
      </c>
      <c r="DL184" s="14">
        <v>0</v>
      </c>
      <c r="DM184" s="14">
        <v>0</v>
      </c>
      <c r="DN184" s="14">
        <v>0</v>
      </c>
      <c r="DO184" s="14">
        <v>0</v>
      </c>
      <c r="DP184" s="14">
        <v>0</v>
      </c>
      <c r="DQ184" s="14">
        <v>0</v>
      </c>
      <c r="DR184" s="14">
        <v>0</v>
      </c>
      <c r="DS184" s="14">
        <v>0</v>
      </c>
      <c r="DT184" s="14">
        <v>0</v>
      </c>
      <c r="DU184" s="14">
        <v>0</v>
      </c>
      <c r="DV184" s="14">
        <v>0</v>
      </c>
      <c r="DW184" s="14">
        <v>0</v>
      </c>
      <c r="DX184" s="14">
        <v>0</v>
      </c>
      <c r="DY184" s="14">
        <v>0</v>
      </c>
      <c r="DZ184" s="14">
        <v>0</v>
      </c>
      <c r="EA184" s="14">
        <v>0</v>
      </c>
      <c r="EB184" s="14">
        <v>0</v>
      </c>
      <c r="EC184" s="14">
        <v>0</v>
      </c>
      <c r="ED184" s="14">
        <v>0</v>
      </c>
      <c r="EE184" s="14">
        <v>0</v>
      </c>
      <c r="EF184" s="14">
        <v>0</v>
      </c>
    </row>
    <row r="185" ht="32" customHeight="1" spans="1:136" x14ac:dyDescent="0.25">
      <c r="A185" s="4" t="s">
        <v>8</v>
      </c>
      <c r="B185" s="4" t="s">
        <v>47</v>
      </c>
      <c r="C185" s="4" t="s">
        <v>258</v>
      </c>
      <c r="D185" s="12" t="s">
        <v>448</v>
      </c>
      <c r="E185" s="8">
        <f>SUM(G185:EF185)</f>
      </c>
      <c r="F185" s="8">
        <f>IF(E185&gt;0,1,0)</f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0</v>
      </c>
      <c r="AQ185" s="14">
        <v>0</v>
      </c>
      <c r="AR185" s="14">
        <v>0</v>
      </c>
      <c r="AS185" s="14">
        <v>0</v>
      </c>
      <c r="AT185" s="14">
        <v>0</v>
      </c>
      <c r="AU185" s="14">
        <v>0</v>
      </c>
      <c r="AV185" s="14">
        <v>0</v>
      </c>
      <c r="AW185" s="14">
        <v>0</v>
      </c>
      <c r="AX185" s="14">
        <v>0</v>
      </c>
      <c r="AY185" s="14">
        <v>0</v>
      </c>
      <c r="AZ185" s="14">
        <v>0</v>
      </c>
      <c r="BA185" s="14">
        <v>0</v>
      </c>
      <c r="BB185" s="14">
        <v>0</v>
      </c>
      <c r="BC185" s="14">
        <v>0</v>
      </c>
      <c r="BD185" s="14">
        <v>0</v>
      </c>
      <c r="BE185" s="14">
        <v>0</v>
      </c>
      <c r="BF185" s="14">
        <v>0</v>
      </c>
      <c r="BG185" s="14">
        <v>0</v>
      </c>
      <c r="BH185" s="14">
        <v>0</v>
      </c>
      <c r="BI185" s="14">
        <v>0</v>
      </c>
      <c r="BJ185" s="14">
        <v>0</v>
      </c>
      <c r="BK185" s="14">
        <v>0</v>
      </c>
      <c r="BL185" s="14">
        <v>0</v>
      </c>
      <c r="BM185" s="14">
        <v>0</v>
      </c>
      <c r="BN185" s="14">
        <v>0</v>
      </c>
      <c r="BO185" s="14">
        <v>0</v>
      </c>
      <c r="BP185" s="14">
        <v>0</v>
      </c>
      <c r="BQ185" s="14">
        <v>0</v>
      </c>
      <c r="BR185" s="14">
        <v>0</v>
      </c>
      <c r="BS185" s="14">
        <v>0</v>
      </c>
      <c r="BT185" s="14">
        <v>0</v>
      </c>
      <c r="BU185" s="14">
        <v>0</v>
      </c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4">
        <v>0</v>
      </c>
      <c r="CH185" s="14">
        <v>0</v>
      </c>
      <c r="CI185" s="14">
        <v>0</v>
      </c>
      <c r="CJ185" s="14">
        <v>0</v>
      </c>
      <c r="CK185" s="14">
        <v>0</v>
      </c>
      <c r="CL185" s="14">
        <v>0</v>
      </c>
      <c r="CM185" s="14">
        <v>0</v>
      </c>
      <c r="CN185" s="14">
        <v>0</v>
      </c>
      <c r="CO185" s="14">
        <v>0</v>
      </c>
      <c r="CP185" s="14">
        <v>0</v>
      </c>
      <c r="CQ185" s="14">
        <v>0</v>
      </c>
      <c r="CR185" s="14">
        <v>0</v>
      </c>
      <c r="CS185" s="14">
        <v>0</v>
      </c>
      <c r="CT185" s="14">
        <v>0</v>
      </c>
      <c r="CU185" s="14">
        <v>0</v>
      </c>
      <c r="CV185" s="14">
        <v>0</v>
      </c>
      <c r="CW185" s="14">
        <v>0</v>
      </c>
      <c r="CX185" s="14">
        <v>0</v>
      </c>
      <c r="CY185" s="14">
        <v>0</v>
      </c>
      <c r="CZ185" s="14">
        <v>0</v>
      </c>
      <c r="DA185" s="14">
        <v>0</v>
      </c>
      <c r="DB185" s="14">
        <v>0</v>
      </c>
      <c r="DC185" s="14">
        <v>0</v>
      </c>
      <c r="DD185" s="14">
        <v>0</v>
      </c>
      <c r="DE185" s="14">
        <v>0</v>
      </c>
      <c r="DF185" s="14">
        <v>0</v>
      </c>
      <c r="DG185" s="14">
        <v>0</v>
      </c>
      <c r="DH185" s="14">
        <v>0</v>
      </c>
      <c r="DI185" s="14">
        <v>0</v>
      </c>
      <c r="DJ185" s="14">
        <v>0</v>
      </c>
      <c r="DK185" s="14">
        <v>0</v>
      </c>
      <c r="DL185" s="14">
        <v>0</v>
      </c>
      <c r="DM185" s="14">
        <v>0</v>
      </c>
      <c r="DN185" s="14">
        <v>0</v>
      </c>
      <c r="DO185" s="14">
        <v>0</v>
      </c>
      <c r="DP185" s="14">
        <v>0</v>
      </c>
      <c r="DQ185" s="14">
        <v>0</v>
      </c>
      <c r="DR185" s="14">
        <v>0</v>
      </c>
      <c r="DS185" s="14">
        <v>0</v>
      </c>
      <c r="DT185" s="14">
        <v>0</v>
      </c>
      <c r="DU185" s="14">
        <v>0</v>
      </c>
      <c r="DV185" s="14">
        <v>0</v>
      </c>
      <c r="DW185" s="14">
        <v>0</v>
      </c>
      <c r="DX185" s="14">
        <v>0</v>
      </c>
      <c r="DY185" s="14">
        <v>0</v>
      </c>
      <c r="DZ185" s="14">
        <v>0</v>
      </c>
      <c r="EA185" s="14">
        <v>0</v>
      </c>
      <c r="EB185" s="14">
        <v>0</v>
      </c>
      <c r="EC185" s="14">
        <v>0</v>
      </c>
      <c r="ED185" s="14">
        <v>0</v>
      </c>
      <c r="EE185" s="14">
        <v>0</v>
      </c>
      <c r="EF185" s="14">
        <v>0</v>
      </c>
    </row>
    <row r="186" ht="32" customHeight="1" spans="1:136" x14ac:dyDescent="0.25">
      <c r="A186" s="4" t="s">
        <v>8</v>
      </c>
      <c r="B186" s="4" t="s">
        <v>47</v>
      </c>
      <c r="C186" s="4" t="s">
        <v>260</v>
      </c>
      <c r="D186" s="12" t="s">
        <v>449</v>
      </c>
      <c r="E186" s="8">
        <f>SUM(G186:EF186)</f>
      </c>
      <c r="F186" s="8">
        <f>IF(E186&gt;0,1,0)</f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0</v>
      </c>
      <c r="AN186" s="14">
        <v>0</v>
      </c>
      <c r="AO186" s="14">
        <v>0</v>
      </c>
      <c r="AP186" s="14">
        <v>0</v>
      </c>
      <c r="AQ186" s="14">
        <v>0</v>
      </c>
      <c r="AR186" s="14">
        <v>0</v>
      </c>
      <c r="AS186" s="14">
        <v>0</v>
      </c>
      <c r="AT186" s="14">
        <v>0</v>
      </c>
      <c r="AU186" s="14">
        <v>0</v>
      </c>
      <c r="AV186" s="14">
        <v>0</v>
      </c>
      <c r="AW186" s="14">
        <v>0</v>
      </c>
      <c r="AX186" s="14">
        <v>0</v>
      </c>
      <c r="AY186" s="14">
        <v>0</v>
      </c>
      <c r="AZ186" s="14">
        <v>0</v>
      </c>
      <c r="BA186" s="14">
        <v>0</v>
      </c>
      <c r="BB186" s="14">
        <v>0</v>
      </c>
      <c r="BC186" s="14">
        <v>0</v>
      </c>
      <c r="BD186" s="14">
        <v>0</v>
      </c>
      <c r="BE186" s="14">
        <v>0</v>
      </c>
      <c r="BF186" s="14">
        <v>0</v>
      </c>
      <c r="BG186" s="14">
        <v>0</v>
      </c>
      <c r="BH186" s="14">
        <v>0</v>
      </c>
      <c r="BI186" s="14">
        <v>0</v>
      </c>
      <c r="BJ186" s="14">
        <v>0</v>
      </c>
      <c r="BK186" s="14">
        <v>0</v>
      </c>
      <c r="BL186" s="14">
        <v>0</v>
      </c>
      <c r="BM186" s="14">
        <v>0</v>
      </c>
      <c r="BN186" s="14">
        <v>0</v>
      </c>
      <c r="BO186" s="14">
        <v>0</v>
      </c>
      <c r="BP186" s="14">
        <v>0</v>
      </c>
      <c r="BQ186" s="14">
        <v>0</v>
      </c>
      <c r="BR186" s="14">
        <v>0</v>
      </c>
      <c r="BS186" s="14">
        <v>0</v>
      </c>
      <c r="BT186" s="14">
        <v>0</v>
      </c>
      <c r="BU186" s="14">
        <v>0</v>
      </c>
      <c r="BV186" s="14">
        <v>0</v>
      </c>
      <c r="BW186" s="14">
        <v>0</v>
      </c>
      <c r="BX186" s="14">
        <v>0</v>
      </c>
      <c r="BY186" s="14">
        <v>0</v>
      </c>
      <c r="BZ186" s="14">
        <v>0</v>
      </c>
      <c r="CA186" s="14">
        <v>0</v>
      </c>
      <c r="CB186" s="14">
        <v>0</v>
      </c>
      <c r="CC186" s="14">
        <v>0</v>
      </c>
      <c r="CD186" s="14">
        <v>0</v>
      </c>
      <c r="CE186" s="14">
        <v>0</v>
      </c>
      <c r="CF186" s="14">
        <v>0</v>
      </c>
      <c r="CG186" s="14">
        <v>0</v>
      </c>
      <c r="CH186" s="14">
        <v>0</v>
      </c>
      <c r="CI186" s="14">
        <v>0</v>
      </c>
      <c r="CJ186" s="14">
        <v>0</v>
      </c>
      <c r="CK186" s="14">
        <v>0</v>
      </c>
      <c r="CL186" s="14">
        <v>0</v>
      </c>
      <c r="CM186" s="14">
        <v>0</v>
      </c>
      <c r="CN186" s="14">
        <v>0</v>
      </c>
      <c r="CO186" s="14">
        <v>0</v>
      </c>
      <c r="CP186" s="14">
        <v>0</v>
      </c>
      <c r="CQ186" s="14">
        <v>0</v>
      </c>
      <c r="CR186" s="14">
        <v>0</v>
      </c>
      <c r="CS186" s="14">
        <v>0</v>
      </c>
      <c r="CT186" s="14">
        <v>0</v>
      </c>
      <c r="CU186" s="14">
        <v>0</v>
      </c>
      <c r="CV186" s="14">
        <v>0</v>
      </c>
      <c r="CW186" s="14">
        <v>0</v>
      </c>
      <c r="CX186" s="14">
        <v>0</v>
      </c>
      <c r="CY186" s="14">
        <v>0</v>
      </c>
      <c r="CZ186" s="14">
        <v>0</v>
      </c>
      <c r="DA186" s="14">
        <v>0</v>
      </c>
      <c r="DB186" s="14">
        <v>0</v>
      </c>
      <c r="DC186" s="14">
        <v>0</v>
      </c>
      <c r="DD186" s="14">
        <v>0</v>
      </c>
      <c r="DE186" s="14">
        <v>0</v>
      </c>
      <c r="DF186" s="14">
        <v>0</v>
      </c>
      <c r="DG186" s="14">
        <v>0</v>
      </c>
      <c r="DH186" s="14">
        <v>0</v>
      </c>
      <c r="DI186" s="14">
        <v>0</v>
      </c>
      <c r="DJ186" s="14">
        <v>0</v>
      </c>
      <c r="DK186" s="14">
        <v>0</v>
      </c>
      <c r="DL186" s="14">
        <v>0</v>
      </c>
      <c r="DM186" s="14">
        <v>0</v>
      </c>
      <c r="DN186" s="14">
        <v>0</v>
      </c>
      <c r="DO186" s="14">
        <v>0</v>
      </c>
      <c r="DP186" s="14">
        <v>0</v>
      </c>
      <c r="DQ186" s="14">
        <v>0</v>
      </c>
      <c r="DR186" s="14">
        <v>0</v>
      </c>
      <c r="DS186" s="14">
        <v>0</v>
      </c>
      <c r="DT186" s="14">
        <v>0</v>
      </c>
      <c r="DU186" s="14">
        <v>0</v>
      </c>
      <c r="DV186" s="14">
        <v>0</v>
      </c>
      <c r="DW186" s="14">
        <v>0</v>
      </c>
      <c r="DX186" s="14">
        <v>0</v>
      </c>
      <c r="DY186" s="14">
        <v>0</v>
      </c>
      <c r="DZ186" s="14">
        <v>0</v>
      </c>
      <c r="EA186" s="14">
        <v>0</v>
      </c>
      <c r="EB186" s="14">
        <v>0</v>
      </c>
      <c r="EC186" s="14">
        <v>0</v>
      </c>
      <c r="ED186" s="14">
        <v>0</v>
      </c>
      <c r="EE186" s="14">
        <v>0</v>
      </c>
      <c r="EF186" s="14">
        <v>0</v>
      </c>
    </row>
    <row r="187" ht="32" customHeight="1" spans="1:136" x14ac:dyDescent="0.25">
      <c r="A187" s="4" t="s">
        <v>8</v>
      </c>
      <c r="B187" s="4" t="s">
        <v>47</v>
      </c>
      <c r="C187" s="4" t="s">
        <v>262</v>
      </c>
      <c r="D187" s="12" t="s">
        <v>450</v>
      </c>
      <c r="E187" s="8">
        <f>SUM(G187:EF187)</f>
      </c>
      <c r="F187" s="8">
        <f>IF(E187&gt;0,1,0)</f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0</v>
      </c>
      <c r="AQ187" s="14">
        <v>0</v>
      </c>
      <c r="AR187" s="14">
        <v>0</v>
      </c>
      <c r="AS187" s="14">
        <v>0</v>
      </c>
      <c r="AT187" s="14">
        <v>0</v>
      </c>
      <c r="AU187" s="14">
        <v>0</v>
      </c>
      <c r="AV187" s="14">
        <v>0</v>
      </c>
      <c r="AW187" s="14">
        <v>0</v>
      </c>
      <c r="AX187" s="14">
        <v>0</v>
      </c>
      <c r="AY187" s="14">
        <v>0</v>
      </c>
      <c r="AZ187" s="14">
        <v>0</v>
      </c>
      <c r="BA187" s="14">
        <v>0</v>
      </c>
      <c r="BB187" s="14">
        <v>0</v>
      </c>
      <c r="BC187" s="14">
        <v>0</v>
      </c>
      <c r="BD187" s="14">
        <v>0</v>
      </c>
      <c r="BE187" s="14">
        <v>0</v>
      </c>
      <c r="BF187" s="14">
        <v>0</v>
      </c>
      <c r="BG187" s="14">
        <v>0</v>
      </c>
      <c r="BH187" s="14">
        <v>0</v>
      </c>
      <c r="BI187" s="14">
        <v>0</v>
      </c>
      <c r="BJ187" s="14">
        <v>0</v>
      </c>
      <c r="BK187" s="14">
        <v>0</v>
      </c>
      <c r="BL187" s="14">
        <v>0</v>
      </c>
      <c r="BM187" s="14">
        <v>0</v>
      </c>
      <c r="BN187" s="14">
        <v>0</v>
      </c>
      <c r="BO187" s="14">
        <v>0</v>
      </c>
      <c r="BP187" s="14">
        <v>0</v>
      </c>
      <c r="BQ187" s="14">
        <v>0</v>
      </c>
      <c r="BR187" s="14">
        <v>0</v>
      </c>
      <c r="BS187" s="14">
        <v>0</v>
      </c>
      <c r="BT187" s="14">
        <v>0</v>
      </c>
      <c r="BU187" s="14">
        <v>0</v>
      </c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4">
        <v>0</v>
      </c>
      <c r="CH187" s="14">
        <v>0</v>
      </c>
      <c r="CI187" s="14">
        <v>0</v>
      </c>
      <c r="CJ187" s="14">
        <v>0</v>
      </c>
      <c r="CK187" s="14">
        <v>0</v>
      </c>
      <c r="CL187" s="14">
        <v>0</v>
      </c>
      <c r="CM187" s="14">
        <v>0</v>
      </c>
      <c r="CN187" s="14">
        <v>0</v>
      </c>
      <c r="CO187" s="14">
        <v>0</v>
      </c>
      <c r="CP187" s="14">
        <v>0</v>
      </c>
      <c r="CQ187" s="14">
        <v>0</v>
      </c>
      <c r="CR187" s="14">
        <v>0</v>
      </c>
      <c r="CS187" s="14">
        <v>0</v>
      </c>
      <c r="CT187" s="14">
        <v>0</v>
      </c>
      <c r="CU187" s="14">
        <v>0</v>
      </c>
      <c r="CV187" s="14">
        <v>0</v>
      </c>
      <c r="CW187" s="14">
        <v>0</v>
      </c>
      <c r="CX187" s="14">
        <v>0</v>
      </c>
      <c r="CY187" s="14">
        <v>0</v>
      </c>
      <c r="CZ187" s="14">
        <v>0</v>
      </c>
      <c r="DA187" s="14">
        <v>0</v>
      </c>
      <c r="DB187" s="14">
        <v>0</v>
      </c>
      <c r="DC187" s="14">
        <v>0</v>
      </c>
      <c r="DD187" s="14">
        <v>0</v>
      </c>
      <c r="DE187" s="14">
        <v>0</v>
      </c>
      <c r="DF187" s="14">
        <v>0</v>
      </c>
      <c r="DG187" s="14">
        <v>0</v>
      </c>
      <c r="DH187" s="14">
        <v>0</v>
      </c>
      <c r="DI187" s="14">
        <v>0</v>
      </c>
      <c r="DJ187" s="14">
        <v>0</v>
      </c>
      <c r="DK187" s="14">
        <v>0</v>
      </c>
      <c r="DL187" s="14">
        <v>0</v>
      </c>
      <c r="DM187" s="14">
        <v>0</v>
      </c>
      <c r="DN187" s="14">
        <v>0</v>
      </c>
      <c r="DO187" s="14">
        <v>0</v>
      </c>
      <c r="DP187" s="14">
        <v>0</v>
      </c>
      <c r="DQ187" s="14">
        <v>0</v>
      </c>
      <c r="DR187" s="14">
        <v>0</v>
      </c>
      <c r="DS187" s="14">
        <v>0</v>
      </c>
      <c r="DT187" s="14">
        <v>0</v>
      </c>
      <c r="DU187" s="14">
        <v>0</v>
      </c>
      <c r="DV187" s="14">
        <v>0</v>
      </c>
      <c r="DW187" s="14">
        <v>0</v>
      </c>
      <c r="DX187" s="14">
        <v>0</v>
      </c>
      <c r="DY187" s="14">
        <v>0</v>
      </c>
      <c r="DZ187" s="14">
        <v>0</v>
      </c>
      <c r="EA187" s="14">
        <v>0</v>
      </c>
      <c r="EB187" s="14">
        <v>0</v>
      </c>
      <c r="EC187" s="14">
        <v>0</v>
      </c>
      <c r="ED187" s="14">
        <v>0</v>
      </c>
      <c r="EE187" s="14">
        <v>0</v>
      </c>
      <c r="EF187" s="14">
        <v>0</v>
      </c>
    </row>
    <row r="188" ht="32" customHeight="1" spans="1:136" x14ac:dyDescent="0.25">
      <c r="A188" s="15" t="s">
        <v>8</v>
      </c>
      <c r="B188" s="15" t="s">
        <v>48</v>
      </c>
      <c r="C188" s="15" t="s">
        <v>264</v>
      </c>
      <c r="D188" s="16" t="s">
        <v>451</v>
      </c>
      <c r="E188" s="17">
        <f>SUM(G188:EF188)</f>
      </c>
      <c r="F188" s="17">
        <f>IF(E188&gt;0,1,0)</f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D188" s="18">
        <v>0</v>
      </c>
      <c r="AE188" s="18">
        <v>0</v>
      </c>
      <c r="AF188" s="18">
        <v>0</v>
      </c>
      <c r="AG188" s="18">
        <v>0</v>
      </c>
      <c r="AH188" s="18">
        <v>0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18">
        <v>0</v>
      </c>
      <c r="BN188" s="18">
        <v>0</v>
      </c>
      <c r="BO188" s="18">
        <v>0</v>
      </c>
      <c r="BP188" s="18">
        <v>0</v>
      </c>
      <c r="BQ188" s="18">
        <v>0</v>
      </c>
      <c r="BR188" s="18">
        <v>0</v>
      </c>
      <c r="BS188" s="18">
        <v>0</v>
      </c>
      <c r="BT188" s="18">
        <v>0</v>
      </c>
      <c r="BU188" s="18">
        <v>0</v>
      </c>
      <c r="BV188" s="18">
        <v>0</v>
      </c>
      <c r="BW188" s="18">
        <v>0</v>
      </c>
      <c r="BX188" s="18">
        <v>0</v>
      </c>
      <c r="BY188" s="18">
        <v>0</v>
      </c>
      <c r="BZ188" s="18">
        <v>0</v>
      </c>
      <c r="CA188" s="18">
        <v>0</v>
      </c>
      <c r="CB188" s="18">
        <v>0</v>
      </c>
      <c r="CC188" s="18">
        <v>0</v>
      </c>
      <c r="CD188" s="18">
        <v>0</v>
      </c>
      <c r="CE188" s="18">
        <v>0</v>
      </c>
      <c r="CF188" s="18">
        <v>0</v>
      </c>
      <c r="CG188" s="18">
        <v>0</v>
      </c>
      <c r="CH188" s="18">
        <v>0</v>
      </c>
      <c r="CI188" s="18">
        <v>0</v>
      </c>
      <c r="CJ188" s="18">
        <v>0</v>
      </c>
      <c r="CK188" s="18">
        <v>0</v>
      </c>
      <c r="CL188" s="18">
        <v>0</v>
      </c>
      <c r="CM188" s="18">
        <v>0</v>
      </c>
      <c r="CN188" s="18">
        <v>0</v>
      </c>
      <c r="CO188" s="18">
        <v>0</v>
      </c>
      <c r="CP188" s="18">
        <v>0</v>
      </c>
      <c r="CQ188" s="18">
        <v>0</v>
      </c>
      <c r="CR188" s="18">
        <v>0</v>
      </c>
      <c r="CS188" s="18">
        <v>0</v>
      </c>
      <c r="CT188" s="18">
        <v>0</v>
      </c>
      <c r="CU188" s="18">
        <v>0</v>
      </c>
      <c r="CV188" s="18">
        <v>0</v>
      </c>
      <c r="CW188" s="18">
        <v>0</v>
      </c>
      <c r="CX188" s="18">
        <v>0</v>
      </c>
      <c r="CY188" s="18">
        <v>0</v>
      </c>
      <c r="CZ188" s="18">
        <v>0</v>
      </c>
      <c r="DA188" s="18">
        <v>0</v>
      </c>
      <c r="DB188" s="18">
        <v>0</v>
      </c>
      <c r="DC188" s="18">
        <v>0</v>
      </c>
      <c r="DD188" s="18">
        <v>0</v>
      </c>
      <c r="DE188" s="18">
        <v>0</v>
      </c>
      <c r="DF188" s="18">
        <v>0</v>
      </c>
      <c r="DG188" s="18">
        <v>0</v>
      </c>
      <c r="DH188" s="18">
        <v>0</v>
      </c>
      <c r="DI188" s="18">
        <v>0</v>
      </c>
      <c r="DJ188" s="18">
        <v>0</v>
      </c>
      <c r="DK188" s="18">
        <v>0</v>
      </c>
      <c r="DL188" s="18">
        <v>0</v>
      </c>
      <c r="DM188" s="18">
        <v>0</v>
      </c>
      <c r="DN188" s="18">
        <v>0</v>
      </c>
      <c r="DO188" s="18">
        <v>0</v>
      </c>
      <c r="DP188" s="18">
        <v>0</v>
      </c>
      <c r="DQ188" s="18">
        <v>0</v>
      </c>
      <c r="DR188" s="18">
        <v>0</v>
      </c>
      <c r="DS188" s="18">
        <v>0</v>
      </c>
      <c r="DT188" s="18">
        <v>0</v>
      </c>
      <c r="DU188" s="18">
        <v>0</v>
      </c>
      <c r="DV188" s="18">
        <v>0</v>
      </c>
      <c r="DW188" s="18">
        <v>0</v>
      </c>
      <c r="DX188" s="18">
        <v>0</v>
      </c>
      <c r="DY188" s="18">
        <v>0</v>
      </c>
      <c r="DZ188" s="18">
        <v>0</v>
      </c>
      <c r="EA188" s="18">
        <v>0</v>
      </c>
      <c r="EB188" s="18">
        <v>0</v>
      </c>
      <c r="EC188" s="18">
        <v>0</v>
      </c>
      <c r="ED188" s="18">
        <v>0</v>
      </c>
      <c r="EE188" s="18">
        <v>0</v>
      </c>
      <c r="EF188" s="18">
        <v>0</v>
      </c>
    </row>
    <row r="189" ht="32" customHeight="1" spans="1:136" x14ac:dyDescent="0.25">
      <c r="A189" s="4" t="s">
        <v>8</v>
      </c>
      <c r="B189" s="4" t="s">
        <v>48</v>
      </c>
      <c r="C189" s="4" t="s">
        <v>266</v>
      </c>
      <c r="D189" s="12" t="s">
        <v>452</v>
      </c>
      <c r="E189" s="8">
        <f>SUM(G189:EF189)</f>
      </c>
      <c r="F189" s="8">
        <f>IF(E189&gt;0,1,0)</f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4">
        <v>0</v>
      </c>
      <c r="AQ189" s="14">
        <v>0</v>
      </c>
      <c r="AR189" s="14">
        <v>0</v>
      </c>
      <c r="AS189" s="14">
        <v>0</v>
      </c>
      <c r="AT189" s="14">
        <v>0</v>
      </c>
      <c r="AU189" s="14">
        <v>0</v>
      </c>
      <c r="AV189" s="14">
        <v>0</v>
      </c>
      <c r="AW189" s="14">
        <v>0</v>
      </c>
      <c r="AX189" s="14">
        <v>0</v>
      </c>
      <c r="AY189" s="14">
        <v>0</v>
      </c>
      <c r="AZ189" s="14">
        <v>0</v>
      </c>
      <c r="BA189" s="14">
        <v>0</v>
      </c>
      <c r="BB189" s="14">
        <v>0</v>
      </c>
      <c r="BC189" s="14">
        <v>0</v>
      </c>
      <c r="BD189" s="14">
        <v>0</v>
      </c>
      <c r="BE189" s="14">
        <v>0</v>
      </c>
      <c r="BF189" s="14">
        <v>0</v>
      </c>
      <c r="BG189" s="14">
        <v>0</v>
      </c>
      <c r="BH189" s="14">
        <v>0</v>
      </c>
      <c r="BI189" s="14">
        <v>0</v>
      </c>
      <c r="BJ189" s="14">
        <v>0</v>
      </c>
      <c r="BK189" s="14">
        <v>0</v>
      </c>
      <c r="BL189" s="14">
        <v>0</v>
      </c>
      <c r="BM189" s="14">
        <v>0</v>
      </c>
      <c r="BN189" s="14">
        <v>0</v>
      </c>
      <c r="BO189" s="14">
        <v>0</v>
      </c>
      <c r="BP189" s="14">
        <v>0</v>
      </c>
      <c r="BQ189" s="14">
        <v>0</v>
      </c>
      <c r="BR189" s="14">
        <v>0</v>
      </c>
      <c r="BS189" s="14">
        <v>0</v>
      </c>
      <c r="BT189" s="14">
        <v>0</v>
      </c>
      <c r="BU189" s="14">
        <v>0</v>
      </c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4">
        <v>0</v>
      </c>
      <c r="CH189" s="14">
        <v>0</v>
      </c>
      <c r="CI189" s="14">
        <v>0</v>
      </c>
      <c r="CJ189" s="14">
        <v>0</v>
      </c>
      <c r="CK189" s="14">
        <v>0</v>
      </c>
      <c r="CL189" s="14">
        <v>0</v>
      </c>
      <c r="CM189" s="14">
        <v>0</v>
      </c>
      <c r="CN189" s="14">
        <v>0</v>
      </c>
      <c r="CO189" s="14">
        <v>0</v>
      </c>
      <c r="CP189" s="14">
        <v>0</v>
      </c>
      <c r="CQ189" s="14">
        <v>0</v>
      </c>
      <c r="CR189" s="14">
        <v>0</v>
      </c>
      <c r="CS189" s="14">
        <v>0</v>
      </c>
      <c r="CT189" s="14">
        <v>0</v>
      </c>
      <c r="CU189" s="14">
        <v>0</v>
      </c>
      <c r="CV189" s="14">
        <v>0</v>
      </c>
      <c r="CW189" s="14">
        <v>0</v>
      </c>
      <c r="CX189" s="14">
        <v>0</v>
      </c>
      <c r="CY189" s="14">
        <v>0</v>
      </c>
      <c r="CZ189" s="14">
        <v>0</v>
      </c>
      <c r="DA189" s="14">
        <v>0</v>
      </c>
      <c r="DB189" s="14">
        <v>0</v>
      </c>
      <c r="DC189" s="14">
        <v>0</v>
      </c>
      <c r="DD189" s="14">
        <v>0</v>
      </c>
      <c r="DE189" s="14">
        <v>0</v>
      </c>
      <c r="DF189" s="14">
        <v>0</v>
      </c>
      <c r="DG189" s="14">
        <v>0</v>
      </c>
      <c r="DH189" s="14">
        <v>0</v>
      </c>
      <c r="DI189" s="14">
        <v>0</v>
      </c>
      <c r="DJ189" s="14">
        <v>0</v>
      </c>
      <c r="DK189" s="14">
        <v>0</v>
      </c>
      <c r="DL189" s="14">
        <v>0</v>
      </c>
      <c r="DM189" s="14">
        <v>0</v>
      </c>
      <c r="DN189" s="14">
        <v>0</v>
      </c>
      <c r="DO189" s="14">
        <v>0</v>
      </c>
      <c r="DP189" s="14">
        <v>0</v>
      </c>
      <c r="DQ189" s="14">
        <v>0</v>
      </c>
      <c r="DR189" s="14">
        <v>0</v>
      </c>
      <c r="DS189" s="14">
        <v>0</v>
      </c>
      <c r="DT189" s="14">
        <v>0</v>
      </c>
      <c r="DU189" s="14">
        <v>0</v>
      </c>
      <c r="DV189" s="14">
        <v>0</v>
      </c>
      <c r="DW189" s="14">
        <v>0</v>
      </c>
      <c r="DX189" s="14">
        <v>0</v>
      </c>
      <c r="DY189" s="14">
        <v>0</v>
      </c>
      <c r="DZ189" s="14">
        <v>0</v>
      </c>
      <c r="EA189" s="14">
        <v>0</v>
      </c>
      <c r="EB189" s="14">
        <v>0</v>
      </c>
      <c r="EC189" s="14">
        <v>0</v>
      </c>
      <c r="ED189" s="14">
        <v>0</v>
      </c>
      <c r="EE189" s="14">
        <v>0</v>
      </c>
      <c r="EF189" s="14">
        <v>0</v>
      </c>
    </row>
    <row r="190" ht="32" customHeight="1" spans="1:136" x14ac:dyDescent="0.25">
      <c r="A190" s="4" t="s">
        <v>8</v>
      </c>
      <c r="B190" s="4" t="s">
        <v>48</v>
      </c>
      <c r="C190" s="4" t="s">
        <v>268</v>
      </c>
      <c r="D190" s="12" t="s">
        <v>453</v>
      </c>
      <c r="E190" s="8">
        <f>SUM(G190:EF190)</f>
      </c>
      <c r="F190" s="8">
        <f>IF(E190&gt;0,1,0)</f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4">
        <v>0</v>
      </c>
      <c r="AO190" s="14">
        <v>0</v>
      </c>
      <c r="AP190" s="14">
        <v>0</v>
      </c>
      <c r="AQ190" s="14">
        <v>0</v>
      </c>
      <c r="AR190" s="14">
        <v>0</v>
      </c>
      <c r="AS190" s="14">
        <v>0</v>
      </c>
      <c r="AT190" s="14">
        <v>0</v>
      </c>
      <c r="AU190" s="14">
        <v>0</v>
      </c>
      <c r="AV190" s="14">
        <v>0</v>
      </c>
      <c r="AW190" s="14">
        <v>0</v>
      </c>
      <c r="AX190" s="14">
        <v>0</v>
      </c>
      <c r="AY190" s="14">
        <v>0</v>
      </c>
      <c r="AZ190" s="14">
        <v>0</v>
      </c>
      <c r="BA190" s="14">
        <v>0</v>
      </c>
      <c r="BB190" s="14">
        <v>0</v>
      </c>
      <c r="BC190" s="14">
        <v>0</v>
      </c>
      <c r="BD190" s="14">
        <v>0</v>
      </c>
      <c r="BE190" s="14">
        <v>0</v>
      </c>
      <c r="BF190" s="14">
        <v>0</v>
      </c>
      <c r="BG190" s="14">
        <v>0</v>
      </c>
      <c r="BH190" s="14">
        <v>0</v>
      </c>
      <c r="BI190" s="14">
        <v>0</v>
      </c>
      <c r="BJ190" s="14">
        <v>0</v>
      </c>
      <c r="BK190" s="14">
        <v>0</v>
      </c>
      <c r="BL190" s="14">
        <v>0</v>
      </c>
      <c r="BM190" s="14">
        <v>0</v>
      </c>
      <c r="BN190" s="14">
        <v>0</v>
      </c>
      <c r="BO190" s="14">
        <v>0</v>
      </c>
      <c r="BP190" s="14">
        <v>0</v>
      </c>
      <c r="BQ190" s="14">
        <v>0</v>
      </c>
      <c r="BR190" s="14">
        <v>0</v>
      </c>
      <c r="BS190" s="14">
        <v>0</v>
      </c>
      <c r="BT190" s="14">
        <v>0</v>
      </c>
      <c r="BU190" s="14">
        <v>0</v>
      </c>
      <c r="BV190" s="14">
        <v>0</v>
      </c>
      <c r="BW190" s="14">
        <v>0</v>
      </c>
      <c r="BX190" s="14">
        <v>0</v>
      </c>
      <c r="BY190" s="14">
        <v>0</v>
      </c>
      <c r="BZ190" s="14">
        <v>0</v>
      </c>
      <c r="CA190" s="14">
        <v>0</v>
      </c>
      <c r="CB190" s="14">
        <v>0</v>
      </c>
      <c r="CC190" s="14">
        <v>0</v>
      </c>
      <c r="CD190" s="14">
        <v>0</v>
      </c>
      <c r="CE190" s="14">
        <v>0</v>
      </c>
      <c r="CF190" s="14">
        <v>0</v>
      </c>
      <c r="CG190" s="14">
        <v>0</v>
      </c>
      <c r="CH190" s="14">
        <v>0</v>
      </c>
      <c r="CI190" s="14">
        <v>0</v>
      </c>
      <c r="CJ190" s="14">
        <v>0</v>
      </c>
      <c r="CK190" s="14">
        <v>0</v>
      </c>
      <c r="CL190" s="14">
        <v>0</v>
      </c>
      <c r="CM190" s="14">
        <v>0</v>
      </c>
      <c r="CN190" s="14">
        <v>0</v>
      </c>
      <c r="CO190" s="14">
        <v>0</v>
      </c>
      <c r="CP190" s="14">
        <v>0</v>
      </c>
      <c r="CQ190" s="14">
        <v>0</v>
      </c>
      <c r="CR190" s="14">
        <v>0</v>
      </c>
      <c r="CS190" s="14">
        <v>0</v>
      </c>
      <c r="CT190" s="14">
        <v>0</v>
      </c>
      <c r="CU190" s="14">
        <v>0</v>
      </c>
      <c r="CV190" s="14">
        <v>0</v>
      </c>
      <c r="CW190" s="14">
        <v>0</v>
      </c>
      <c r="CX190" s="14">
        <v>0</v>
      </c>
      <c r="CY190" s="14">
        <v>0</v>
      </c>
      <c r="CZ190" s="14">
        <v>0</v>
      </c>
      <c r="DA190" s="14">
        <v>0</v>
      </c>
      <c r="DB190" s="14">
        <v>0</v>
      </c>
      <c r="DC190" s="14">
        <v>0</v>
      </c>
      <c r="DD190" s="14">
        <v>0</v>
      </c>
      <c r="DE190" s="14">
        <v>0</v>
      </c>
      <c r="DF190" s="14">
        <v>0</v>
      </c>
      <c r="DG190" s="14">
        <v>0</v>
      </c>
      <c r="DH190" s="14">
        <v>0</v>
      </c>
      <c r="DI190" s="14">
        <v>0</v>
      </c>
      <c r="DJ190" s="14">
        <v>0</v>
      </c>
      <c r="DK190" s="14">
        <v>0</v>
      </c>
      <c r="DL190" s="14">
        <v>0</v>
      </c>
      <c r="DM190" s="14">
        <v>0</v>
      </c>
      <c r="DN190" s="14">
        <v>0</v>
      </c>
      <c r="DO190" s="14">
        <v>0</v>
      </c>
      <c r="DP190" s="14">
        <v>0</v>
      </c>
      <c r="DQ190" s="14">
        <v>0</v>
      </c>
      <c r="DR190" s="14">
        <v>0</v>
      </c>
      <c r="DS190" s="14">
        <v>0</v>
      </c>
      <c r="DT190" s="14">
        <v>0</v>
      </c>
      <c r="DU190" s="14">
        <v>0</v>
      </c>
      <c r="DV190" s="14">
        <v>0</v>
      </c>
      <c r="DW190" s="14">
        <v>0</v>
      </c>
      <c r="DX190" s="14">
        <v>0</v>
      </c>
      <c r="DY190" s="14">
        <v>0</v>
      </c>
      <c r="DZ190" s="14">
        <v>0</v>
      </c>
      <c r="EA190" s="14">
        <v>0</v>
      </c>
      <c r="EB190" s="14">
        <v>0</v>
      </c>
      <c r="EC190" s="14">
        <v>0</v>
      </c>
      <c r="ED190" s="14">
        <v>0</v>
      </c>
      <c r="EE190" s="14">
        <v>0</v>
      </c>
      <c r="EF190" s="14">
        <v>0</v>
      </c>
    </row>
    <row r="191" ht="32" customHeight="1" spans="1:136" x14ac:dyDescent="0.25">
      <c r="A191" s="4" t="s">
        <v>8</v>
      </c>
      <c r="B191" s="4" t="s">
        <v>48</v>
      </c>
      <c r="C191" s="4" t="s">
        <v>270</v>
      </c>
      <c r="D191" s="12" t="s">
        <v>454</v>
      </c>
      <c r="E191" s="8">
        <f>SUM(G191:EF191)</f>
      </c>
      <c r="F191" s="8">
        <f>IF(E191&gt;0,1,0)</f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14">
        <v>0</v>
      </c>
      <c r="AP191" s="14">
        <v>0</v>
      </c>
      <c r="AQ191" s="14">
        <v>0</v>
      </c>
      <c r="AR191" s="14">
        <v>0</v>
      </c>
      <c r="AS191" s="14">
        <v>0</v>
      </c>
      <c r="AT191" s="14">
        <v>0</v>
      </c>
      <c r="AU191" s="14">
        <v>0</v>
      </c>
      <c r="AV191" s="14">
        <v>0</v>
      </c>
      <c r="AW191" s="14">
        <v>0</v>
      </c>
      <c r="AX191" s="14">
        <v>0</v>
      </c>
      <c r="AY191" s="14">
        <v>0</v>
      </c>
      <c r="AZ191" s="14">
        <v>0</v>
      </c>
      <c r="BA191" s="14">
        <v>0</v>
      </c>
      <c r="BB191" s="14">
        <v>0</v>
      </c>
      <c r="BC191" s="14">
        <v>0</v>
      </c>
      <c r="BD191" s="14">
        <v>0</v>
      </c>
      <c r="BE191" s="14">
        <v>0</v>
      </c>
      <c r="BF191" s="14">
        <v>0</v>
      </c>
      <c r="BG191" s="14">
        <v>0</v>
      </c>
      <c r="BH191" s="14">
        <v>0</v>
      </c>
      <c r="BI191" s="14">
        <v>0</v>
      </c>
      <c r="BJ191" s="14">
        <v>0</v>
      </c>
      <c r="BK191" s="14">
        <v>0</v>
      </c>
      <c r="BL191" s="14">
        <v>0</v>
      </c>
      <c r="BM191" s="14">
        <v>0</v>
      </c>
      <c r="BN191" s="14">
        <v>0</v>
      </c>
      <c r="BO191" s="14">
        <v>0</v>
      </c>
      <c r="BP191" s="14">
        <v>0</v>
      </c>
      <c r="BQ191" s="14">
        <v>0</v>
      </c>
      <c r="BR191" s="14">
        <v>0</v>
      </c>
      <c r="BS191" s="14">
        <v>0</v>
      </c>
      <c r="BT191" s="14">
        <v>0</v>
      </c>
      <c r="BU191" s="14">
        <v>0</v>
      </c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4">
        <v>0</v>
      </c>
      <c r="CH191" s="14">
        <v>0</v>
      </c>
      <c r="CI191" s="14">
        <v>0</v>
      </c>
      <c r="CJ191" s="14">
        <v>0</v>
      </c>
      <c r="CK191" s="14">
        <v>0</v>
      </c>
      <c r="CL191" s="14">
        <v>0</v>
      </c>
      <c r="CM191" s="14">
        <v>0</v>
      </c>
      <c r="CN191" s="14">
        <v>0</v>
      </c>
      <c r="CO191" s="14">
        <v>0</v>
      </c>
      <c r="CP191" s="14">
        <v>0</v>
      </c>
      <c r="CQ191" s="14">
        <v>0</v>
      </c>
      <c r="CR191" s="14">
        <v>0</v>
      </c>
      <c r="CS191" s="14">
        <v>0</v>
      </c>
      <c r="CT191" s="14">
        <v>0</v>
      </c>
      <c r="CU191" s="14">
        <v>0</v>
      </c>
      <c r="CV191" s="14">
        <v>0</v>
      </c>
      <c r="CW191" s="14">
        <v>0</v>
      </c>
      <c r="CX191" s="14">
        <v>0</v>
      </c>
      <c r="CY191" s="14">
        <v>0</v>
      </c>
      <c r="CZ191" s="14">
        <v>0</v>
      </c>
      <c r="DA191" s="14">
        <v>0</v>
      </c>
      <c r="DB191" s="14">
        <v>0</v>
      </c>
      <c r="DC191" s="14">
        <v>0</v>
      </c>
      <c r="DD191" s="14">
        <v>0</v>
      </c>
      <c r="DE191" s="14">
        <v>0</v>
      </c>
      <c r="DF191" s="14">
        <v>0</v>
      </c>
      <c r="DG191" s="14">
        <v>0</v>
      </c>
      <c r="DH191" s="14">
        <v>0</v>
      </c>
      <c r="DI191" s="14">
        <v>0</v>
      </c>
      <c r="DJ191" s="14">
        <v>0</v>
      </c>
      <c r="DK191" s="14">
        <v>0</v>
      </c>
      <c r="DL191" s="14">
        <v>0</v>
      </c>
      <c r="DM191" s="14">
        <v>0</v>
      </c>
      <c r="DN191" s="14">
        <v>0</v>
      </c>
      <c r="DO191" s="14">
        <v>0</v>
      </c>
      <c r="DP191" s="14">
        <v>0</v>
      </c>
      <c r="DQ191" s="14">
        <v>0</v>
      </c>
      <c r="DR191" s="14">
        <v>0</v>
      </c>
      <c r="DS191" s="14">
        <v>0</v>
      </c>
      <c r="DT191" s="14">
        <v>0</v>
      </c>
      <c r="DU191" s="14">
        <v>0</v>
      </c>
      <c r="DV191" s="14">
        <v>0</v>
      </c>
      <c r="DW191" s="14">
        <v>0</v>
      </c>
      <c r="DX191" s="14">
        <v>0</v>
      </c>
      <c r="DY191" s="14">
        <v>0</v>
      </c>
      <c r="DZ191" s="14">
        <v>0</v>
      </c>
      <c r="EA191" s="14">
        <v>0</v>
      </c>
      <c r="EB191" s="14">
        <v>0</v>
      </c>
      <c r="EC191" s="14">
        <v>0</v>
      </c>
      <c r="ED191" s="14">
        <v>0</v>
      </c>
      <c r="EE191" s="14">
        <v>0</v>
      </c>
      <c r="EF191" s="14">
        <v>0</v>
      </c>
    </row>
    <row r="192" ht="32" customHeight="1" spans="1:136" x14ac:dyDescent="0.25">
      <c r="A192" s="4" t="s">
        <v>8</v>
      </c>
      <c r="B192" s="4" t="s">
        <v>48</v>
      </c>
      <c r="C192" s="4" t="s">
        <v>272</v>
      </c>
      <c r="D192" s="12" t="s">
        <v>455</v>
      </c>
      <c r="E192" s="8">
        <f>SUM(G192:EF192)</f>
      </c>
      <c r="F192" s="8">
        <f>IF(E192&gt;0,1,0)</f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  <c r="AS192" s="14">
        <v>0</v>
      </c>
      <c r="AT192" s="14">
        <v>0</v>
      </c>
      <c r="AU192" s="14">
        <v>0</v>
      </c>
      <c r="AV192" s="14">
        <v>0</v>
      </c>
      <c r="AW192" s="14">
        <v>0</v>
      </c>
      <c r="AX192" s="14">
        <v>0</v>
      </c>
      <c r="AY192" s="14">
        <v>0</v>
      </c>
      <c r="AZ192" s="14">
        <v>0</v>
      </c>
      <c r="BA192" s="14">
        <v>0</v>
      </c>
      <c r="BB192" s="14">
        <v>0</v>
      </c>
      <c r="BC192" s="14">
        <v>0</v>
      </c>
      <c r="BD192" s="14">
        <v>0</v>
      </c>
      <c r="BE192" s="14">
        <v>0</v>
      </c>
      <c r="BF192" s="14">
        <v>0</v>
      </c>
      <c r="BG192" s="14">
        <v>0</v>
      </c>
      <c r="BH192" s="14">
        <v>0</v>
      </c>
      <c r="BI192" s="14">
        <v>0</v>
      </c>
      <c r="BJ192" s="14">
        <v>0</v>
      </c>
      <c r="BK192" s="14">
        <v>0</v>
      </c>
      <c r="BL192" s="14">
        <v>0</v>
      </c>
      <c r="BM192" s="14">
        <v>0</v>
      </c>
      <c r="BN192" s="14">
        <v>0</v>
      </c>
      <c r="BO192" s="14">
        <v>0</v>
      </c>
      <c r="BP192" s="14">
        <v>0</v>
      </c>
      <c r="BQ192" s="14">
        <v>0</v>
      </c>
      <c r="BR192" s="14">
        <v>0</v>
      </c>
      <c r="BS192" s="14">
        <v>0</v>
      </c>
      <c r="BT192" s="14">
        <v>0</v>
      </c>
      <c r="BU192" s="14">
        <v>0</v>
      </c>
      <c r="BV192" s="14">
        <v>0</v>
      </c>
      <c r="BW192" s="14">
        <v>0</v>
      </c>
      <c r="BX192" s="14">
        <v>0</v>
      </c>
      <c r="BY192" s="14">
        <v>0</v>
      </c>
      <c r="BZ192" s="14">
        <v>0</v>
      </c>
      <c r="CA192" s="14">
        <v>0</v>
      </c>
      <c r="CB192" s="14">
        <v>0</v>
      </c>
      <c r="CC192" s="14">
        <v>0</v>
      </c>
      <c r="CD192" s="14">
        <v>0</v>
      </c>
      <c r="CE192" s="14">
        <v>0</v>
      </c>
      <c r="CF192" s="14">
        <v>0</v>
      </c>
      <c r="CG192" s="14">
        <v>0</v>
      </c>
      <c r="CH192" s="14">
        <v>0</v>
      </c>
      <c r="CI192" s="14">
        <v>0</v>
      </c>
      <c r="CJ192" s="14">
        <v>0</v>
      </c>
      <c r="CK192" s="14">
        <v>0</v>
      </c>
      <c r="CL192" s="14">
        <v>0</v>
      </c>
      <c r="CM192" s="14">
        <v>0</v>
      </c>
      <c r="CN192" s="14">
        <v>0</v>
      </c>
      <c r="CO192" s="14">
        <v>0</v>
      </c>
      <c r="CP192" s="14">
        <v>0</v>
      </c>
      <c r="CQ192" s="14">
        <v>0</v>
      </c>
      <c r="CR192" s="14">
        <v>0</v>
      </c>
      <c r="CS192" s="14">
        <v>0</v>
      </c>
      <c r="CT192" s="14">
        <v>0</v>
      </c>
      <c r="CU192" s="14">
        <v>0</v>
      </c>
      <c r="CV192" s="14">
        <v>0</v>
      </c>
      <c r="CW192" s="14">
        <v>0</v>
      </c>
      <c r="CX192" s="14">
        <v>0</v>
      </c>
      <c r="CY192" s="14">
        <v>0</v>
      </c>
      <c r="CZ192" s="14">
        <v>0</v>
      </c>
      <c r="DA192" s="14">
        <v>0</v>
      </c>
      <c r="DB192" s="14">
        <v>0</v>
      </c>
      <c r="DC192" s="14">
        <v>0</v>
      </c>
      <c r="DD192" s="14">
        <v>0</v>
      </c>
      <c r="DE192" s="14">
        <v>0</v>
      </c>
      <c r="DF192" s="14">
        <v>0</v>
      </c>
      <c r="DG192" s="14">
        <v>0</v>
      </c>
      <c r="DH192" s="14">
        <v>0</v>
      </c>
      <c r="DI192" s="14">
        <v>0</v>
      </c>
      <c r="DJ192" s="14">
        <v>0</v>
      </c>
      <c r="DK192" s="14">
        <v>0</v>
      </c>
      <c r="DL192" s="14">
        <v>0</v>
      </c>
      <c r="DM192" s="14">
        <v>0</v>
      </c>
      <c r="DN192" s="14">
        <v>0</v>
      </c>
      <c r="DO192" s="14">
        <v>0</v>
      </c>
      <c r="DP192" s="14">
        <v>0</v>
      </c>
      <c r="DQ192" s="14">
        <v>0</v>
      </c>
      <c r="DR192" s="14">
        <v>0</v>
      </c>
      <c r="DS192" s="14">
        <v>0</v>
      </c>
      <c r="DT192" s="14">
        <v>0</v>
      </c>
      <c r="DU192" s="14">
        <v>0</v>
      </c>
      <c r="DV192" s="14">
        <v>0</v>
      </c>
      <c r="DW192" s="14">
        <v>0</v>
      </c>
      <c r="DX192" s="14">
        <v>0</v>
      </c>
      <c r="DY192" s="14">
        <v>0</v>
      </c>
      <c r="DZ192" s="14">
        <v>0</v>
      </c>
      <c r="EA192" s="14">
        <v>0</v>
      </c>
      <c r="EB192" s="14">
        <v>0</v>
      </c>
      <c r="EC192" s="14">
        <v>0</v>
      </c>
      <c r="ED192" s="14">
        <v>0</v>
      </c>
      <c r="EE192" s="14">
        <v>0</v>
      </c>
      <c r="EF192" s="14">
        <v>0</v>
      </c>
    </row>
    <row r="193" ht="32" customHeight="1" spans="1:136" x14ac:dyDescent="0.25">
      <c r="A193" s="15" t="s">
        <v>8</v>
      </c>
      <c r="B193" s="15" t="s">
        <v>49</v>
      </c>
      <c r="C193" s="15" t="s">
        <v>274</v>
      </c>
      <c r="D193" s="16" t="s">
        <v>456</v>
      </c>
      <c r="E193" s="17">
        <f>SUM(G193:EF193)</f>
      </c>
      <c r="F193" s="17">
        <f>IF(E193&gt;0,1,0)</f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D193" s="18">
        <v>0</v>
      </c>
      <c r="AE193" s="18">
        <v>0</v>
      </c>
      <c r="AF193" s="18">
        <v>0</v>
      </c>
      <c r="AG193" s="18">
        <v>0</v>
      </c>
      <c r="AH193" s="18">
        <v>0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18">
        <v>0</v>
      </c>
      <c r="BN193" s="18">
        <v>0</v>
      </c>
      <c r="BO193" s="18">
        <v>0</v>
      </c>
      <c r="BP193" s="18">
        <v>0</v>
      </c>
      <c r="BQ193" s="18">
        <v>0</v>
      </c>
      <c r="BR193" s="18">
        <v>0</v>
      </c>
      <c r="BS193" s="18">
        <v>0</v>
      </c>
      <c r="BT193" s="18">
        <v>0</v>
      </c>
      <c r="BU193" s="18">
        <v>0</v>
      </c>
      <c r="BV193" s="18">
        <v>0</v>
      </c>
      <c r="BW193" s="18">
        <v>0</v>
      </c>
      <c r="BX193" s="18">
        <v>0</v>
      </c>
      <c r="BY193" s="18">
        <v>0</v>
      </c>
      <c r="BZ193" s="18">
        <v>0</v>
      </c>
      <c r="CA193" s="18">
        <v>0</v>
      </c>
      <c r="CB193" s="18">
        <v>0</v>
      </c>
      <c r="CC193" s="18">
        <v>0</v>
      </c>
      <c r="CD193" s="18">
        <v>0</v>
      </c>
      <c r="CE193" s="18">
        <v>0</v>
      </c>
      <c r="CF193" s="18">
        <v>0</v>
      </c>
      <c r="CG193" s="18">
        <v>0</v>
      </c>
      <c r="CH193" s="18">
        <v>0</v>
      </c>
      <c r="CI193" s="18">
        <v>0</v>
      </c>
      <c r="CJ193" s="18">
        <v>0</v>
      </c>
      <c r="CK193" s="18">
        <v>0</v>
      </c>
      <c r="CL193" s="18">
        <v>0</v>
      </c>
      <c r="CM193" s="18">
        <v>0</v>
      </c>
      <c r="CN193" s="18">
        <v>0</v>
      </c>
      <c r="CO193" s="18">
        <v>0</v>
      </c>
      <c r="CP193" s="18">
        <v>0</v>
      </c>
      <c r="CQ193" s="18">
        <v>0</v>
      </c>
      <c r="CR193" s="18">
        <v>0</v>
      </c>
      <c r="CS193" s="18">
        <v>0</v>
      </c>
      <c r="CT193" s="18">
        <v>0</v>
      </c>
      <c r="CU193" s="18">
        <v>0</v>
      </c>
      <c r="CV193" s="18">
        <v>0</v>
      </c>
      <c r="CW193" s="18">
        <v>0</v>
      </c>
      <c r="CX193" s="18">
        <v>0</v>
      </c>
      <c r="CY193" s="18">
        <v>0</v>
      </c>
      <c r="CZ193" s="18">
        <v>0</v>
      </c>
      <c r="DA193" s="18">
        <v>0</v>
      </c>
      <c r="DB193" s="18">
        <v>0</v>
      </c>
      <c r="DC193" s="18">
        <v>0</v>
      </c>
      <c r="DD193" s="18">
        <v>0</v>
      </c>
      <c r="DE193" s="18">
        <v>0</v>
      </c>
      <c r="DF193" s="18">
        <v>0</v>
      </c>
      <c r="DG193" s="18">
        <v>0</v>
      </c>
      <c r="DH193" s="18">
        <v>0</v>
      </c>
      <c r="DI193" s="18">
        <v>0</v>
      </c>
      <c r="DJ193" s="18">
        <v>0</v>
      </c>
      <c r="DK193" s="18">
        <v>0</v>
      </c>
      <c r="DL193" s="18">
        <v>0</v>
      </c>
      <c r="DM193" s="18">
        <v>0</v>
      </c>
      <c r="DN193" s="18">
        <v>0</v>
      </c>
      <c r="DO193" s="18">
        <v>0</v>
      </c>
      <c r="DP193" s="18">
        <v>0</v>
      </c>
      <c r="DQ193" s="18">
        <v>0</v>
      </c>
      <c r="DR193" s="18">
        <v>0</v>
      </c>
      <c r="DS193" s="18">
        <v>0</v>
      </c>
      <c r="DT193" s="18">
        <v>0</v>
      </c>
      <c r="DU193" s="18">
        <v>0</v>
      </c>
      <c r="DV193" s="18">
        <v>0</v>
      </c>
      <c r="DW193" s="18">
        <v>0</v>
      </c>
      <c r="DX193" s="18">
        <v>0</v>
      </c>
      <c r="DY193" s="18">
        <v>0</v>
      </c>
      <c r="DZ193" s="18">
        <v>0</v>
      </c>
      <c r="EA193" s="18">
        <v>0</v>
      </c>
      <c r="EB193" s="18">
        <v>0</v>
      </c>
      <c r="EC193" s="18">
        <v>0</v>
      </c>
      <c r="ED193" s="18">
        <v>0</v>
      </c>
      <c r="EE193" s="18">
        <v>0</v>
      </c>
      <c r="EF193" s="18">
        <v>0</v>
      </c>
    </row>
    <row r="194" ht="32" customHeight="1" spans="1:136" x14ac:dyDescent="0.25">
      <c r="A194" s="4" t="s">
        <v>8</v>
      </c>
      <c r="B194" s="4" t="s">
        <v>49</v>
      </c>
      <c r="C194" s="4" t="s">
        <v>276</v>
      </c>
      <c r="D194" s="12" t="s">
        <v>457</v>
      </c>
      <c r="E194" s="8">
        <f>SUM(G194:EF194)</f>
      </c>
      <c r="F194" s="8">
        <f>IF(E194&gt;0,1,0)</f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0</v>
      </c>
      <c r="AT194" s="14">
        <v>0</v>
      </c>
      <c r="AU194" s="14">
        <v>0</v>
      </c>
      <c r="AV194" s="14">
        <v>0</v>
      </c>
      <c r="AW194" s="14">
        <v>0</v>
      </c>
      <c r="AX194" s="14">
        <v>0</v>
      </c>
      <c r="AY194" s="14">
        <v>0</v>
      </c>
      <c r="AZ194" s="14">
        <v>0</v>
      </c>
      <c r="BA194" s="14">
        <v>0</v>
      </c>
      <c r="BB194" s="14">
        <v>0</v>
      </c>
      <c r="BC194" s="14">
        <v>0</v>
      </c>
      <c r="BD194" s="14">
        <v>0</v>
      </c>
      <c r="BE194" s="14">
        <v>0</v>
      </c>
      <c r="BF194" s="14">
        <v>0</v>
      </c>
      <c r="BG194" s="14">
        <v>0</v>
      </c>
      <c r="BH194" s="14">
        <v>0</v>
      </c>
      <c r="BI194" s="14">
        <v>0</v>
      </c>
      <c r="BJ194" s="14">
        <v>0</v>
      </c>
      <c r="BK194" s="14">
        <v>0</v>
      </c>
      <c r="BL194" s="14">
        <v>0</v>
      </c>
      <c r="BM194" s="14">
        <v>0</v>
      </c>
      <c r="BN194" s="14">
        <v>0</v>
      </c>
      <c r="BO194" s="14">
        <v>0</v>
      </c>
      <c r="BP194" s="14">
        <v>0</v>
      </c>
      <c r="BQ194" s="14">
        <v>0</v>
      </c>
      <c r="BR194" s="14">
        <v>0</v>
      </c>
      <c r="BS194" s="14">
        <v>0</v>
      </c>
      <c r="BT194" s="14">
        <v>0</v>
      </c>
      <c r="BU194" s="14">
        <v>0</v>
      </c>
      <c r="BV194" s="14">
        <v>0</v>
      </c>
      <c r="BW194" s="14">
        <v>0</v>
      </c>
      <c r="BX194" s="14">
        <v>0</v>
      </c>
      <c r="BY194" s="14">
        <v>0</v>
      </c>
      <c r="BZ194" s="14">
        <v>0</v>
      </c>
      <c r="CA194" s="14">
        <v>0</v>
      </c>
      <c r="CB194" s="14">
        <v>0</v>
      </c>
      <c r="CC194" s="14">
        <v>0</v>
      </c>
      <c r="CD194" s="14">
        <v>0</v>
      </c>
      <c r="CE194" s="14">
        <v>0</v>
      </c>
      <c r="CF194" s="14">
        <v>0</v>
      </c>
      <c r="CG194" s="14">
        <v>0</v>
      </c>
      <c r="CH194" s="14">
        <v>0</v>
      </c>
      <c r="CI194" s="14">
        <v>0</v>
      </c>
      <c r="CJ194" s="14">
        <v>0</v>
      </c>
      <c r="CK194" s="14">
        <v>0</v>
      </c>
      <c r="CL194" s="14">
        <v>0</v>
      </c>
      <c r="CM194" s="14">
        <v>0</v>
      </c>
      <c r="CN194" s="14">
        <v>0</v>
      </c>
      <c r="CO194" s="14">
        <v>0</v>
      </c>
      <c r="CP194" s="14">
        <v>0</v>
      </c>
      <c r="CQ194" s="14">
        <v>0</v>
      </c>
      <c r="CR194" s="14">
        <v>0</v>
      </c>
      <c r="CS194" s="14">
        <v>0</v>
      </c>
      <c r="CT194" s="14">
        <v>0</v>
      </c>
      <c r="CU194" s="14">
        <v>0</v>
      </c>
      <c r="CV194" s="14">
        <v>0</v>
      </c>
      <c r="CW194" s="14">
        <v>0</v>
      </c>
      <c r="CX194" s="14">
        <v>0</v>
      </c>
      <c r="CY194" s="14">
        <v>0</v>
      </c>
      <c r="CZ194" s="14">
        <v>0</v>
      </c>
      <c r="DA194" s="14">
        <v>0</v>
      </c>
      <c r="DB194" s="14">
        <v>0</v>
      </c>
      <c r="DC194" s="14">
        <v>0</v>
      </c>
      <c r="DD194" s="14">
        <v>0</v>
      </c>
      <c r="DE194" s="14">
        <v>0</v>
      </c>
      <c r="DF194" s="14">
        <v>0</v>
      </c>
      <c r="DG194" s="14">
        <v>0</v>
      </c>
      <c r="DH194" s="14">
        <v>0</v>
      </c>
      <c r="DI194" s="14">
        <v>0</v>
      </c>
      <c r="DJ194" s="14">
        <v>0</v>
      </c>
      <c r="DK194" s="14">
        <v>0</v>
      </c>
      <c r="DL194" s="14">
        <v>0</v>
      </c>
      <c r="DM194" s="14">
        <v>0</v>
      </c>
      <c r="DN194" s="14">
        <v>0</v>
      </c>
      <c r="DO194" s="14">
        <v>0</v>
      </c>
      <c r="DP194" s="14">
        <v>0</v>
      </c>
      <c r="DQ194" s="14">
        <v>0</v>
      </c>
      <c r="DR194" s="14">
        <v>0</v>
      </c>
      <c r="DS194" s="14">
        <v>0</v>
      </c>
      <c r="DT194" s="14">
        <v>0</v>
      </c>
      <c r="DU194" s="14">
        <v>0</v>
      </c>
      <c r="DV194" s="14">
        <v>0</v>
      </c>
      <c r="DW194" s="14">
        <v>0</v>
      </c>
      <c r="DX194" s="14">
        <v>0</v>
      </c>
      <c r="DY194" s="14">
        <v>0</v>
      </c>
      <c r="DZ194" s="14">
        <v>0</v>
      </c>
      <c r="EA194" s="14">
        <v>0</v>
      </c>
      <c r="EB194" s="14">
        <v>0</v>
      </c>
      <c r="EC194" s="14">
        <v>0</v>
      </c>
      <c r="ED194" s="14">
        <v>0</v>
      </c>
      <c r="EE194" s="14">
        <v>0</v>
      </c>
      <c r="EF194" s="14">
        <v>0</v>
      </c>
    </row>
    <row r="195" ht="32" customHeight="1" spans="1:136" x14ac:dyDescent="0.25">
      <c r="A195" s="4" t="s">
        <v>8</v>
      </c>
      <c r="B195" s="4" t="s">
        <v>49</v>
      </c>
      <c r="C195" s="4" t="s">
        <v>278</v>
      </c>
      <c r="D195" s="12" t="s">
        <v>458</v>
      </c>
      <c r="E195" s="8">
        <f>SUM(G195:EF195)</f>
      </c>
      <c r="F195" s="8">
        <f>IF(E195&gt;0,1,0)</f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  <c r="AS195" s="14">
        <v>0</v>
      </c>
      <c r="AT195" s="14">
        <v>0</v>
      </c>
      <c r="AU195" s="14">
        <v>0</v>
      </c>
      <c r="AV195" s="14">
        <v>0</v>
      </c>
      <c r="AW195" s="14">
        <v>0</v>
      </c>
      <c r="AX195" s="14">
        <v>0</v>
      </c>
      <c r="AY195" s="14">
        <v>0</v>
      </c>
      <c r="AZ195" s="14">
        <v>0</v>
      </c>
      <c r="BA195" s="14">
        <v>0</v>
      </c>
      <c r="BB195" s="14">
        <v>0</v>
      </c>
      <c r="BC195" s="14">
        <v>0</v>
      </c>
      <c r="BD195" s="14">
        <v>0</v>
      </c>
      <c r="BE195" s="14">
        <v>0</v>
      </c>
      <c r="BF195" s="14">
        <v>0</v>
      </c>
      <c r="BG195" s="14">
        <v>0</v>
      </c>
      <c r="BH195" s="14">
        <v>0</v>
      </c>
      <c r="BI195" s="14">
        <v>0</v>
      </c>
      <c r="BJ195" s="14">
        <v>0</v>
      </c>
      <c r="BK195" s="14">
        <v>0</v>
      </c>
      <c r="BL195" s="14">
        <v>0</v>
      </c>
      <c r="BM195" s="14">
        <v>0</v>
      </c>
      <c r="BN195" s="14">
        <v>0</v>
      </c>
      <c r="BO195" s="14">
        <v>0</v>
      </c>
      <c r="BP195" s="14">
        <v>0</v>
      </c>
      <c r="BQ195" s="14">
        <v>0</v>
      </c>
      <c r="BR195" s="14">
        <v>0</v>
      </c>
      <c r="BS195" s="14">
        <v>0</v>
      </c>
      <c r="BT195" s="14">
        <v>0</v>
      </c>
      <c r="BU195" s="14">
        <v>0</v>
      </c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4">
        <v>0</v>
      </c>
      <c r="CH195" s="14">
        <v>0</v>
      </c>
      <c r="CI195" s="14">
        <v>0</v>
      </c>
      <c r="CJ195" s="14">
        <v>0</v>
      </c>
      <c r="CK195" s="14">
        <v>0</v>
      </c>
      <c r="CL195" s="14">
        <v>0</v>
      </c>
      <c r="CM195" s="14">
        <v>0</v>
      </c>
      <c r="CN195" s="14">
        <v>0</v>
      </c>
      <c r="CO195" s="14">
        <v>0</v>
      </c>
      <c r="CP195" s="14">
        <v>0</v>
      </c>
      <c r="CQ195" s="14">
        <v>0</v>
      </c>
      <c r="CR195" s="14">
        <v>0</v>
      </c>
      <c r="CS195" s="14">
        <v>0</v>
      </c>
      <c r="CT195" s="14">
        <v>0</v>
      </c>
      <c r="CU195" s="14">
        <v>0</v>
      </c>
      <c r="CV195" s="14">
        <v>0</v>
      </c>
      <c r="CW195" s="14">
        <v>0</v>
      </c>
      <c r="CX195" s="14">
        <v>0</v>
      </c>
      <c r="CY195" s="14">
        <v>0</v>
      </c>
      <c r="CZ195" s="14">
        <v>0</v>
      </c>
      <c r="DA195" s="14">
        <v>0</v>
      </c>
      <c r="DB195" s="14">
        <v>0</v>
      </c>
      <c r="DC195" s="14">
        <v>0</v>
      </c>
      <c r="DD195" s="14">
        <v>0</v>
      </c>
      <c r="DE195" s="14">
        <v>0</v>
      </c>
      <c r="DF195" s="14">
        <v>0</v>
      </c>
      <c r="DG195" s="14">
        <v>0</v>
      </c>
      <c r="DH195" s="14">
        <v>0</v>
      </c>
      <c r="DI195" s="14">
        <v>0</v>
      </c>
      <c r="DJ195" s="14">
        <v>0</v>
      </c>
      <c r="DK195" s="14">
        <v>0</v>
      </c>
      <c r="DL195" s="14">
        <v>0</v>
      </c>
      <c r="DM195" s="14">
        <v>0</v>
      </c>
      <c r="DN195" s="14">
        <v>0</v>
      </c>
      <c r="DO195" s="14">
        <v>0</v>
      </c>
      <c r="DP195" s="14">
        <v>0</v>
      </c>
      <c r="DQ195" s="14">
        <v>0</v>
      </c>
      <c r="DR195" s="14">
        <v>0</v>
      </c>
      <c r="DS195" s="14">
        <v>0</v>
      </c>
      <c r="DT195" s="14">
        <v>0</v>
      </c>
      <c r="DU195" s="14">
        <v>0</v>
      </c>
      <c r="DV195" s="14">
        <v>0</v>
      </c>
      <c r="DW195" s="14">
        <v>0</v>
      </c>
      <c r="DX195" s="14">
        <v>0</v>
      </c>
      <c r="DY195" s="14">
        <v>0</v>
      </c>
      <c r="DZ195" s="14">
        <v>0</v>
      </c>
      <c r="EA195" s="14">
        <v>0</v>
      </c>
      <c r="EB195" s="14">
        <v>0</v>
      </c>
      <c r="EC195" s="14">
        <v>0</v>
      </c>
      <c r="ED195" s="14">
        <v>0</v>
      </c>
      <c r="EE195" s="14">
        <v>0</v>
      </c>
      <c r="EF195" s="14">
        <v>0</v>
      </c>
    </row>
    <row r="196" ht="32" customHeight="1" spans="1:136" x14ac:dyDescent="0.25">
      <c r="A196" s="4" t="s">
        <v>8</v>
      </c>
      <c r="B196" s="4" t="s">
        <v>49</v>
      </c>
      <c r="C196" s="4" t="s">
        <v>280</v>
      </c>
      <c r="D196" s="12" t="s">
        <v>459</v>
      </c>
      <c r="E196" s="8">
        <f>SUM(G196:EF196)</f>
      </c>
      <c r="F196" s="8">
        <f>IF(E196&gt;0,1,0)</f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  <c r="AS196" s="14">
        <v>0</v>
      </c>
      <c r="AT196" s="14">
        <v>0</v>
      </c>
      <c r="AU196" s="14">
        <v>0</v>
      </c>
      <c r="AV196" s="14">
        <v>0</v>
      </c>
      <c r="AW196" s="14">
        <v>0</v>
      </c>
      <c r="AX196" s="14">
        <v>0</v>
      </c>
      <c r="AY196" s="14">
        <v>0</v>
      </c>
      <c r="AZ196" s="14">
        <v>0</v>
      </c>
      <c r="BA196" s="14">
        <v>0</v>
      </c>
      <c r="BB196" s="14">
        <v>0</v>
      </c>
      <c r="BC196" s="14">
        <v>0</v>
      </c>
      <c r="BD196" s="14">
        <v>0</v>
      </c>
      <c r="BE196" s="14">
        <v>0</v>
      </c>
      <c r="BF196" s="14">
        <v>0</v>
      </c>
      <c r="BG196" s="14">
        <v>0</v>
      </c>
      <c r="BH196" s="14">
        <v>0</v>
      </c>
      <c r="BI196" s="14">
        <v>0</v>
      </c>
      <c r="BJ196" s="14">
        <v>0</v>
      </c>
      <c r="BK196" s="14">
        <v>0</v>
      </c>
      <c r="BL196" s="14">
        <v>0</v>
      </c>
      <c r="BM196" s="14">
        <v>0</v>
      </c>
      <c r="BN196" s="14">
        <v>0</v>
      </c>
      <c r="BO196" s="14">
        <v>0</v>
      </c>
      <c r="BP196" s="14">
        <v>0</v>
      </c>
      <c r="BQ196" s="14">
        <v>0</v>
      </c>
      <c r="BR196" s="14">
        <v>0</v>
      </c>
      <c r="BS196" s="14">
        <v>0</v>
      </c>
      <c r="BT196" s="14">
        <v>0</v>
      </c>
      <c r="BU196" s="14">
        <v>0</v>
      </c>
      <c r="BV196" s="14">
        <v>0</v>
      </c>
      <c r="BW196" s="14">
        <v>0</v>
      </c>
      <c r="BX196" s="14">
        <v>0</v>
      </c>
      <c r="BY196" s="14">
        <v>0</v>
      </c>
      <c r="BZ196" s="14">
        <v>0</v>
      </c>
      <c r="CA196" s="14">
        <v>0</v>
      </c>
      <c r="CB196" s="14">
        <v>0</v>
      </c>
      <c r="CC196" s="14">
        <v>0</v>
      </c>
      <c r="CD196" s="14">
        <v>0</v>
      </c>
      <c r="CE196" s="14">
        <v>0</v>
      </c>
      <c r="CF196" s="14">
        <v>0</v>
      </c>
      <c r="CG196" s="14">
        <v>0</v>
      </c>
      <c r="CH196" s="14">
        <v>0</v>
      </c>
      <c r="CI196" s="14">
        <v>0</v>
      </c>
      <c r="CJ196" s="14">
        <v>0</v>
      </c>
      <c r="CK196" s="14">
        <v>0</v>
      </c>
      <c r="CL196" s="14">
        <v>0</v>
      </c>
      <c r="CM196" s="14">
        <v>0</v>
      </c>
      <c r="CN196" s="14">
        <v>0</v>
      </c>
      <c r="CO196" s="14">
        <v>0</v>
      </c>
      <c r="CP196" s="14">
        <v>0</v>
      </c>
      <c r="CQ196" s="14">
        <v>0</v>
      </c>
      <c r="CR196" s="14">
        <v>0</v>
      </c>
      <c r="CS196" s="14">
        <v>0</v>
      </c>
      <c r="CT196" s="14">
        <v>0</v>
      </c>
      <c r="CU196" s="14">
        <v>0</v>
      </c>
      <c r="CV196" s="14">
        <v>0</v>
      </c>
      <c r="CW196" s="14">
        <v>0</v>
      </c>
      <c r="CX196" s="14">
        <v>0</v>
      </c>
      <c r="CY196" s="14">
        <v>0</v>
      </c>
      <c r="CZ196" s="14">
        <v>0</v>
      </c>
      <c r="DA196" s="14">
        <v>0</v>
      </c>
      <c r="DB196" s="14">
        <v>0</v>
      </c>
      <c r="DC196" s="14">
        <v>0</v>
      </c>
      <c r="DD196" s="14">
        <v>0</v>
      </c>
      <c r="DE196" s="14">
        <v>0</v>
      </c>
      <c r="DF196" s="14">
        <v>0</v>
      </c>
      <c r="DG196" s="14">
        <v>0</v>
      </c>
      <c r="DH196" s="14">
        <v>0</v>
      </c>
      <c r="DI196" s="14">
        <v>0</v>
      </c>
      <c r="DJ196" s="14">
        <v>0</v>
      </c>
      <c r="DK196" s="14">
        <v>0</v>
      </c>
      <c r="DL196" s="14">
        <v>0</v>
      </c>
      <c r="DM196" s="14">
        <v>0</v>
      </c>
      <c r="DN196" s="14">
        <v>0</v>
      </c>
      <c r="DO196" s="14">
        <v>0</v>
      </c>
      <c r="DP196" s="14">
        <v>0</v>
      </c>
      <c r="DQ196" s="14">
        <v>0</v>
      </c>
      <c r="DR196" s="14">
        <v>0</v>
      </c>
      <c r="DS196" s="14">
        <v>0</v>
      </c>
      <c r="DT196" s="14">
        <v>0</v>
      </c>
      <c r="DU196" s="14">
        <v>0</v>
      </c>
      <c r="DV196" s="14">
        <v>0</v>
      </c>
      <c r="DW196" s="14">
        <v>0</v>
      </c>
      <c r="DX196" s="14">
        <v>0</v>
      </c>
      <c r="DY196" s="14">
        <v>0</v>
      </c>
      <c r="DZ196" s="14">
        <v>0</v>
      </c>
      <c r="EA196" s="14">
        <v>0</v>
      </c>
      <c r="EB196" s="14">
        <v>0</v>
      </c>
      <c r="EC196" s="14">
        <v>0</v>
      </c>
      <c r="ED196" s="14">
        <v>0</v>
      </c>
      <c r="EE196" s="14">
        <v>0</v>
      </c>
      <c r="EF196" s="14">
        <v>0</v>
      </c>
    </row>
    <row r="197" spans="4:136" x14ac:dyDescent="0.25">
      <c r="D197" s="20" t="s">
        <v>460</v>
      </c>
      <c r="G197" s="21">
        <f>SUM(G4:G196)</f>
      </c>
      <c r="H197" s="21">
        <f>SUM(H4:H196)</f>
      </c>
      <c r="I197" s="21">
        <f>SUM(I4:I196)</f>
      </c>
      <c r="J197" s="21">
        <f>SUM(J4:J196)</f>
      </c>
      <c r="K197" s="21">
        <f>SUM(K4:K196)</f>
      </c>
      <c r="L197" s="21">
        <f>SUM(L4:L196)</f>
      </c>
      <c r="M197" s="21">
        <f>SUM(M4:M196)</f>
      </c>
      <c r="N197" s="21">
        <f>SUM(N4:N196)</f>
      </c>
      <c r="O197" s="21">
        <f>SUM(O4:O196)</f>
      </c>
      <c r="P197" s="21">
        <f>SUM(P4:P196)</f>
      </c>
      <c r="Q197" s="21">
        <f>SUM(Q4:Q196)</f>
      </c>
      <c r="R197" s="21">
        <f>SUM(R4:R196)</f>
      </c>
      <c r="S197" s="21">
        <f>SUM(S4:S196)</f>
      </c>
      <c r="T197" s="21">
        <f>SUM(T4:T196)</f>
      </c>
      <c r="U197" s="21">
        <f>SUM(U4:U196)</f>
      </c>
      <c r="V197" s="21">
        <f>SUM(V4:V196)</f>
      </c>
      <c r="W197" s="21">
        <f>SUM(W4:W196)</f>
      </c>
      <c r="X197" s="21">
        <f>SUM(X4:X196)</f>
      </c>
      <c r="Y197" s="21">
        <f>SUM(Y4:Y196)</f>
      </c>
      <c r="Z197" s="21">
        <f>SUM(Z4:Z196)</f>
      </c>
      <c r="AA197" s="21">
        <f>SUM(AA4:AA196)</f>
      </c>
      <c r="AB197" s="21">
        <f>SUM(AB4:AB196)</f>
      </c>
      <c r="AC197" s="21">
        <f>SUM(AC4:AC196)</f>
      </c>
      <c r="AD197" s="21">
        <f>SUM(AD4:AD196)</f>
      </c>
      <c r="AE197" s="21">
        <f>SUM(AE4:AE196)</f>
      </c>
      <c r="AF197" s="21">
        <f>SUM(AF4:AF196)</f>
      </c>
      <c r="AG197" s="21">
        <f>SUM(AG4:AG196)</f>
      </c>
      <c r="AH197" s="21">
        <f>SUM(AH4:AH196)</f>
      </c>
      <c r="AI197" s="21">
        <f>SUM(AI4:AI196)</f>
      </c>
      <c r="AJ197" s="21">
        <f>SUM(AJ4:AJ196)</f>
      </c>
      <c r="AK197" s="21">
        <f>SUM(AK4:AK196)</f>
      </c>
      <c r="AL197" s="21">
        <f>SUM(AL4:AL196)</f>
      </c>
      <c r="AM197" s="21">
        <f>SUM(AM4:AM196)</f>
      </c>
      <c r="AN197" s="21">
        <f>SUM(AN4:AN196)</f>
      </c>
      <c r="AO197" s="21">
        <f>SUM(AO4:AO196)</f>
      </c>
      <c r="AP197" s="21">
        <f>SUM(AP4:AP196)</f>
      </c>
      <c r="AQ197" s="21">
        <f>SUM(AQ4:AQ196)</f>
      </c>
      <c r="AR197" s="21">
        <f>SUM(AR4:AR196)</f>
      </c>
      <c r="AS197" s="21">
        <f>SUM(AS4:AS196)</f>
      </c>
      <c r="AT197" s="21">
        <f>SUM(AT4:AT196)</f>
      </c>
      <c r="AU197" s="21">
        <f>SUM(AU4:AU196)</f>
      </c>
      <c r="AV197" s="21">
        <f>SUM(AV4:AV196)</f>
      </c>
      <c r="AW197" s="21">
        <f>SUM(AW4:AW196)</f>
      </c>
      <c r="AX197" s="21">
        <f>SUM(AX4:AX196)</f>
      </c>
      <c r="AY197" s="21">
        <f>SUM(AY4:AY196)</f>
      </c>
      <c r="AZ197" s="21">
        <f>SUM(AZ4:AZ196)</f>
      </c>
      <c r="BA197" s="21">
        <f>SUM(BA4:BA196)</f>
      </c>
      <c r="BB197" s="21">
        <f>SUM(BB4:BB196)</f>
      </c>
      <c r="BC197" s="21">
        <f>SUM(BC4:BC196)</f>
      </c>
      <c r="BD197" s="21">
        <f>SUM(BD4:BD196)</f>
      </c>
      <c r="BE197" s="21">
        <f>SUM(BE4:BE196)</f>
      </c>
      <c r="BF197" s="21">
        <f>SUM(BF4:BF196)</f>
      </c>
      <c r="BG197" s="21">
        <f>SUM(BG4:BG196)</f>
      </c>
      <c r="BH197" s="21">
        <f>SUM(BH4:BH196)</f>
      </c>
      <c r="BI197" s="21">
        <f>SUM(BI4:BI196)</f>
      </c>
      <c r="BJ197" s="21">
        <f>SUM(BJ4:BJ196)</f>
      </c>
      <c r="BK197" s="21">
        <f>SUM(BK4:BK196)</f>
      </c>
      <c r="BL197" s="21">
        <f>SUM(BL4:BL196)</f>
      </c>
      <c r="BM197" s="21">
        <f>SUM(BM4:BM196)</f>
      </c>
      <c r="BN197" s="21">
        <f>SUM(BN4:BN196)</f>
      </c>
      <c r="BO197" s="21">
        <f>SUM(BO4:BO196)</f>
      </c>
      <c r="BP197" s="21">
        <f>SUM(BP4:BP196)</f>
      </c>
      <c r="BQ197" s="21">
        <f>SUM(BQ4:BQ196)</f>
      </c>
      <c r="BR197" s="21">
        <f>SUM(BR4:BR196)</f>
      </c>
      <c r="BS197" s="21">
        <f>SUM(BS4:BS196)</f>
      </c>
      <c r="BT197" s="21">
        <f>SUM(BT4:BT196)</f>
      </c>
      <c r="BU197" s="21">
        <f>SUM(BU4:BU196)</f>
      </c>
      <c r="BV197" s="21">
        <f>SUM(BV4:BV196)</f>
      </c>
      <c r="BW197" s="21">
        <f>SUM(BW4:BW196)</f>
      </c>
      <c r="BX197" s="21">
        <f>SUM(BX4:BX196)</f>
      </c>
      <c r="BY197" s="21">
        <f>SUM(BY4:BY196)</f>
      </c>
      <c r="BZ197" s="21">
        <f>SUM(BZ4:BZ196)</f>
      </c>
      <c r="CA197" s="21">
        <f>SUM(CA4:CA196)</f>
      </c>
      <c r="CB197" s="21">
        <f>SUM(CB4:CB196)</f>
      </c>
      <c r="CC197" s="21">
        <f>SUM(CC4:CC196)</f>
      </c>
      <c r="CD197" s="21">
        <f>SUM(CD4:CD196)</f>
      </c>
      <c r="CE197" s="21">
        <f>SUM(CE4:CE196)</f>
      </c>
      <c r="CF197" s="21">
        <f>SUM(CF4:CF196)</f>
      </c>
      <c r="CG197" s="21">
        <f>SUM(CG4:CG196)</f>
      </c>
      <c r="CH197" s="21">
        <f>SUM(CH4:CH196)</f>
      </c>
      <c r="CI197" s="21">
        <f>SUM(CI4:CI196)</f>
      </c>
      <c r="CJ197" s="21">
        <f>SUM(CJ4:CJ196)</f>
      </c>
      <c r="CK197" s="21">
        <f>SUM(CK4:CK196)</f>
      </c>
      <c r="CL197" s="21">
        <f>SUM(CL4:CL196)</f>
      </c>
      <c r="CM197" s="21">
        <f>SUM(CM4:CM196)</f>
      </c>
      <c r="CN197" s="21">
        <f>SUM(CN4:CN196)</f>
      </c>
      <c r="CO197" s="21">
        <f>SUM(CO4:CO196)</f>
      </c>
      <c r="CP197" s="21">
        <f>SUM(CP4:CP196)</f>
      </c>
      <c r="CQ197" s="21">
        <f>SUM(CQ4:CQ196)</f>
      </c>
      <c r="CR197" s="21">
        <f>SUM(CR4:CR196)</f>
      </c>
      <c r="CS197" s="21">
        <f>SUM(CS4:CS196)</f>
      </c>
      <c r="CT197" s="21">
        <f>SUM(CT4:CT196)</f>
      </c>
      <c r="CU197" s="21">
        <f>SUM(CU4:CU196)</f>
      </c>
      <c r="CV197" s="21">
        <f>SUM(CV4:CV196)</f>
      </c>
      <c r="CW197" s="21">
        <f>SUM(CW4:CW196)</f>
      </c>
      <c r="CX197" s="21">
        <f>SUM(CX4:CX196)</f>
      </c>
      <c r="CY197" s="21">
        <f>SUM(CY4:CY196)</f>
      </c>
      <c r="CZ197" s="21">
        <f>SUM(CZ4:CZ196)</f>
      </c>
      <c r="DA197" s="21">
        <f>SUM(DA4:DA196)</f>
      </c>
      <c r="DB197" s="21">
        <f>SUM(DB4:DB196)</f>
      </c>
      <c r="DC197" s="21">
        <f>SUM(DC4:DC196)</f>
      </c>
      <c r="DD197" s="21">
        <f>SUM(DD4:DD196)</f>
      </c>
      <c r="DE197" s="21">
        <f>SUM(DE4:DE196)</f>
      </c>
      <c r="DF197" s="21">
        <f>SUM(DF4:DF196)</f>
      </c>
      <c r="DG197" s="21">
        <f>SUM(DG4:DG196)</f>
      </c>
      <c r="DH197" s="21">
        <f>SUM(DH4:DH196)</f>
      </c>
      <c r="DI197" s="21">
        <f>SUM(DI4:DI196)</f>
      </c>
      <c r="DJ197" s="21">
        <f>SUM(DJ4:DJ196)</f>
      </c>
      <c r="DK197" s="21">
        <f>SUM(DK4:DK196)</f>
      </c>
      <c r="DL197" s="21">
        <f>SUM(DL4:DL196)</f>
      </c>
      <c r="DM197" s="21">
        <f>SUM(DM4:DM196)</f>
      </c>
      <c r="DN197" s="21">
        <f>SUM(DN4:DN196)</f>
      </c>
      <c r="DO197" s="21">
        <f>SUM(DO4:DO196)</f>
      </c>
      <c r="DP197" s="21">
        <f>SUM(DP4:DP196)</f>
      </c>
      <c r="DQ197" s="21">
        <f>SUM(DQ4:DQ196)</f>
      </c>
      <c r="DR197" s="21">
        <f>SUM(DR4:DR196)</f>
      </c>
      <c r="DS197" s="21">
        <f>SUM(DS4:DS196)</f>
      </c>
      <c r="DT197" s="21">
        <f>SUM(DT4:DT196)</f>
      </c>
      <c r="DU197" s="21">
        <f>SUM(DU4:DU196)</f>
      </c>
      <c r="DV197" s="21">
        <f>SUM(DV4:DV196)</f>
      </c>
      <c r="DW197" s="21">
        <f>SUM(DW4:DW196)</f>
      </c>
      <c r="DX197" s="21">
        <f>SUM(DX4:DX196)</f>
      </c>
      <c r="DY197" s="21">
        <f>SUM(DY4:DY196)</f>
      </c>
      <c r="DZ197" s="21">
        <f>SUM(DZ4:DZ196)</f>
      </c>
      <c r="EA197" s="21">
        <f>SUM(EA4:EA196)</f>
      </c>
      <c r="EB197" s="21">
        <f>SUM(EB4:EB196)</f>
      </c>
      <c r="EC197" s="21">
        <f>SUM(EC4:EC196)</f>
      </c>
      <c r="ED197" s="21">
        <f>SUM(ED4:ED196)</f>
      </c>
      <c r="EE197" s="21">
        <f>SUM(EE4:EE196)</f>
      </c>
      <c r="EF197" s="21">
        <f>SUM(EF4:EF196)</f>
      </c>
    </row>
  </sheetData>
  <conditionalFormatting sqref="G4:EF196">
    <cfRule type="cellIs" dxfId="4" priority="1" operator="equal">
      <formula>1</formula>
    </cfRule>
  </conditionalFormatting>
  <conditionalFormatting sqref="F4:F196">
    <cfRule type="cellIs" dxfId="5" priority="2" operator="equal">
      <formula>1</formula>
    </cfRule>
    <cfRule type="cellIs" dxfId="6" priority="3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Matriz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generar-matriz.js</dc:creator>
  <dc:title/>
  <dc:subject/>
  <dc:description/>
  <cp:keywords/>
  <cp:category/>
  <cp:lastModifiedBy>Unknown</cp:lastModifiedBy>
  <dcterms:created xsi:type="dcterms:W3CDTF">2026-10-19T01:27:54Z</dcterms:created>
  <dcterms:modified xsi:type="dcterms:W3CDTF">2026-10-19T01:27:54Z</dcterms:modified>
</cp:coreProperties>
</file>