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X:\Users\kevin\Downloads\"/>
    </mc:Choice>
  </mc:AlternateContent>
  <xr:revisionPtr revIDLastSave="0" documentId="8_{5B51A215-A89C-425E-B131-865B1361EA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esgos" sheetId="1" r:id="rId1"/>
    <sheet name="Diccionario" sheetId="2" r:id="rId2"/>
    <sheet name="Codigos" sheetId="3" r:id="rId3"/>
    <sheet name="Copia de Riesgos (priorizado)" sheetId="4" r:id="rId4"/>
  </sheets>
  <definedNames>
    <definedName name="Destinatarios">Codigos!$E$2:$E$8</definedName>
    <definedName name="ListaCategorias">Codigos!$B$2:$B$32</definedName>
    <definedName name="Riesgo_Categorias">Codigos!$B$2:$B$20</definedName>
    <definedName name="Riesgo_Componentes">Codigos!$A$2:$A$20</definedName>
    <definedName name="Riesgo_Destinatarios">Codigos!$E$2:$E$20</definedName>
    <definedName name="Riesgo_Objetivos">Codigos!$C$2:$C$20</definedName>
    <definedName name="Riesgo_Responsables">Codigos!$D$2:$D$20</definedName>
    <definedName name="Z_48347BB4_41E8_4AC5_A2BC_5BD55316B0F2_.wvu.FilterData" localSheetId="0" hidden="1">Riesgos!$A$6:$P$230</definedName>
    <definedName name="Z_89BD635C_87F2_49FB_9367_FA71FFC30156_.wvu.FilterData" localSheetId="0" hidden="1">Riesgos!$A$8:$Y$230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6" i="4" l="1"/>
  <c r="R26" i="4"/>
  <c r="Q26" i="4"/>
  <c r="P26" i="4"/>
  <c r="O26" i="4"/>
  <c r="N26" i="4"/>
  <c r="L26" i="4"/>
  <c r="K26" i="4"/>
  <c r="J26" i="4"/>
  <c r="I26" i="4"/>
  <c r="H26" i="4"/>
  <c r="G26" i="4"/>
  <c r="F26" i="4"/>
  <c r="E26" i="4"/>
  <c r="D26" i="4"/>
  <c r="C26" i="4"/>
  <c r="A26" i="4"/>
  <c r="S25" i="4"/>
  <c r="R25" i="4"/>
  <c r="Q25" i="4"/>
  <c r="P25" i="4"/>
  <c r="O25" i="4"/>
  <c r="N25" i="4"/>
  <c r="L25" i="4"/>
  <c r="K25" i="4"/>
  <c r="J25" i="4"/>
  <c r="I25" i="4"/>
  <c r="H25" i="4"/>
  <c r="G25" i="4"/>
  <c r="F25" i="4"/>
  <c r="E25" i="4"/>
  <c r="D25" i="4"/>
  <c r="C25" i="4"/>
  <c r="A25" i="4"/>
  <c r="S24" i="4"/>
  <c r="R24" i="4"/>
  <c r="Q24" i="4"/>
  <c r="P24" i="4"/>
  <c r="O24" i="4"/>
  <c r="N24" i="4"/>
  <c r="L24" i="4"/>
  <c r="K24" i="4"/>
  <c r="J24" i="4"/>
  <c r="I24" i="4"/>
  <c r="H24" i="4"/>
  <c r="G24" i="4"/>
  <c r="F24" i="4"/>
  <c r="E24" i="4"/>
  <c r="D24" i="4"/>
  <c r="C24" i="4"/>
  <c r="A24" i="4"/>
  <c r="S23" i="4"/>
  <c r="R23" i="4"/>
  <c r="Q23" i="4"/>
  <c r="P23" i="4"/>
  <c r="O23" i="4"/>
  <c r="N23" i="4"/>
  <c r="L23" i="4"/>
  <c r="K23" i="4"/>
  <c r="J23" i="4"/>
  <c r="I23" i="4"/>
  <c r="H23" i="4"/>
  <c r="G23" i="4"/>
  <c r="F23" i="4"/>
  <c r="E23" i="4"/>
  <c r="D23" i="4"/>
  <c r="C23" i="4"/>
  <c r="A23" i="4"/>
  <c r="S22" i="4"/>
  <c r="R22" i="4"/>
  <c r="Q22" i="4"/>
  <c r="P22" i="4"/>
  <c r="O22" i="4"/>
  <c r="N22" i="4"/>
  <c r="L22" i="4"/>
  <c r="K22" i="4"/>
  <c r="J22" i="4"/>
  <c r="I22" i="4"/>
  <c r="H22" i="4"/>
  <c r="G22" i="4"/>
  <c r="F22" i="4"/>
  <c r="E22" i="4"/>
  <c r="D22" i="4"/>
  <c r="C22" i="4"/>
  <c r="A22" i="4"/>
  <c r="S21" i="4"/>
  <c r="R21" i="4"/>
  <c r="Q21" i="4"/>
  <c r="P21" i="4"/>
  <c r="O21" i="4"/>
  <c r="N21" i="4"/>
  <c r="L21" i="4"/>
  <c r="K21" i="4"/>
  <c r="J21" i="4"/>
  <c r="I21" i="4"/>
  <c r="H21" i="4"/>
  <c r="G21" i="4"/>
  <c r="F21" i="4"/>
  <c r="E21" i="4"/>
  <c r="D21" i="4"/>
  <c r="C21" i="4"/>
  <c r="A21" i="4"/>
  <c r="S20" i="4"/>
  <c r="R20" i="4"/>
  <c r="Q20" i="4"/>
  <c r="P20" i="4"/>
  <c r="O20" i="4"/>
  <c r="N20" i="4"/>
  <c r="L20" i="4"/>
  <c r="K20" i="4"/>
  <c r="J20" i="4"/>
  <c r="I20" i="4"/>
  <c r="H20" i="4"/>
  <c r="G20" i="4"/>
  <c r="F20" i="4"/>
  <c r="E20" i="4"/>
  <c r="D20" i="4"/>
  <c r="C20" i="4"/>
  <c r="A20" i="4"/>
  <c r="S19" i="4"/>
  <c r="R19" i="4"/>
  <c r="Q19" i="4"/>
  <c r="P19" i="4"/>
  <c r="O19" i="4"/>
  <c r="N19" i="4"/>
  <c r="L19" i="4"/>
  <c r="K19" i="4"/>
  <c r="J19" i="4"/>
  <c r="I19" i="4"/>
  <c r="H19" i="4"/>
  <c r="G19" i="4"/>
  <c r="F19" i="4"/>
  <c r="E19" i="4"/>
  <c r="D19" i="4"/>
  <c r="C19" i="4"/>
  <c r="A19" i="4"/>
  <c r="S18" i="4"/>
  <c r="R18" i="4"/>
  <c r="Q18" i="4"/>
  <c r="P18" i="4"/>
  <c r="O18" i="4"/>
  <c r="N18" i="4"/>
  <c r="L18" i="4"/>
  <c r="K18" i="4"/>
  <c r="J18" i="4"/>
  <c r="I18" i="4"/>
  <c r="H18" i="4"/>
  <c r="G18" i="4"/>
  <c r="F18" i="4"/>
  <c r="E18" i="4"/>
  <c r="D18" i="4"/>
  <c r="C18" i="4"/>
  <c r="A18" i="4"/>
  <c r="S17" i="4"/>
  <c r="R17" i="4"/>
  <c r="Q17" i="4"/>
  <c r="P17" i="4"/>
  <c r="O17" i="4"/>
  <c r="N17" i="4"/>
  <c r="L17" i="4"/>
  <c r="K17" i="4"/>
  <c r="J17" i="4"/>
  <c r="I17" i="4"/>
  <c r="H17" i="4"/>
  <c r="G17" i="4"/>
  <c r="F17" i="4"/>
  <c r="E17" i="4"/>
  <c r="D17" i="4"/>
  <c r="C17" i="4"/>
  <c r="A17" i="4"/>
  <c r="S16" i="4"/>
  <c r="R16" i="4"/>
  <c r="Q16" i="4"/>
  <c r="P16" i="4"/>
  <c r="O16" i="4"/>
  <c r="N16" i="4"/>
  <c r="L16" i="4"/>
  <c r="K16" i="4"/>
  <c r="J16" i="4"/>
  <c r="I16" i="4"/>
  <c r="H16" i="4"/>
  <c r="G16" i="4"/>
  <c r="F16" i="4"/>
  <c r="E16" i="4"/>
  <c r="D16" i="4"/>
  <c r="C16" i="4"/>
  <c r="A16" i="4"/>
  <c r="S15" i="4"/>
  <c r="R15" i="4"/>
  <c r="Q15" i="4"/>
  <c r="P15" i="4"/>
  <c r="O15" i="4"/>
  <c r="N15" i="4"/>
  <c r="L15" i="4"/>
  <c r="K15" i="4"/>
  <c r="J15" i="4"/>
  <c r="I15" i="4"/>
  <c r="H15" i="4"/>
  <c r="G15" i="4"/>
  <c r="F15" i="4"/>
  <c r="E15" i="4"/>
  <c r="D15" i="4"/>
  <c r="C15" i="4"/>
  <c r="A15" i="4"/>
  <c r="S14" i="4"/>
  <c r="R14" i="4"/>
  <c r="Q14" i="4"/>
  <c r="P14" i="4"/>
  <c r="O14" i="4"/>
  <c r="N14" i="4"/>
  <c r="L14" i="4"/>
  <c r="K14" i="4"/>
  <c r="J14" i="4"/>
  <c r="I14" i="4"/>
  <c r="H14" i="4"/>
  <c r="G14" i="4"/>
  <c r="F14" i="4"/>
  <c r="E14" i="4"/>
  <c r="D14" i="4"/>
  <c r="C14" i="4"/>
  <c r="A14" i="4"/>
  <c r="S13" i="4"/>
  <c r="R13" i="4"/>
  <c r="Q13" i="4"/>
  <c r="P13" i="4"/>
  <c r="O13" i="4"/>
  <c r="N13" i="4"/>
  <c r="L13" i="4"/>
  <c r="K13" i="4"/>
  <c r="J13" i="4"/>
  <c r="I13" i="4"/>
  <c r="H13" i="4"/>
  <c r="G13" i="4"/>
  <c r="F13" i="4"/>
  <c r="E13" i="4"/>
  <c r="D13" i="4"/>
  <c r="C13" i="4"/>
  <c r="A13" i="4"/>
  <c r="S12" i="4"/>
  <c r="R12" i="4"/>
  <c r="Q12" i="4"/>
  <c r="P12" i="4"/>
  <c r="O12" i="4"/>
  <c r="N12" i="4"/>
  <c r="L12" i="4"/>
  <c r="K12" i="4"/>
  <c r="J12" i="4"/>
  <c r="I12" i="4"/>
  <c r="H12" i="4"/>
  <c r="G12" i="4"/>
  <c r="F12" i="4"/>
  <c r="E12" i="4"/>
  <c r="D12" i="4"/>
  <c r="C12" i="4"/>
  <c r="B12" i="4"/>
  <c r="A12" i="4"/>
  <c r="S11" i="4"/>
  <c r="R11" i="4"/>
  <c r="Q11" i="4"/>
  <c r="P11" i="4"/>
  <c r="O11" i="4"/>
  <c r="N11" i="4"/>
  <c r="L11" i="4"/>
  <c r="K11" i="4"/>
  <c r="J11" i="4"/>
  <c r="I11" i="4"/>
  <c r="H11" i="4"/>
  <c r="G11" i="4"/>
  <c r="F11" i="4"/>
  <c r="E11" i="4"/>
  <c r="D11" i="4"/>
  <c r="C11" i="4"/>
  <c r="B11" i="4"/>
  <c r="A11" i="4"/>
  <c r="S10" i="4"/>
  <c r="R10" i="4"/>
  <c r="Q10" i="4"/>
  <c r="P10" i="4"/>
  <c r="O10" i="4"/>
  <c r="N10" i="4"/>
  <c r="L10" i="4"/>
  <c r="K10" i="4"/>
  <c r="J10" i="4"/>
  <c r="I10" i="4"/>
  <c r="H10" i="4"/>
  <c r="G10" i="4"/>
  <c r="F10" i="4"/>
  <c r="E10" i="4"/>
  <c r="D10" i="4"/>
  <c r="C10" i="4"/>
  <c r="A10" i="4"/>
  <c r="S9" i="4"/>
  <c r="R9" i="4"/>
  <c r="Q9" i="4"/>
  <c r="P9" i="4"/>
  <c r="O9" i="4"/>
  <c r="N9" i="4"/>
  <c r="L9" i="4"/>
  <c r="K9" i="4"/>
  <c r="J9" i="4"/>
  <c r="I9" i="4"/>
  <c r="H9" i="4"/>
  <c r="G9" i="4"/>
  <c r="F9" i="4"/>
  <c r="E9" i="4"/>
  <c r="D9" i="4"/>
  <c r="C9" i="4"/>
  <c r="A9" i="4"/>
  <c r="S8" i="4"/>
  <c r="R8" i="4"/>
  <c r="Q8" i="4"/>
  <c r="P8" i="4"/>
  <c r="O8" i="4"/>
  <c r="N8" i="4"/>
  <c r="L8" i="4"/>
  <c r="K8" i="4"/>
  <c r="J8" i="4"/>
  <c r="I8" i="4"/>
  <c r="H8" i="4"/>
  <c r="G8" i="4"/>
  <c r="F8" i="4"/>
  <c r="E8" i="4"/>
  <c r="D8" i="4"/>
  <c r="C8" i="4"/>
  <c r="A8" i="4"/>
  <c r="S7" i="4"/>
  <c r="R7" i="4"/>
  <c r="Q7" i="4"/>
  <c r="P7" i="4"/>
  <c r="O7" i="4"/>
  <c r="N7" i="4"/>
  <c r="L7" i="4"/>
  <c r="K7" i="4"/>
  <c r="J7" i="4"/>
  <c r="I7" i="4"/>
  <c r="H7" i="4"/>
  <c r="G7" i="4"/>
  <c r="F7" i="4"/>
  <c r="E7" i="4"/>
  <c r="D7" i="4"/>
  <c r="C7" i="4"/>
  <c r="A7" i="4"/>
  <c r="S6" i="4"/>
  <c r="R6" i="4"/>
  <c r="Q6" i="4"/>
  <c r="P6" i="4"/>
  <c r="O6" i="4"/>
  <c r="N6" i="4"/>
  <c r="L6" i="4"/>
  <c r="K6" i="4"/>
  <c r="J6" i="4"/>
  <c r="I6" i="4"/>
  <c r="H6" i="4"/>
  <c r="G6" i="4"/>
  <c r="F6" i="4"/>
  <c r="E6" i="4"/>
  <c r="D6" i="4"/>
  <c r="C6" i="4"/>
  <c r="A6" i="4"/>
  <c r="S5" i="4"/>
  <c r="R5" i="4"/>
  <c r="Q5" i="4"/>
  <c r="P5" i="4"/>
  <c r="O5" i="4"/>
  <c r="N5" i="4"/>
  <c r="L5" i="4"/>
  <c r="K5" i="4"/>
  <c r="J5" i="4"/>
  <c r="I5" i="4"/>
  <c r="H5" i="4"/>
  <c r="G5" i="4"/>
  <c r="F5" i="4"/>
  <c r="E5" i="4"/>
  <c r="D5" i="4"/>
  <c r="C5" i="4"/>
  <c r="A5" i="4"/>
  <c r="S4" i="4"/>
  <c r="R4" i="4"/>
  <c r="Q4" i="4"/>
  <c r="P4" i="4"/>
  <c r="O4" i="4"/>
  <c r="N4" i="4"/>
  <c r="L4" i="4"/>
  <c r="K4" i="4"/>
  <c r="J4" i="4"/>
  <c r="I4" i="4"/>
  <c r="H4" i="4"/>
  <c r="G4" i="4"/>
  <c r="F4" i="4"/>
  <c r="E4" i="4"/>
  <c r="D4" i="4"/>
  <c r="C4" i="4"/>
  <c r="A4" i="4"/>
  <c r="S3" i="4"/>
  <c r="R3" i="4"/>
  <c r="Q3" i="4"/>
  <c r="P3" i="4"/>
  <c r="O3" i="4"/>
  <c r="N3" i="4"/>
  <c r="L3" i="4"/>
  <c r="K3" i="4"/>
  <c r="J3" i="4"/>
  <c r="I3" i="4"/>
  <c r="H3" i="4"/>
  <c r="G3" i="4"/>
  <c r="F3" i="4"/>
  <c r="E3" i="4"/>
  <c r="D3" i="4"/>
  <c r="C3" i="4"/>
  <c r="A3" i="4"/>
  <c r="S2" i="4"/>
  <c r="R2" i="4"/>
  <c r="Q2" i="4"/>
  <c r="P2" i="4"/>
  <c r="O2" i="4"/>
  <c r="N2" i="4"/>
  <c r="L2" i="4"/>
  <c r="K2" i="4"/>
  <c r="J2" i="4"/>
  <c r="I2" i="4"/>
  <c r="H2" i="4"/>
  <c r="G2" i="4"/>
  <c r="F2" i="4"/>
  <c r="E2" i="4"/>
  <c r="D2" i="4"/>
  <c r="C2" i="4"/>
  <c r="A2" i="4"/>
  <c r="I8" i="2"/>
  <c r="H8" i="2"/>
  <c r="G8" i="2"/>
  <c r="I7" i="2"/>
  <c r="H7" i="2"/>
  <c r="G7" i="2"/>
  <c r="I6" i="2"/>
  <c r="H6" i="2"/>
  <c r="G6" i="2"/>
  <c r="M233" i="1"/>
  <c r="B233" i="1"/>
  <c r="M232" i="1"/>
  <c r="B232" i="1"/>
  <c r="M231" i="1"/>
  <c r="B231" i="1"/>
  <c r="M230" i="1"/>
  <c r="B230" i="1"/>
  <c r="M229" i="1"/>
  <c r="B229" i="1"/>
  <c r="M228" i="1"/>
  <c r="B228" i="1"/>
  <c r="M227" i="1"/>
  <c r="B227" i="1"/>
  <c r="M226" i="1"/>
  <c r="B226" i="1"/>
  <c r="M225" i="1"/>
  <c r="B225" i="1"/>
  <c r="M224" i="1"/>
  <c r="B224" i="1"/>
  <c r="M223" i="1"/>
  <c r="B223" i="1"/>
  <c r="M222" i="1"/>
  <c r="B222" i="1"/>
  <c r="M221" i="1"/>
  <c r="B221" i="1"/>
  <c r="M220" i="1"/>
  <c r="B220" i="1"/>
  <c r="M219" i="1"/>
  <c r="B219" i="1"/>
  <c r="M218" i="1"/>
  <c r="B218" i="1"/>
  <c r="M217" i="1"/>
  <c r="B217" i="1"/>
  <c r="M216" i="1"/>
  <c r="B216" i="1"/>
  <c r="M215" i="1"/>
  <c r="B215" i="1"/>
  <c r="M214" i="1"/>
  <c r="B214" i="1"/>
  <c r="M213" i="1"/>
  <c r="B213" i="1"/>
  <c r="M212" i="1"/>
  <c r="B212" i="1"/>
  <c r="M211" i="1"/>
  <c r="B211" i="1"/>
  <c r="M210" i="1"/>
  <c r="B210" i="1"/>
  <c r="M209" i="1"/>
  <c r="B209" i="1"/>
  <c r="M208" i="1"/>
  <c r="B208" i="1"/>
  <c r="M207" i="1"/>
  <c r="B207" i="1"/>
  <c r="M206" i="1"/>
  <c r="B206" i="1"/>
  <c r="M205" i="1"/>
  <c r="B205" i="1"/>
  <c r="M204" i="1"/>
  <c r="B204" i="1"/>
  <c r="M203" i="1"/>
  <c r="B203" i="1"/>
  <c r="M202" i="1"/>
  <c r="B202" i="1"/>
  <c r="M201" i="1"/>
  <c r="B201" i="1"/>
  <c r="M200" i="1"/>
  <c r="B200" i="1"/>
  <c r="M199" i="1"/>
  <c r="B199" i="1"/>
  <c r="M198" i="1"/>
  <c r="B198" i="1"/>
  <c r="M197" i="1"/>
  <c r="B197" i="1"/>
  <c r="M196" i="1"/>
  <c r="B196" i="1"/>
  <c r="M195" i="1"/>
  <c r="B195" i="1"/>
  <c r="M194" i="1"/>
  <c r="B194" i="1"/>
  <c r="M193" i="1"/>
  <c r="B193" i="1"/>
  <c r="M192" i="1"/>
  <c r="B192" i="1"/>
  <c r="M191" i="1"/>
  <c r="B191" i="1"/>
  <c r="M190" i="1"/>
  <c r="B190" i="1"/>
  <c r="M189" i="1"/>
  <c r="B189" i="1"/>
  <c r="M188" i="1"/>
  <c r="B188" i="1"/>
  <c r="M187" i="1"/>
  <c r="B187" i="1"/>
  <c r="M186" i="1"/>
  <c r="B186" i="1"/>
  <c r="M185" i="1"/>
  <c r="B185" i="1"/>
  <c r="M184" i="1"/>
  <c r="B184" i="1"/>
  <c r="M183" i="1"/>
  <c r="B183" i="1"/>
  <c r="M182" i="1"/>
  <c r="B182" i="1"/>
  <c r="M181" i="1"/>
  <c r="B181" i="1"/>
  <c r="M180" i="1"/>
  <c r="B180" i="1"/>
  <c r="M179" i="1"/>
  <c r="B179" i="1"/>
  <c r="M178" i="1"/>
  <c r="B178" i="1"/>
  <c r="M177" i="1"/>
  <c r="B177" i="1"/>
  <c r="M176" i="1"/>
  <c r="B176" i="1"/>
  <c r="M175" i="1"/>
  <c r="B175" i="1"/>
  <c r="M174" i="1"/>
  <c r="B174" i="1"/>
  <c r="M173" i="1"/>
  <c r="B173" i="1"/>
  <c r="M172" i="1"/>
  <c r="B172" i="1"/>
  <c r="M171" i="1"/>
  <c r="B171" i="1"/>
  <c r="M170" i="1"/>
  <c r="B170" i="1"/>
  <c r="M169" i="1"/>
  <c r="B169" i="1"/>
  <c r="M168" i="1"/>
  <c r="B168" i="1"/>
  <c r="M167" i="1"/>
  <c r="B167" i="1"/>
  <c r="M166" i="1"/>
  <c r="B166" i="1"/>
  <c r="M165" i="1"/>
  <c r="B165" i="1"/>
  <c r="M164" i="1"/>
  <c r="B164" i="1"/>
  <c r="M163" i="1"/>
  <c r="B163" i="1"/>
  <c r="M162" i="1"/>
  <c r="B162" i="1"/>
  <c r="M161" i="1"/>
  <c r="B161" i="1"/>
  <c r="M160" i="1"/>
  <c r="B160" i="1"/>
  <c r="M159" i="1"/>
  <c r="B159" i="1"/>
  <c r="M158" i="1"/>
  <c r="B158" i="1"/>
  <c r="M157" i="1"/>
  <c r="B157" i="1"/>
  <c r="M156" i="1"/>
  <c r="B156" i="1"/>
  <c r="M155" i="1"/>
  <c r="B155" i="1"/>
  <c r="M154" i="1"/>
  <c r="B154" i="1"/>
  <c r="M153" i="1"/>
  <c r="B153" i="1"/>
  <c r="M152" i="1"/>
  <c r="B152" i="1"/>
  <c r="M151" i="1"/>
  <c r="B151" i="1"/>
  <c r="M150" i="1"/>
  <c r="B150" i="1"/>
  <c r="M149" i="1"/>
  <c r="B149" i="1"/>
  <c r="M148" i="1"/>
  <c r="B148" i="1"/>
  <c r="M147" i="1"/>
  <c r="B147" i="1"/>
  <c r="M146" i="1"/>
  <c r="B146" i="1"/>
  <c r="M145" i="1"/>
  <c r="B145" i="1"/>
  <c r="M144" i="1"/>
  <c r="B144" i="1"/>
  <c r="M143" i="1"/>
  <c r="B143" i="1"/>
  <c r="M142" i="1"/>
  <c r="B142" i="1"/>
  <c r="M141" i="1"/>
  <c r="B141" i="1"/>
  <c r="M140" i="1"/>
  <c r="B140" i="1"/>
  <c r="M139" i="1"/>
  <c r="B139" i="1"/>
  <c r="M138" i="1"/>
  <c r="B138" i="1"/>
  <c r="M137" i="1"/>
  <c r="B137" i="1"/>
  <c r="M136" i="1"/>
  <c r="B136" i="1"/>
  <c r="M135" i="1"/>
  <c r="B135" i="1"/>
  <c r="M134" i="1"/>
  <c r="B134" i="1"/>
  <c r="M133" i="1"/>
  <c r="B133" i="1"/>
  <c r="M132" i="1"/>
  <c r="B132" i="1"/>
  <c r="M131" i="1"/>
  <c r="B131" i="1"/>
  <c r="M130" i="1"/>
  <c r="B130" i="1"/>
  <c r="M129" i="1"/>
  <c r="B129" i="1"/>
  <c r="M128" i="1"/>
  <c r="B128" i="1"/>
  <c r="M127" i="1"/>
  <c r="B127" i="1"/>
  <c r="M126" i="1"/>
  <c r="B126" i="1"/>
  <c r="M125" i="1"/>
  <c r="B125" i="1"/>
  <c r="M124" i="1"/>
  <c r="B124" i="1"/>
  <c r="M123" i="1"/>
  <c r="B123" i="1"/>
  <c r="M122" i="1"/>
  <c r="B122" i="1"/>
  <c r="M121" i="1"/>
  <c r="B121" i="1"/>
  <c r="M120" i="1"/>
  <c r="B120" i="1"/>
  <c r="M119" i="1"/>
  <c r="B119" i="1"/>
  <c r="M118" i="1"/>
  <c r="B118" i="1"/>
  <c r="M117" i="1"/>
  <c r="B117" i="1"/>
  <c r="M116" i="1"/>
  <c r="B116" i="1"/>
  <c r="M115" i="1"/>
  <c r="B115" i="1"/>
  <c r="M114" i="1"/>
  <c r="B114" i="1"/>
  <c r="M113" i="1"/>
  <c r="B113" i="1"/>
  <c r="M112" i="1"/>
  <c r="B112" i="1"/>
  <c r="M111" i="1"/>
  <c r="B111" i="1"/>
  <c r="M110" i="1"/>
  <c r="B110" i="1"/>
  <c r="M109" i="1"/>
  <c r="B109" i="1"/>
  <c r="M108" i="1"/>
  <c r="B108" i="1"/>
  <c r="M107" i="1"/>
  <c r="B107" i="1"/>
  <c r="M106" i="1"/>
  <c r="B106" i="1"/>
  <c r="M105" i="1"/>
  <c r="B105" i="1"/>
  <c r="M104" i="1"/>
  <c r="B104" i="1"/>
  <c r="M103" i="1"/>
  <c r="B103" i="1"/>
  <c r="M102" i="1"/>
  <c r="B102" i="1"/>
  <c r="M101" i="1"/>
  <c r="B101" i="1"/>
  <c r="M100" i="1"/>
  <c r="B100" i="1"/>
  <c r="M99" i="1"/>
  <c r="B99" i="1"/>
  <c r="M98" i="1"/>
  <c r="B98" i="1"/>
  <c r="M97" i="1"/>
  <c r="B97" i="1"/>
  <c r="M96" i="1"/>
  <c r="B96" i="1"/>
  <c r="M95" i="1"/>
  <c r="B95" i="1"/>
  <c r="M94" i="1"/>
  <c r="B94" i="1"/>
  <c r="M93" i="1"/>
  <c r="B93" i="1"/>
  <c r="M92" i="1"/>
  <c r="B92" i="1"/>
  <c r="M91" i="1"/>
  <c r="B91" i="1"/>
  <c r="M90" i="1"/>
  <c r="B90" i="1"/>
  <c r="M89" i="1"/>
  <c r="B89" i="1"/>
  <c r="M88" i="1"/>
  <c r="B88" i="1"/>
  <c r="M87" i="1"/>
  <c r="B87" i="1"/>
  <c r="M86" i="1"/>
  <c r="B86" i="1"/>
  <c r="M85" i="1"/>
  <c r="B85" i="1"/>
  <c r="M84" i="1"/>
  <c r="B84" i="1"/>
  <c r="M83" i="1"/>
  <c r="B83" i="1"/>
  <c r="M82" i="1"/>
  <c r="B82" i="1"/>
  <c r="M81" i="1"/>
  <c r="B81" i="1"/>
  <c r="M80" i="1"/>
  <c r="B80" i="1"/>
  <c r="M79" i="1"/>
  <c r="B79" i="1"/>
  <c r="M78" i="1"/>
  <c r="B78" i="1"/>
  <c r="M77" i="1"/>
  <c r="B77" i="1"/>
  <c r="M76" i="1"/>
  <c r="B76" i="1"/>
  <c r="M75" i="1"/>
  <c r="B75" i="1"/>
  <c r="M74" i="1"/>
  <c r="B74" i="1"/>
  <c r="M73" i="1"/>
  <c r="B73" i="1"/>
  <c r="M72" i="1"/>
  <c r="B72" i="1"/>
  <c r="M71" i="1"/>
  <c r="B71" i="1"/>
  <c r="M70" i="1"/>
  <c r="B70" i="1"/>
  <c r="M69" i="1"/>
  <c r="B69" i="1"/>
  <c r="M68" i="1"/>
  <c r="B68" i="1"/>
  <c r="M67" i="1"/>
  <c r="B67" i="1"/>
  <c r="M66" i="1"/>
  <c r="B66" i="1"/>
  <c r="M65" i="1"/>
  <c r="B65" i="1"/>
  <c r="M64" i="1"/>
  <c r="B64" i="1"/>
  <c r="M63" i="1"/>
  <c r="B63" i="1"/>
  <c r="M62" i="1"/>
  <c r="B62" i="1"/>
  <c r="M61" i="1"/>
  <c r="B61" i="1"/>
  <c r="M60" i="1"/>
  <c r="B60" i="1"/>
  <c r="M59" i="1"/>
  <c r="B59" i="1"/>
  <c r="M58" i="1"/>
  <c r="B58" i="1"/>
  <c r="M57" i="1"/>
  <c r="B57" i="1"/>
  <c r="M56" i="1"/>
  <c r="B56" i="1"/>
  <c r="M55" i="1"/>
  <c r="B55" i="1"/>
  <c r="M54" i="1"/>
  <c r="B54" i="1"/>
  <c r="M53" i="1"/>
  <c r="B53" i="1"/>
  <c r="M52" i="1"/>
  <c r="B52" i="1"/>
  <c r="M51" i="1"/>
  <c r="B51" i="1"/>
  <c r="M50" i="1"/>
  <c r="B50" i="1"/>
  <c r="M49" i="1"/>
  <c r="B49" i="1"/>
  <c r="M48" i="1"/>
  <c r="B48" i="1"/>
  <c r="M47" i="1"/>
  <c r="B47" i="1"/>
  <c r="M46" i="1"/>
  <c r="B46" i="1"/>
  <c r="M45" i="1"/>
  <c r="B45" i="1"/>
  <c r="M44" i="1"/>
  <c r="B44" i="1"/>
  <c r="M43" i="1"/>
  <c r="B43" i="1"/>
  <c r="M42" i="1"/>
  <c r="B42" i="1"/>
  <c r="M41" i="1"/>
  <c r="B41" i="1"/>
  <c r="M40" i="1"/>
  <c r="B40" i="1"/>
  <c r="M39" i="1"/>
  <c r="B39" i="1"/>
  <c r="M38" i="1"/>
  <c r="B38" i="1"/>
  <c r="M36" i="1"/>
  <c r="M35" i="1"/>
  <c r="M34" i="1"/>
  <c r="M26" i="4" s="1"/>
  <c r="B34" i="1"/>
  <c r="B26" i="4" s="1"/>
  <c r="M33" i="1"/>
  <c r="M25" i="4" s="1"/>
  <c r="B33" i="1"/>
  <c r="B25" i="4" s="1"/>
  <c r="M32" i="1"/>
  <c r="B32" i="1"/>
  <c r="B19" i="4" s="1"/>
  <c r="M31" i="1"/>
  <c r="B31" i="1"/>
  <c r="B18" i="4" s="1"/>
  <c r="M30" i="1"/>
  <c r="B30" i="1"/>
  <c r="B24" i="4" s="1"/>
  <c r="M29" i="1"/>
  <c r="B29" i="1"/>
  <c r="B10" i="4" s="1"/>
  <c r="M28" i="1"/>
  <c r="B28" i="1"/>
  <c r="B9" i="4" s="1"/>
  <c r="M27" i="1"/>
  <c r="B27" i="1"/>
  <c r="B23" i="4" s="1"/>
  <c r="M26" i="1"/>
  <c r="B26" i="1"/>
  <c r="B22" i="4" s="1"/>
  <c r="M25" i="1"/>
  <c r="B25" i="1"/>
  <c r="B17" i="4" s="1"/>
  <c r="M24" i="1"/>
  <c r="B24" i="1"/>
  <c r="B16" i="4" s="1"/>
  <c r="M23" i="1"/>
  <c r="B23" i="1"/>
  <c r="B15" i="4" s="1"/>
  <c r="M22" i="1"/>
  <c r="B22" i="1"/>
  <c r="B14" i="4" s="1"/>
  <c r="M21" i="1"/>
  <c r="B21" i="1"/>
  <c r="B21" i="4" s="1"/>
  <c r="M20" i="1"/>
  <c r="B20" i="1"/>
  <c r="B8" i="4" s="1"/>
  <c r="M19" i="1"/>
  <c r="B19" i="1"/>
  <c r="B7" i="4" s="1"/>
  <c r="M18" i="1"/>
  <c r="B18" i="1"/>
  <c r="B6" i="4" s="1"/>
  <c r="M17" i="1"/>
  <c r="B17" i="1"/>
  <c r="B20" i="4" s="1"/>
  <c r="M16" i="1"/>
  <c r="B16" i="1"/>
  <c r="B13" i="4" s="1"/>
  <c r="M15" i="1"/>
  <c r="B15" i="1"/>
  <c r="B5" i="4" s="1"/>
  <c r="M14" i="1"/>
  <c r="B14" i="1"/>
  <c r="B4" i="4" s="1"/>
  <c r="M13" i="1"/>
  <c r="B13" i="1"/>
  <c r="B2" i="4" s="1"/>
  <c r="M12" i="1"/>
  <c r="B12" i="1"/>
  <c r="B3" i="4" s="1"/>
  <c r="H6" i="1"/>
  <c r="H4" i="1"/>
  <c r="H5" i="1" l="1"/>
  <c r="H7" i="1" l="1"/>
  <c r="I4" i="1" l="1"/>
  <c r="I6" i="1"/>
  <c r="I5" i="1"/>
</calcChain>
</file>

<file path=xl/sharedStrings.xml><?xml version="1.0" encoding="utf-8"?>
<sst xmlns="http://schemas.openxmlformats.org/spreadsheetml/2006/main" count="558" uniqueCount="279">
  <si>
    <t>Registro y Seguimiento de Riesgos</t>
  </si>
  <si>
    <t>Cliente</t>
  </si>
  <si>
    <t>Masterbase</t>
  </si>
  <si>
    <t>RESUMEN</t>
  </si>
  <si>
    <t>Proveedor</t>
  </si>
  <si>
    <t>Equipo 6 (Kevin Soto, Eduardo Kusar, Nicolás Vidal)</t>
  </si>
  <si>
    <t># Riesgos (Rojos)</t>
  </si>
  <si>
    <t>Nombre del Proyecto</t>
  </si>
  <si>
    <t>Sistema de Gestión Documental y Flujos de Aprobación</t>
  </si>
  <si>
    <t># Riesgos (Amarillos)</t>
  </si>
  <si>
    <t>Director de Proyecto</t>
  </si>
  <si>
    <t>Nicolás Vidal</t>
  </si>
  <si>
    <t># Riesgos (Verdes)</t>
  </si>
  <si>
    <t>Fecha Inicio</t>
  </si>
  <si>
    <t>Fecha Termino</t>
  </si>
  <si>
    <t># de Riesgos</t>
  </si>
  <si>
    <t>IDENTIFICACIÓN</t>
  </si>
  <si>
    <t>ANALISIS</t>
  </si>
  <si>
    <t>EVALUAR</t>
  </si>
  <si>
    <t>TRATAMIENTO</t>
  </si>
  <si>
    <t>MONITOREO Y COMUNICACIÓN</t>
  </si>
  <si>
    <t>Fecha 
Identificación</t>
  </si>
  <si>
    <t>Identificador</t>
  </si>
  <si>
    <t>Componente (según WBS)</t>
  </si>
  <si>
    <t>Categoría (según RBS)</t>
  </si>
  <si>
    <t>Riesgo/Evento de Riesgo</t>
  </si>
  <si>
    <t>Tipo de Riesgo</t>
  </si>
  <si>
    <t>Fuente/Causa/Condición</t>
  </si>
  <si>
    <t>Impacta a/ Consecuencias
Objetivos Proyecto</t>
  </si>
  <si>
    <t>Descripción y Comentarios</t>
  </si>
  <si>
    <t>Probabilidad</t>
  </si>
  <si>
    <t>Impacto</t>
  </si>
  <si>
    <t>Magnitud</t>
  </si>
  <si>
    <t>Responsable</t>
  </si>
  <si>
    <t>Estrategia</t>
  </si>
  <si>
    <t>Plan de Tratamiento</t>
  </si>
  <si>
    <t>Plan de Monitoreo</t>
  </si>
  <si>
    <t>Periodicidad</t>
  </si>
  <si>
    <t>Destinatario Comunicación</t>
  </si>
  <si>
    <t>GESTIÓN DEL PROYECTO</t>
  </si>
  <si>
    <t>GESTION</t>
  </si>
  <si>
    <t>Aumento del alcance por nuevas solicitudes de la Product Owner</t>
  </si>
  <si>
    <t>Amenaza</t>
  </si>
  <si>
    <t>Retroalimentación continua de la Product Owner que puede agregar requisitos a funcionalidades ya planificadas.</t>
  </si>
  <si>
    <t>Atraso del Sprint 3 y del Hito 4, con menos tiempo para pruebas y documentación
(Objetivos 1, 3 y 6)</t>
  </si>
  <si>
    <t>Durante las reuniones con la Product Owner, debido a nuevas solicitudes sobre funcionalidades ya planificadas, el equipo podría comprometer más trabajo del que cabe en el Sprint 3.</t>
  </si>
  <si>
    <t>Media</t>
  </si>
  <si>
    <t>Medio</t>
  </si>
  <si>
    <t>Mitigar</t>
  </si>
  <si>
    <t>Acordar con la Product Owner que el Product Backlog inicial es el alcance; evaluar y negociar cada cambio, registrarlo en actas y no modificar el Sprint Backlog una vez iniciado el sprint.</t>
  </si>
  <si>
    <t>Revisar en la reunión semanal los cambios pedidos versus el Sprint Backlog comprometido.</t>
  </si>
  <si>
    <t>Semanal</t>
  </si>
  <si>
    <t>Product Owner</t>
  </si>
  <si>
    <t>INTEGRACIÓN IA</t>
  </si>
  <si>
    <t>TECNICO</t>
  </si>
  <si>
    <t>Uso de una API de IA gratuita y externa, sin garantía de tiempos de respuesta, cuotas ni disponibilidad, y con resultados no deterministas.</t>
  </si>
  <si>
    <t>El autocompletado y la revisión asistida de solicitudes se vuelven lentos o dejan de funcionar
(Objetivo 4)</t>
  </si>
  <si>
    <t>Durante el registro y la revisión de solicitudes, debido a que el modelo de IA es un servicio gratuito externo, sus respuestas podrían demorar, ser incorrectas o fallar sin que el equipo pueda controlarlo.</t>
  </si>
  <si>
    <t>Alta</t>
  </si>
  <si>
    <t>Eduardo Kusar</t>
  </si>
  <si>
    <t>Arquitectura asíncrona basada en eventos: el microservicio de IA se desacopla del flujo principal mediante una cola de mensajes, con tiempo máximo de espera y reintentos. Si el servicio se degrada, la solicitud continúa con validación manual por reglas. Forzar salida JSON estricta mediante el prompt y usar un modo simulación en las pruebas.</t>
  </si>
  <si>
    <t>Medir en cada sprint el tiempo de respuesta, las fallas del servicio y las sugerencias que el usuario debe corregir.</t>
  </si>
  <si>
    <t>Por sprint</t>
  </si>
  <si>
    <t>Equipo</t>
  </si>
  <si>
    <t>PRUEBAS Y CALIDAD</t>
  </si>
  <si>
    <t>EXTERNO</t>
  </si>
  <si>
    <t>Falta de documentos reales de Masterbase para probar la IA y las planillas</t>
  </si>
  <si>
    <t>Los documentos de ejemplo de los procesos dependen de que la Product Owner los entregue.</t>
  </si>
  <si>
    <t>Pruebas poco representativas y atraso en la validación de las historias de IA y planillas
(Objetivos 4 y 5)</t>
  </si>
  <si>
    <t>Durante el Sprint 3, si no se cuenta con documentos reales del cliente, las pruebas de IA y planillas podrían hacerse con datos que no reflejan los casos reales.</t>
  </si>
  <si>
    <t>Kevin Soto</t>
  </si>
  <si>
    <t>Solicitar los documentos a la Product Owner antes del Sprint 3 y preparar documentos de prueba ficticios como respaldo.</t>
  </si>
  <si>
    <t>Verificar en la reunión semanal si llegaron los documentos comprometidos.</t>
  </si>
  <si>
    <t>DESARROLLO BACKEND</t>
  </si>
  <si>
    <t>Subestimación de la complejidad del motor de planillas dinámicas</t>
  </si>
  <si>
    <t>Manejo de campos configurables y datos dinámicos no estructurados sobre un modelo relacional.</t>
  </si>
  <si>
    <t>Atraso en las historias de planillas y defectos en el registro de solicitudes
(Objetivos 2 y 3)</t>
  </si>
  <si>
    <t>Durante el desarrollo de las planillas dinámicas, debido a la complejidad de almacenar y validar campos configurables, el equipo podría subestimar el esfuerzo o introducir defectos.</t>
  </si>
  <si>
    <t>Diseñar el modelo de campos dinámicos antes de programar y validar los mockups de planillas con la Product Owner.</t>
  </si>
  <si>
    <t>Revisar en el Burndown Chart el avance de las historias de planillas y los defectos abiertos.</t>
  </si>
  <si>
    <t>INFRAESTRUCTURA</t>
  </si>
  <si>
    <t>Fallas del ambiente de demostración durante una presentación</t>
  </si>
  <si>
    <t>El sistema completo (varios contenedores) se levantará en los computadores de los integrantes, con posibles diferencias de configuración y dependencia de la red y de servicios externos.</t>
  </si>
  <si>
    <t>No poder mostrar el incremento en los hitos o en la defensa
(Objetivo 6)</t>
  </si>
  <si>
    <t>Durante las presentaciones de los hitos y la defensa, debido a diferencias entre los entornos locales o a fallas de red y de servicios externos, el sistema podría no levantar o fallar en plena demostración.</t>
  </si>
  <si>
    <t>Baja</t>
  </si>
  <si>
    <t>Alto</t>
  </si>
  <si>
    <t>Estandarizar el entorno con Docker Compose y un archivo de variables de ejemplo, ensayar la demo antes de cada hito y tener un segundo computador listo como respaldo.</t>
  </si>
  <si>
    <t>Levantar el sistema completo y revisar la salud de los servicios el día antes de cada presentación.</t>
  </si>
  <si>
    <t>Por hito</t>
  </si>
  <si>
    <t>Aceptación de sugerencias de la IA sin verificación del revisor</t>
  </si>
  <si>
    <t>Confianza excesiva en la evaluación automática de las solicitudes.</t>
  </si>
  <si>
    <t>Aprobación de documentos incorrectos
(Objetivos 3 y 4)</t>
  </si>
  <si>
    <t>Durante la revisión de solicitudes, debido a la confianza en la evaluación de la IA, un revisor podría aprobar un documento sin revisarlo realmente.</t>
  </si>
  <si>
    <t>Mostrar claramente que la decisión es del revisor, exigir su confirmación y nunca aprobar de forma automática.</t>
  </si>
  <si>
    <t>Verificar en las pruebas de aceptación que ninguna decisión se tome sin el revisor.</t>
  </si>
  <si>
    <t>Retrabajo en funcionalidades terminadas y menos tiempo para historias nuevas
(Objetivos 1 y 3)</t>
  </si>
  <si>
    <t>Regresiones al integrar nuevas funcionalidades</t>
  </si>
  <si>
    <t>Cambios en módulos compartidos como flujos, permisos y solicitudes.</t>
  </si>
  <si>
    <t>Funcionalidades ya aceptadas dejan de funcionar
(Objetivos 3 y 5)</t>
  </si>
  <si>
    <t>Durante la integración de las historias de cada sprint, debido a cambios en módulos compartidos, funcionalidades ya aceptadas podrían dejar de funcionar sin que se note.</t>
  </si>
  <si>
    <t>Ejecutar pruebas de regresión al cierre de cada sprint y antes de cada demo, registrando los defectos en el log de incidencias.</t>
  </si>
  <si>
    <t>Revisar el resultado de la regresión y los defectos abiertos.</t>
  </si>
  <si>
    <t>DESARROLLO FRONTEND</t>
  </si>
  <si>
    <t>Desfases en la integración entre frontend y backend</t>
  </si>
  <si>
    <t>Desarrollo en paralelo de frontend y backend con especificaciones de API que pueden cambiar.</t>
  </si>
  <si>
    <t>Vistas que no funcionan con los endpoints y retrabajo al integrar
(Objetivo 3)</t>
  </si>
  <si>
    <t>Durante cada sprint, debido a cambios en las especificaciones de las API, las vistas y los endpoints podrían no calzar al momento de integrarlos.</t>
  </si>
  <si>
    <t>Revisar en las Daily Meetings los cambios a los contratos de API.</t>
  </si>
  <si>
    <t>Rendimiento insuficiente con varios usuarios simultáneos</t>
  </si>
  <si>
    <t>El rendimiento de búsquedas, registros y descargas solo podrá medirse con el sistema integrado.</t>
  </si>
  <si>
    <t>Respuestas lentas en la demo o en el uso real
(Objetivo 5)</t>
  </si>
  <si>
    <t>Durante el uso simultáneo del sistema, si no se mide su rendimiento a tiempo, las búsquedas y descargas podrían responder lento.</t>
  </si>
  <si>
    <t>Ejecutar pruebas de carga y estrés con Apache JMeter antes del cierre y optimizar las consultas lentas.</t>
  </si>
  <si>
    <t>Comparar los tiempos de respuesta con el objetivo de 2 segundos.</t>
  </si>
  <si>
    <t>Una vez (Fase 3)</t>
  </si>
  <si>
    <t>SEGURIDAD</t>
  </si>
  <si>
    <t>Fallas en el aislamiento por área y jerarquía que expongan documentos</t>
  </si>
  <si>
    <t>Reglas de permisos complejas (rol, área y jerarquía) aplicadas en varios endpoints.</t>
  </si>
  <si>
    <t>Acceso a documentos de otras áreas y pérdida de confianza del cliente
(Objetivo 3)</t>
  </si>
  <si>
    <t>Durante el uso del sistema por usuarios de distintas áreas, debido a reglas de permisos complejas, un usuario podría ver documentos que no le corresponden.</t>
  </si>
  <si>
    <t>Probar cada permiso por interfaz y por API con casos permitidos y denegados, a partir de una matriz de roles y permisos.</t>
  </si>
  <si>
    <t>Revisar el resultado de las pruebas de permisos en cada regresión.</t>
  </si>
  <si>
    <t>Acceso no autorizado a cuentas de usuario</t>
  </si>
  <si>
    <t>Contraseñas débiles o intentos repetidos de inicio de sesión.</t>
  </si>
  <si>
    <t>Exposición de solicitudes y documentos internos
(Objetivo 3)</t>
  </si>
  <si>
    <t>Durante la operación del sistema, debido a contraseñas débiles o ataques de fuerza bruta, un tercero podría ingresar con una cuenta ajena.</t>
  </si>
  <si>
    <t>Implementar el bloqueo de 30 minutos tras 4 intentos fallidos, una política de contraseñas en Keycloak y la auditoría de inicios de sesión.</t>
  </si>
  <si>
    <t>Revisar los inicios de sesión fallidos registrados en la auditoría.</t>
  </si>
  <si>
    <t>Mensual</t>
  </si>
  <si>
    <t>Exposición de credenciales o claves de API en el repositorio</t>
  </si>
  <si>
    <t>Archivos de configuración con secretos de servicios externos (.env).</t>
  </si>
  <si>
    <t>Uso indebido de servicios externos y costos no previstos
(Objetivo 6)</t>
  </si>
  <si>
    <t>Durante el trabajo diario con el repositorio, debido a un descuido al hacer commit, claves de API o contraseñas podrían quedar publicadas.</t>
  </si>
  <si>
    <t>Evitar</t>
  </si>
  <si>
    <t>Mantener los secretos solo en .env (ignorado por git), dejar valores de ejemplo en .env.example y revisar antes de cada entrega.</t>
  </si>
  <si>
    <t>Revisar el repositorio en busca de secretos antes de cada entrega.</t>
  </si>
  <si>
    <t>DESPLIEGUE Y CIERRE</t>
  </si>
  <si>
    <t>LEGAL</t>
  </si>
  <si>
    <t>Manejo de datos personales (RUT y correos) sin resguardos suficientes</t>
  </si>
  <si>
    <t>El sistema almacena datos personales de los usuarios del cliente.</t>
  </si>
  <si>
    <t>Incumplimiento de la Ley 19.628 de Protección de Datos Personales y pérdida de confianza del cliente
(Objetivos 2 y 3)</t>
  </si>
  <si>
    <t>Durante las pruebas y demostraciones, debido a que el sistema guarda RUT y correos, datos personales reales podrían quedar expuestos en ambientes de prueba.</t>
  </si>
  <si>
    <t>Usar solo datos de prueba ficticios, restringir el acceso por rol y no copiar datos reales a los ambientes de prueba.</t>
  </si>
  <si>
    <t>Verificar antes de cada demostración que el ambiente no tenga datos reales.</t>
  </si>
  <si>
    <t>Pérdida de datos o configuración en los equipos locales</t>
  </si>
  <si>
    <t>Datos de prueba y configuración del ambiente guardados solo en los computadores de los integrantes.</t>
  </si>
  <si>
    <t>Pérdida de datos de demostración y de evidencias de pruebas
(Objetivo 5)</t>
  </si>
  <si>
    <t>Durante el desarrollo, debido a una falla de un computador o a reiniciar los contenedores, los datos de prueba y la configuración podrían perderse.</t>
  </si>
  <si>
    <t>Mantener el código y la configuración en GitHub y versionar los scripts de datos de prueba para recrear el ambiente.</t>
  </si>
  <si>
    <t>Verificar al inicio de cada sprint que el ambiente se pueda recrear desde el repositorio.</t>
  </si>
  <si>
    <t>Bloqueos o indisponibilidad del servicio de correo de Masterbase</t>
  </si>
  <si>
    <t>Las notificaciones dependen de la API de envío de correos de Masterbase.</t>
  </si>
  <si>
    <t>Los usuarios no reciben las alertas de cambios de estado
(Objetivo 3)</t>
  </si>
  <si>
    <t>Durante el Sprint 1 y las demostraciones, debido a bloqueos o cambios en el servicio de correo externo, las notificaciones podrían no enviarse.</t>
  </si>
  <si>
    <t>Bajo</t>
  </si>
  <si>
    <t>Enviar los correos desde un microservicio de notificaciones desacoplado y con reintentos, y mantener las notificaciones dentro del sistema como respaldo.</t>
  </si>
  <si>
    <t>Revisar los envíos fallidos en cada sprint.</t>
  </si>
  <si>
    <t>Complejidad en la integración de Keycloak con React</t>
  </si>
  <si>
    <t>Poca experiencia del equipo integrando un proveedor de identidad (Keycloak, OIDC y tokens JWT) con el frontend.</t>
  </si>
  <si>
    <t>Atraso en el inicio de sesión, que es la base de todas las demás funcionalidades
(Objetivo 3)</t>
  </si>
  <si>
    <t>Durante el Sprint 1, debido a la complejidad de integrar Keycloak con React, el inicio de sesión podría tomar más tiempo del planificado.</t>
  </si>
  <si>
    <t>Estudiar la documentación de Keycloak al inicio del Sprint 1, partir con una prueba de concepto del inicio de sesión y documentar la configuración en el repositorio.</t>
  </si>
  <si>
    <t>Revisar en las Daily Meetings el avance de la integración del inicio de sesión.</t>
  </si>
  <si>
    <t>Pérdida o duplicación de mensajes entre microservicios</t>
  </si>
  <si>
    <t>Comunicación asíncrona por cola de mensajes entre el sistema principal y los microservicios de IA y notificaciones.</t>
  </si>
  <si>
    <t>Solicitudes con estados inconsistentes o notificaciones repetidas
(Objetivos 3 y 4)</t>
  </si>
  <si>
    <t>Durante el procesamiento de solicitudes, debido a la caída de un consumidor o a reintentos, un mensaje podría perderse o procesarse dos veces.</t>
  </si>
  <si>
    <t>Usar colas durables con confirmación manual (ack), consumidores idempotentes y una cola de mensajes fallidos (dead-letter) para reprocesarlos.</t>
  </si>
  <si>
    <t>Revisar la cola de mensajes fallidos en cada corrida de pruebas de integración.</t>
  </si>
  <si>
    <t>Decisiones concurrentes sobre una misma solicitud</t>
  </si>
  <si>
    <t>Varios revisores pueden actuar sobre la misma etapa del flujo de aprobación al mismo tiempo.</t>
  </si>
  <si>
    <t>Solicitudes en estados inválidos o etapas del flujo omitidas
(Objetivo 3)</t>
  </si>
  <si>
    <t>Durante la revisión de solicitudes, debido a dos decisiones simultáneas, la solicitud podría quedar en un estado inválido o saltar una etapa.</t>
  </si>
  <si>
    <t>Aplicar bloqueo optimista con versión en la entidad, validar cada transición de estado en el backend y agregar pruebas de concurrencia.</t>
  </si>
  <si>
    <t>Revisar el resultado de las pruebas de concurrencia del flujo.</t>
  </si>
  <si>
    <t>Carga de archivos maliciosos o de tamaño excesivo</t>
  </si>
  <si>
    <t>El sistema recibe documentos adjuntos subidos por los usuarios.</t>
  </si>
  <si>
    <t>Almacenamiento comprometido o servicio sin recursos
(Objetivos 2 y 3)</t>
  </si>
  <si>
    <t>Durante el registro de solicitudes, debido a la carga de archivos sin validar, un archivo malicioso o muy grande podría comprometer el almacenamiento o saturar el servicio.</t>
  </si>
  <si>
    <t>Validar el tipo real del archivo (MIME) y su extensión, limitar el tamaño, guardarlo en almacenamiento de objetos con nombre generado y permitir la descarga solo a usuarios autorizados.</t>
  </si>
  <si>
    <t>Incluir en las pruebas de seguridad la carga de archivos no permitidos y de gran tamaño.</t>
  </si>
  <si>
    <t>Exposición de datos sensibles o manipulación del prompt en el servicio de IA</t>
  </si>
  <si>
    <t>El contenido de los documentos se envía a un modelo de IA externo como parte del prompt.</t>
  </si>
  <si>
    <t>Datos del cliente expuestos a un tercero o evaluaciones alteradas
(Objetivo 4)</t>
  </si>
  <si>
    <t>Durante el análisis de documentos, debido a que su contenido se envía al proveedor externo, podrían exponerse datos sensibles o un documento con instrucciones ocultas podría alterar la evaluación.</t>
  </si>
  <si>
    <t>Enviar solo los campos necesarios, enmascarar RUT y correos, separar las instrucciones del contenido del documento y validar la respuesta contra un esquema JSON.</t>
  </si>
  <si>
    <t>Revisar en las pruebas de IA qué datos se envían al proveedor y si las respuestas cumplen el esquema.</t>
  </si>
  <si>
    <t>Errores en la evolución del esquema de base de datos</t>
  </si>
  <si>
    <t>Modelo de datos que cambiará en cada sprint (flujos, áreas, planillas).</t>
  </si>
  <si>
    <t>Pérdida de datos o ambientes con esquemas distintos
(Objetivo 2)</t>
  </si>
  <si>
    <t>Durante la integración de cada sprint, debido a cambios manuales en el esquema, los datos existentes podrían romperse o los ambientes de los integrantes podrían quedar con esquemas distintos.</t>
  </si>
  <si>
    <t>Versionar el esquema con migraciones automáticas (Flyway) y probarlas sobre una base con datos antes de integrarlas.</t>
  </si>
  <si>
    <t>Verificar que las migraciones se apliquen sin errores al levantar el ambiente.</t>
  </si>
  <si>
    <t>Expiración del token de sesión durante una operación</t>
  </si>
  <si>
    <t>Autenticación con tokens JWT de duración limitada emitidos por Keycloak.</t>
  </si>
  <si>
    <t>Pérdida de la información ingresada por el usuario
(Objetivo 3)</t>
  </si>
  <si>
    <t>Durante el registro de una solicitud, debido a que el token expira, el envío podría ser rechazado y el usuario perder lo ingresado.</t>
  </si>
  <si>
    <t>Renovar el token automáticamente con el refresh token y manejar las respuestas 401 en el frontend sin perder el formulario.</t>
  </si>
  <si>
    <t>Probar formularios largos con tokens de corta duración.</t>
  </si>
  <si>
    <t>ATRIBUTO</t>
  </si>
  <si>
    <t>DESCRIPCION</t>
  </si>
  <si>
    <t>REFERENCIAS del PLAN DE GESTIÓN DE RIESGOS</t>
  </si>
  <si>
    <t>Nombre de la empresa cliente</t>
  </si>
  <si>
    <t>Nombre del equipo que desarrolla el proyecto para el cliente</t>
  </si>
  <si>
    <t>Nivel de Probabilidad</t>
  </si>
  <si>
    <t>Valores Probabilidad</t>
  </si>
  <si>
    <t>Comentario</t>
  </si>
  <si>
    <t>Nombre dado al Proyecto</t>
  </si>
  <si>
    <t>Podría ocurrir</t>
  </si>
  <si>
    <t>Director del Proyecto</t>
  </si>
  <si>
    <t>Nombre de quien de la empresa liderará el Proyecto</t>
  </si>
  <si>
    <t>Es bastante probable</t>
  </si>
  <si>
    <t>Corresponde a la Fecha de Inicio del Proyecto</t>
  </si>
  <si>
    <t>Es casi seguro</t>
  </si>
  <si>
    <t>Corresponde a la Fecha de Termino del Proyecto</t>
  </si>
  <si>
    <t>Fecha de la Identificación del Riesgo</t>
  </si>
  <si>
    <t>Nivel Impacto</t>
  </si>
  <si>
    <t>Valores de Impacto</t>
  </si>
  <si>
    <t>Codigo Automatico : Identificación Unica del Riesgo. (3 primeras letras de la Categoria + correlativo)</t>
  </si>
  <si>
    <t>Atraso menor a un 20%</t>
  </si>
  <si>
    <t>Componente</t>
  </si>
  <si>
    <t>Componente del Proyecto al cual pertenece el Riesgo (GESTIÓN DEL PROYECTO, DESARROLLO BACKEND, DESARROLLO FRONTEND, INTEGRACIÓN IA, INFRAESTRUCTURA, PRUEBAS Y CALIDAD, DESPLIEGUE Y CIERRE)</t>
  </si>
  <si>
    <t>Atraso entre 20% y 50%</t>
  </si>
  <si>
    <t>Categoría definida en el RBS al cual se asocia el Riesgo. Deben ser exactamente las mismas.</t>
  </si>
  <si>
    <t>Proyecto fracasa o atraso de más de 100%</t>
  </si>
  <si>
    <t>Glosa del Riesgo</t>
  </si>
  <si>
    <t>Causal, Origen o Situación en la cual se produciría el riesgo</t>
  </si>
  <si>
    <t>Objetivo del Proyecto que es impactado</t>
  </si>
  <si>
    <t>Breve Descripción del Riesgo</t>
  </si>
  <si>
    <t>Posibilidad de Ocurrencia del Riesgo (Alta, Media, Baja)</t>
  </si>
  <si>
    <t>Valor de Probabilidad</t>
  </si>
  <si>
    <t>Calculo Automatico (Alta:3; Media:2; Baja:1)</t>
  </si>
  <si>
    <t>Impacto en el proyecto si se materializa el riesgo (Alto, Medio, Bajo)</t>
  </si>
  <si>
    <t>Valor Impacto</t>
  </si>
  <si>
    <t>Calculo Automatico (Alto:3; Medio:2; Bajo:1)</t>
  </si>
  <si>
    <t>Calculo Automatico : Valor Probabilidad * Valor Impacto</t>
  </si>
  <si>
    <t>Asignado a (Responsable)</t>
  </si>
  <si>
    <t>Integrante del equipo que dará seguimiento al Riesgo durante el Proyecto</t>
  </si>
  <si>
    <t>Estrategia a seguir con el riesgo (Aceptar; Evitar; Mitigar)</t>
  </si>
  <si>
    <t>Plan de Acción</t>
  </si>
  <si>
    <t>Acciones a seguir conforme la estrategia definida</t>
  </si>
  <si>
    <t>Plan de Acción para monitorear el Riesgo.</t>
  </si>
  <si>
    <t>Periodo que indica cada cuando tiempo se efectua el monitoreo</t>
  </si>
  <si>
    <t>Rol a quien se comunica el resultado del monitoreo</t>
  </si>
  <si>
    <t>COMPONENTES</t>
  </si>
  <si>
    <t>CATEGORIAS</t>
  </si>
  <si>
    <t>OBJETIVOS</t>
  </si>
  <si>
    <t>RESPONSABLES</t>
  </si>
  <si>
    <t>DESTINATARIOS</t>
  </si>
  <si>
    <t>O1: Levantar y sistematizar los requerimientos funcionales y no funcionales mediante épicas e historias de usuario acordadas con Masterbase.</t>
  </si>
  <si>
    <t>O2: Diseñar e implementar un modelo de datos estructurado y escalable para usuarios, roles, plantillas dinámicas, solicitudes y auditoría.</t>
  </si>
  <si>
    <t>O3: Construir un motor configurable de flujos de aprobación con autenticación y autorización basada en roles (RBAC) y notificaciones automáticas.</t>
  </si>
  <si>
    <t>O4: Integrar un módulo de inteligencia artificial para asistir en la extracción, revisión y autocompletado de documentos.</t>
  </si>
  <si>
    <t>O5: Diseñar y ejecutar un plan de pruebas funcionales y de integración que asegure la calidad antes de la entrega.</t>
  </si>
  <si>
    <t>O6: Gestionar y documentar el proyecto con Scrum, generando las evidencias de cada etapa.</t>
  </si>
  <si>
    <t>Criterios de aceptación ambiguos o definiciones organizacionales incompletas que generan retrabajo</t>
  </si>
  <si>
    <t>Reglas de negocio poco definidas y falta de información validada sobre áreas, jerarquías, responsables y reglas de acceso.</t>
  </si>
  <si>
    <t>Durante la implementación de cada historia, si los criterios o las definiciones de áreas, jerarquías, responsables y accesos no están validados, el equipo podría construir sobre supuestos y necesitar retrabajo.</t>
  </si>
  <si>
    <t>Validar los criterios de aceptación y solicitar las definiciones de áreas, jerarquías, responsables y reglas de acceso antes de implementar los módulos dependientes; registrar los supuestos y acordar una fecha para resolverlos.</t>
  </si>
  <si>
    <t>Revisar semanalmente las definiciones y supuestos pendientes; contar en cada Sprint Review las observaciones que implican retrabajo.</t>
  </si>
  <si>
    <t>Semanal y por sprint</t>
  </si>
  <si>
    <t>GES-004</t>
  </si>
  <si>
    <t>Concentración del conocimiento técnico en un integrante</t>
  </si>
  <si>
    <t>Especialización de tareas y falta de transferencia de conocimiento en un equipo de tres personas.</t>
  </si>
  <si>
    <t>Dependencia de un integrante para mantener, demostrar o explicar módulos del sistema
(Objetivos 5 y 6)</t>
  </si>
  <si>
    <t>Durante el desarrollo y la defensa, si el conocimiento de un módulo queda en una sola persona, su ausencia podría bloquear tareas o dificultar la explicación del sistema.</t>
  </si>
  <si>
    <t>Mantener documentación compartida, explicar los módulos al equipo y asignar un integrante de respaldo por componente.</t>
  </si>
  <si>
    <t>Comprobar en cada retrospectiva que el integrante de respaldo pueda levantar y explicar el módulo con la documentación disponible.</t>
  </si>
  <si>
    <t>EXT-003</t>
  </si>
  <si>
    <t>Baja disponibilidad de la Product Owner para validar entregas</t>
  </si>
  <si>
    <t>Agenda del cliente y falta de fechas o plazos acordados para revisar incrementos y resolver observaciones.</t>
  </si>
  <si>
    <t>Demoras en la aceptación de historias y el cierre del proyecto
(Objetivos 1 y 6)</t>
  </si>
  <si>
    <t>Durante las revisiones y el cierre, si la Product Owner no dispone de tiempo para validar entregas, podrían acumularse observaciones y postergarse la aceptación.</t>
  </si>
  <si>
    <t>Acordar anticipadamente fechas de revisión y plazos para resolver observaciones; enviar el material antes de cada reunión y registrar los acuerdos.</t>
  </si>
  <si>
    <t>Confirmar semanalmente la próxima revisión y controlar las validaciones u observaciones pendientes de respuesta.</t>
  </si>
  <si>
    <t>TEC-013</t>
  </si>
  <si>
    <t>Latencia alta, respuestas inconsistentes o caída del servicio de IA</t>
  </si>
  <si>
    <t>Definir los contratos de API antes de implementar y usar mocks para que frontend y backend avancen en paralelo.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</si>
</sst>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5">
    <font>
      <sz val="10"/>
      <color rgb="FF000000"/>
      <name val="Arial"/>
      <scheme val="minor"/>
    </font>
    <font>
      <b/>
      <sz val="14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10"/>
      <color theme="1"/>
      <name val="Century Gothic"/>
    </font>
    <font>
      <sz val="10"/>
      <name val="Arial"/>
    </font>
    <font>
      <sz val="10"/>
      <color rgb="FF000000"/>
      <name val="Arial"/>
    </font>
    <font>
      <b/>
      <sz val="8"/>
      <color theme="1"/>
      <name val="Century Gothic"/>
    </font>
    <font>
      <sz val="10"/>
      <color theme="1"/>
      <name val="Century Gothic"/>
    </font>
    <font>
      <b/>
      <sz val="18"/>
      <color theme="1"/>
      <name val="Century Gothic"/>
    </font>
    <font>
      <sz val="11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color rgb="FFFFFFFF"/>
      <name val="Arial"/>
    </font>
    <font>
      <sz val="9"/>
      <color theme="1"/>
      <name val="Arial"/>
    </font>
    <font>
      <b/>
      <sz val="14"/>
      <color rgb="FF002060"/>
      <name val="Century Gothic"/>
    </font>
    <font>
      <sz val="11"/>
      <color rgb="FF1F1F1F"/>
      <name val="Google Sans"/>
    </font>
    <font>
      <sz val="10"/>
      <color theme="0"/>
      <name val="Century Gothic"/>
    </font>
    <font>
      <sz val="10"/>
      <color rgb="FF000000"/>
      <name val="Century Gothic"/>
    </font>
    <font>
      <b/>
      <sz val="11"/>
      <color rgb="FF002060"/>
      <name val="Century Gothic"/>
    </font>
    <font>
      <sz val="10"/>
      <color theme="1"/>
      <name val="Arial"/>
    </font>
    <font>
      <b/>
      <sz val="18"/>
      <color rgb="FF002060"/>
      <name val="Century Gothic"/>
    </font>
    <font>
      <b/>
      <sz val="18"/>
      <color rgb="FF000000"/>
      <name val="Century Gothic"/>
    </font>
    <font>
      <sz val="9"/>
      <color theme="1"/>
      <name val="Arial"/>
      <family val="2"/>
    </font>
    <font>
      <sz val="10"/>
      <color theme="1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D8D8D8"/>
      </patternFill>
    </fill>
    <fill>
      <patternFill patternType="solid">
        <fgColor rgb="FFFFCC99"/>
      </patternFill>
    </fill>
    <fill>
      <patternFill patternType="solid">
        <fgColor rgb="FFFFFFFF"/>
      </patternFill>
    </fill>
    <fill>
      <patternFill patternType="solid">
        <fgColor rgb="FFEAF1DD"/>
      </patternFill>
    </fill>
    <fill>
      <patternFill patternType="solid">
        <fgColor rgb="FFF2DBDB"/>
      </patternFill>
    </fill>
    <fill>
      <patternFill patternType="solid">
        <fgColor theme="0"/>
      </patternFill>
    </fill>
    <fill>
      <patternFill patternType="solid">
        <fgColor rgb="FFC0C0C0"/>
      </patternFill>
    </fill>
    <fill>
      <patternFill patternType="solid">
        <fgColor rgb="FFDAEEF3"/>
      </patternFill>
    </fill>
    <fill>
      <patternFill patternType="solid">
        <fgColor rgb="FF008000"/>
      </patternFill>
    </fill>
    <fill>
      <patternFill patternType="solid">
        <fgColor rgb="FFFFFF00"/>
      </patternFill>
    </fill>
    <fill>
      <patternFill patternType="solid">
        <fgColor rgb="FFFDE9D9"/>
      </patternFill>
    </fill>
    <fill>
      <patternFill patternType="solid">
        <fgColor rgb="FFFF0000"/>
      </patternFill>
    </fill>
    <fill>
      <patternFill patternType="solid">
        <fgColor rgb="FFE5DFEC"/>
      </patternFill>
    </fill>
    <fill>
      <patternFill patternType="solid">
        <fgColor rgb="FF006600"/>
      </patternFill>
    </fill>
  </fills>
  <borders count="6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medium">
        <color rgb="FF000000"/>
      </top>
      <bottom style="hair">
        <color rgb="FF000000"/>
      </bottom>
      <diagonal/>
    </border>
    <border>
      <left/>
      <right/>
      <top style="medium">
        <color rgb="FF000000"/>
      </top>
      <bottom style="hair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0" xfId="0" applyFont="1"/>
    <xf numFmtId="0" fontId="4" fillId="3" borderId="5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3" borderId="11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vertical="center"/>
    </xf>
    <xf numFmtId="0" fontId="8" fillId="5" borderId="1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horizontal="left" wrapText="1"/>
    </xf>
    <xf numFmtId="0" fontId="6" fillId="8" borderId="14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horizontal="center" wrapText="1"/>
    </xf>
    <xf numFmtId="0" fontId="11" fillId="5" borderId="14" xfId="0" applyFont="1" applyFill="1" applyBorder="1" applyAlignment="1">
      <alignment vertical="center" wrapText="1"/>
    </xf>
    <xf numFmtId="0" fontId="8" fillId="5" borderId="14" xfId="0" applyFont="1" applyFill="1" applyBorder="1" applyAlignment="1">
      <alignment horizontal="center" vertical="center" wrapText="1"/>
    </xf>
    <xf numFmtId="164" fontId="8" fillId="10" borderId="17" xfId="0" applyNumberFormat="1" applyFont="1" applyFill="1" applyBorder="1" applyAlignment="1">
      <alignment horizontal="center" vertical="center" wrapText="1"/>
    </xf>
    <xf numFmtId="0" fontId="12" fillId="9" borderId="5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vertical="center" wrapText="1"/>
    </xf>
    <xf numFmtId="0" fontId="6" fillId="6" borderId="5" xfId="0" applyFont="1" applyFill="1" applyBorder="1" applyAlignment="1">
      <alignment horizontal="center"/>
    </xf>
    <xf numFmtId="0" fontId="12" fillId="9" borderId="18" xfId="0" applyFont="1" applyFill="1" applyBorder="1" applyAlignment="1">
      <alignment horizontal="center" vertical="center" wrapText="1"/>
    </xf>
    <xf numFmtId="0" fontId="12" fillId="9" borderId="19" xfId="0" applyFont="1" applyFill="1" applyBorder="1" applyAlignment="1">
      <alignment horizontal="center" vertical="center" wrapText="1"/>
    </xf>
    <xf numFmtId="0" fontId="11" fillId="9" borderId="5" xfId="0" applyFont="1" applyFill="1" applyBorder="1" applyAlignment="1">
      <alignment horizontal="center" vertical="center" wrapText="1"/>
    </xf>
    <xf numFmtId="0" fontId="13" fillId="11" borderId="5" xfId="0" applyFont="1" applyFill="1" applyBorder="1" applyAlignment="1">
      <alignment horizontal="center" vertical="center" wrapText="1"/>
    </xf>
    <xf numFmtId="0" fontId="13" fillId="11" borderId="19" xfId="0" applyFont="1" applyFill="1" applyBorder="1" applyAlignment="1">
      <alignment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vertical="center"/>
    </xf>
    <xf numFmtId="0" fontId="8" fillId="10" borderId="17" xfId="0" applyFont="1" applyFill="1" applyBorder="1" applyAlignment="1">
      <alignment horizontal="center" vertical="center" wrapText="1"/>
    </xf>
    <xf numFmtId="0" fontId="12" fillId="3" borderId="22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vertical="center" wrapText="1"/>
    </xf>
    <xf numFmtId="0" fontId="11" fillId="12" borderId="18" xfId="0" applyFont="1" applyFill="1" applyBorder="1" applyAlignment="1">
      <alignment horizontal="center" vertical="center" wrapText="1"/>
    </xf>
    <xf numFmtId="0" fontId="11" fillId="12" borderId="19" xfId="0" applyFont="1" applyFill="1" applyBorder="1" applyAlignment="1">
      <alignment vertical="center" wrapText="1"/>
    </xf>
    <xf numFmtId="0" fontId="14" fillId="10" borderId="5" xfId="0" applyFont="1" applyFill="1" applyBorder="1" applyAlignment="1">
      <alignment horizontal="center" vertical="center" wrapText="1"/>
    </xf>
    <xf numFmtId="0" fontId="15" fillId="5" borderId="14" xfId="0" applyFont="1" applyFill="1" applyBorder="1" applyAlignment="1">
      <alignment vertical="center" wrapText="1"/>
    </xf>
    <xf numFmtId="0" fontId="6" fillId="0" borderId="0" xfId="0" applyFont="1" applyAlignment="1">
      <alignment horizontal="center"/>
    </xf>
    <xf numFmtId="0" fontId="8" fillId="5" borderId="14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2" fillId="3" borderId="27" xfId="0" applyFont="1" applyFill="1" applyBorder="1" applyAlignment="1">
      <alignment horizontal="center" vertical="center" wrapText="1"/>
    </xf>
    <xf numFmtId="0" fontId="13" fillId="14" borderId="5" xfId="0" applyFont="1" applyFill="1" applyBorder="1" applyAlignment="1">
      <alignment horizontal="center" vertical="center" wrapText="1"/>
    </xf>
    <xf numFmtId="0" fontId="13" fillId="14" borderId="18" xfId="0" applyFont="1" applyFill="1" applyBorder="1" applyAlignment="1">
      <alignment horizontal="center" vertical="center" wrapText="1"/>
    </xf>
    <xf numFmtId="0" fontId="13" fillId="14" borderId="30" xfId="0" applyFont="1" applyFill="1" applyBorder="1" applyAlignment="1">
      <alignment vertical="center" wrapText="1"/>
    </xf>
    <xf numFmtId="0" fontId="7" fillId="3" borderId="32" xfId="0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vertical="center" wrapText="1"/>
    </xf>
    <xf numFmtId="0" fontId="3" fillId="0" borderId="33" xfId="0" applyFont="1" applyBorder="1" applyAlignment="1">
      <alignment vertical="center"/>
    </xf>
    <xf numFmtId="0" fontId="16" fillId="6" borderId="5" xfId="0" applyFont="1" applyFill="1" applyBorder="1" applyAlignment="1">
      <alignment horizontal="center" vertical="center" wrapText="1"/>
    </xf>
    <xf numFmtId="0" fontId="17" fillId="14" borderId="14" xfId="0" applyFont="1" applyFill="1" applyBorder="1" applyAlignment="1">
      <alignment horizontal="center" vertical="center" wrapText="1"/>
    </xf>
    <xf numFmtId="9" fontId="17" fillId="14" borderId="14" xfId="0" applyNumberFormat="1" applyFont="1" applyFill="1" applyBorder="1" applyAlignment="1">
      <alignment horizontal="center" vertical="center" wrapText="1"/>
    </xf>
    <xf numFmtId="9" fontId="17" fillId="8" borderId="14" xfId="0" applyNumberFormat="1" applyFont="1" applyFill="1" applyBorder="1" applyAlignment="1">
      <alignment horizontal="left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vertical="center"/>
    </xf>
    <xf numFmtId="0" fontId="8" fillId="12" borderId="14" xfId="0" applyFont="1" applyFill="1" applyBorder="1" applyAlignment="1">
      <alignment vertical="center" wrapText="1"/>
    </xf>
    <xf numFmtId="0" fontId="8" fillId="12" borderId="14" xfId="0" applyFont="1" applyFill="1" applyBorder="1" applyAlignment="1">
      <alignment horizontal="center" vertical="center" wrapText="1"/>
    </xf>
    <xf numFmtId="0" fontId="12" fillId="9" borderId="38" xfId="0" applyFont="1" applyFill="1" applyBorder="1" applyAlignment="1">
      <alignment horizontal="center" vertical="center" wrapText="1"/>
    </xf>
    <xf numFmtId="9" fontId="8" fillId="12" borderId="14" xfId="0" applyNumberFormat="1" applyFont="1" applyFill="1" applyBorder="1" applyAlignment="1">
      <alignment horizontal="center" vertical="center" wrapText="1"/>
    </xf>
    <xf numFmtId="0" fontId="8" fillId="6" borderId="17" xfId="0" applyFont="1" applyFill="1" applyBorder="1" applyAlignment="1">
      <alignment horizontal="center" vertical="center" wrapText="1"/>
    </xf>
    <xf numFmtId="9" fontId="8" fillId="8" borderId="14" xfId="0" applyNumberFormat="1" applyFont="1" applyFill="1" applyBorder="1" applyAlignment="1">
      <alignment horizontal="left" vertical="center" wrapText="1"/>
    </xf>
    <xf numFmtId="0" fontId="13" fillId="11" borderId="19" xfId="0" applyFont="1" applyFill="1" applyBorder="1" applyAlignment="1">
      <alignment horizontal="left" vertical="top" wrapText="1"/>
    </xf>
    <xf numFmtId="0" fontId="11" fillId="12" borderId="19" xfId="0" applyFont="1" applyFill="1" applyBorder="1" applyAlignment="1">
      <alignment horizontal="left" vertical="top" wrapText="1"/>
    </xf>
    <xf numFmtId="0" fontId="13" fillId="14" borderId="42" xfId="0" applyFont="1" applyFill="1" applyBorder="1" applyAlignment="1">
      <alignment horizontal="center" vertical="center" wrapText="1"/>
    </xf>
    <xf numFmtId="0" fontId="18" fillId="15" borderId="17" xfId="0" applyFont="1" applyFill="1" applyBorder="1" applyAlignment="1">
      <alignment horizontal="center" vertical="center" wrapText="1"/>
    </xf>
    <xf numFmtId="0" fontId="13" fillId="14" borderId="43" xfId="0" applyFont="1" applyFill="1" applyBorder="1" applyAlignment="1">
      <alignment horizontal="center" vertical="center" wrapText="1"/>
    </xf>
    <xf numFmtId="0" fontId="17" fillId="16" borderId="14" xfId="0" applyFont="1" applyFill="1" applyBorder="1" applyAlignment="1">
      <alignment vertical="center" wrapText="1"/>
    </xf>
    <xf numFmtId="0" fontId="8" fillId="15" borderId="17" xfId="0" applyFont="1" applyFill="1" applyBorder="1" applyAlignment="1">
      <alignment horizontal="center" vertical="center" wrapText="1"/>
    </xf>
    <xf numFmtId="0" fontId="13" fillId="14" borderId="30" xfId="0" applyFont="1" applyFill="1" applyBorder="1" applyAlignment="1">
      <alignment horizontal="left" vertical="top" wrapText="1"/>
    </xf>
    <xf numFmtId="0" fontId="17" fillId="16" borderId="14" xfId="0" applyFont="1" applyFill="1" applyBorder="1" applyAlignment="1">
      <alignment horizontal="center" vertical="center" wrapText="1"/>
    </xf>
    <xf numFmtId="0" fontId="18" fillId="7" borderId="44" xfId="0" applyFont="1" applyFill="1" applyBorder="1" applyAlignment="1">
      <alignment horizontal="center" vertical="center" wrapText="1"/>
    </xf>
    <xf numFmtId="9" fontId="17" fillId="16" borderId="14" xfId="0" applyNumberFormat="1" applyFont="1" applyFill="1" applyBorder="1" applyAlignment="1">
      <alignment horizontal="center" vertical="center" wrapText="1"/>
    </xf>
    <xf numFmtId="0" fontId="12" fillId="3" borderId="45" xfId="0" applyFont="1" applyFill="1" applyBorder="1" applyAlignment="1">
      <alignment horizontal="center" vertical="center" wrapText="1"/>
    </xf>
    <xf numFmtId="164" fontId="11" fillId="0" borderId="46" xfId="0" applyNumberFormat="1" applyFont="1" applyBorder="1" applyAlignment="1">
      <alignment horizontal="center" vertical="center" wrapText="1"/>
    </xf>
    <xf numFmtId="0" fontId="12" fillId="3" borderId="47" xfId="0" applyFont="1" applyFill="1" applyBorder="1" applyAlignment="1">
      <alignment horizontal="center" vertical="center" wrapText="1"/>
    </xf>
    <xf numFmtId="0" fontId="8" fillId="10" borderId="48" xfId="0" applyFont="1" applyFill="1" applyBorder="1" applyAlignment="1">
      <alignment horizontal="center" vertical="center" wrapText="1"/>
    </xf>
    <xf numFmtId="164" fontId="11" fillId="0" borderId="49" xfId="0" applyNumberFormat="1" applyFont="1" applyBorder="1" applyAlignment="1">
      <alignment horizontal="center" vertical="center" wrapText="1"/>
    </xf>
    <xf numFmtId="0" fontId="15" fillId="8" borderId="14" xfId="0" applyFont="1" applyFill="1" applyBorder="1" applyAlignment="1">
      <alignment vertical="center" wrapText="1"/>
    </xf>
    <xf numFmtId="0" fontId="19" fillId="8" borderId="14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vertical="center" wrapText="1"/>
    </xf>
    <xf numFmtId="0" fontId="11" fillId="8" borderId="14" xfId="0" applyFont="1" applyFill="1" applyBorder="1" applyAlignment="1">
      <alignment horizontal="center" vertical="center" wrapText="1"/>
    </xf>
    <xf numFmtId="0" fontId="8" fillId="6" borderId="48" xfId="0" applyFont="1" applyFill="1" applyBorder="1" applyAlignment="1">
      <alignment horizontal="center" vertical="center" wrapText="1"/>
    </xf>
    <xf numFmtId="0" fontId="11" fillId="8" borderId="14" xfId="0" applyFont="1" applyFill="1" applyBorder="1" applyAlignment="1">
      <alignment vertical="center" wrapText="1"/>
    </xf>
    <xf numFmtId="0" fontId="18" fillId="15" borderId="4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8" fillId="15" borderId="48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10" borderId="52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8" borderId="53" xfId="0" applyFont="1" applyFill="1" applyBorder="1" applyAlignment="1">
      <alignment vertical="center" wrapText="1"/>
    </xf>
    <xf numFmtId="164" fontId="8" fillId="10" borderId="48" xfId="0" applyNumberFormat="1" applyFont="1" applyFill="1" applyBorder="1" applyAlignment="1">
      <alignment horizontal="center" vertical="center" wrapText="1"/>
    </xf>
    <xf numFmtId="0" fontId="8" fillId="13" borderId="48" xfId="0" applyFont="1" applyFill="1" applyBorder="1" applyAlignment="1">
      <alignment horizontal="center" vertical="center" wrapText="1"/>
    </xf>
    <xf numFmtId="0" fontId="8" fillId="6" borderId="54" xfId="0" applyFont="1" applyFill="1" applyBorder="1" applyAlignment="1">
      <alignment horizontal="center" vertical="center" wrapText="1"/>
    </xf>
    <xf numFmtId="164" fontId="8" fillId="10" borderId="57" xfId="0" applyNumberFormat="1" applyFont="1" applyFill="1" applyBorder="1" applyAlignment="1">
      <alignment horizontal="center" vertical="center" wrapText="1"/>
    </xf>
    <xf numFmtId="0" fontId="8" fillId="10" borderId="57" xfId="0" applyFont="1" applyFill="1" applyBorder="1" applyAlignment="1">
      <alignment horizontal="center" vertical="center" wrapText="1"/>
    </xf>
    <xf numFmtId="0" fontId="8" fillId="13" borderId="57" xfId="0" applyFont="1" applyFill="1" applyBorder="1" applyAlignment="1">
      <alignment horizontal="center" vertical="center" wrapText="1"/>
    </xf>
    <xf numFmtId="0" fontId="8" fillId="6" borderId="57" xfId="0" applyFont="1" applyFill="1" applyBorder="1" applyAlignment="1">
      <alignment horizontal="center" vertical="center" wrapText="1"/>
    </xf>
    <xf numFmtId="0" fontId="18" fillId="15" borderId="57" xfId="0" applyFont="1" applyFill="1" applyBorder="1" applyAlignment="1">
      <alignment horizontal="center" vertical="center" wrapText="1"/>
    </xf>
    <xf numFmtId="0" fontId="8" fillId="15" borderId="57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vertical="center"/>
    </xf>
    <xf numFmtId="0" fontId="8" fillId="13" borderId="55" xfId="0" applyFont="1" applyFill="1" applyBorder="1" applyAlignment="1">
      <alignment horizontal="center" vertical="center" wrapText="1"/>
    </xf>
    <xf numFmtId="0" fontId="5" fillId="0" borderId="56" xfId="0" applyFont="1" applyBorder="1"/>
    <xf numFmtId="0" fontId="8" fillId="13" borderId="58" xfId="0" applyFont="1" applyFill="1" applyBorder="1" applyAlignment="1">
      <alignment horizontal="center" vertical="center" wrapText="1"/>
    </xf>
    <xf numFmtId="0" fontId="5" fillId="0" borderId="59" xfId="0" applyFont="1" applyBorder="1"/>
    <xf numFmtId="0" fontId="16" fillId="13" borderId="10" xfId="0" applyFont="1" applyFill="1" applyBorder="1" applyAlignment="1">
      <alignment horizontal="center" vertical="center" wrapText="1"/>
    </xf>
    <xf numFmtId="0" fontId="5" fillId="0" borderId="12" xfId="0" applyFont="1" applyBorder="1"/>
    <xf numFmtId="0" fontId="5" fillId="0" borderId="12" xfId="0" applyFont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9" fillId="15" borderId="50" xfId="0" applyFont="1" applyFill="1" applyBorder="1" applyAlignment="1">
      <alignment horizontal="center" vertical="center" wrapText="1"/>
    </xf>
    <xf numFmtId="0" fontId="5" fillId="0" borderId="51" xfId="0" applyFont="1" applyBorder="1"/>
    <xf numFmtId="0" fontId="22" fillId="7" borderId="50" xfId="0" applyFont="1" applyFill="1" applyBorder="1" applyAlignment="1">
      <alignment horizontal="center" vertical="center" wrapText="1"/>
    </xf>
    <xf numFmtId="0" fontId="8" fillId="5" borderId="23" xfId="0" applyFont="1" applyFill="1" applyBorder="1" applyAlignment="1">
      <alignment horizontal="center" vertical="center" wrapText="1"/>
    </xf>
    <xf numFmtId="0" fontId="5" fillId="0" borderId="24" xfId="0" applyFont="1" applyBorder="1"/>
    <xf numFmtId="0" fontId="5" fillId="0" borderId="25" xfId="0" applyFont="1" applyBorder="1"/>
    <xf numFmtId="0" fontId="11" fillId="0" borderId="28" xfId="0" applyFont="1" applyBorder="1" applyAlignment="1">
      <alignment horizontal="center" vertical="center" wrapText="1"/>
    </xf>
    <xf numFmtId="0" fontId="5" fillId="0" borderId="29" xfId="0" applyFont="1" applyBorder="1"/>
    <xf numFmtId="0" fontId="5" fillId="0" borderId="31" xfId="0" applyFont="1" applyBorder="1"/>
    <xf numFmtId="0" fontId="11" fillId="0" borderId="39" xfId="0" applyFont="1" applyBorder="1" applyAlignment="1">
      <alignment horizontal="center" vertical="center" wrapText="1"/>
    </xf>
    <xf numFmtId="0" fontId="5" fillId="0" borderId="40" xfId="0" applyFont="1" applyBorder="1"/>
    <xf numFmtId="0" fontId="5" fillId="0" borderId="41" xfId="0" applyFont="1" applyBorder="1"/>
    <xf numFmtId="0" fontId="21" fillId="10" borderId="50" xfId="0" applyFont="1" applyFill="1" applyBorder="1" applyAlignment="1">
      <alignment horizontal="center" vertical="center" wrapText="1"/>
    </xf>
    <xf numFmtId="0" fontId="21" fillId="13" borderId="50" xfId="0" applyFont="1" applyFill="1" applyBorder="1" applyAlignment="1">
      <alignment horizontal="center" vertical="center" wrapText="1"/>
    </xf>
    <xf numFmtId="0" fontId="21" fillId="6" borderId="50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5" fillId="0" borderId="7" xfId="0" applyFont="1" applyBorder="1"/>
    <xf numFmtId="0" fontId="5" fillId="0" borderId="9" xfId="0" applyFont="1" applyBorder="1"/>
    <xf numFmtId="0" fontId="12" fillId="9" borderId="10" xfId="0" applyFont="1" applyFill="1" applyBorder="1" applyAlignment="1">
      <alignment horizontal="center" vertical="center" wrapText="1"/>
    </xf>
    <xf numFmtId="0" fontId="5" fillId="0" borderId="16" xfId="0" applyFont="1" applyBorder="1"/>
    <xf numFmtId="0" fontId="12" fillId="9" borderId="26" xfId="0" applyFont="1" applyFill="1" applyBorder="1" applyAlignment="1">
      <alignment horizontal="center" vertical="center" wrapText="1"/>
    </xf>
    <xf numFmtId="0" fontId="5" fillId="0" borderId="34" xfId="0" applyFont="1" applyBorder="1"/>
    <xf numFmtId="0" fontId="5" fillId="0" borderId="37" xfId="0" applyFont="1" applyBorder="1"/>
    <xf numFmtId="0" fontId="23" fillId="10" borderId="5" xfId="0" applyFont="1" applyFill="1" applyBorder="1" applyAlignment="1">
      <alignment horizontal="center" vertical="center" wrapText="1"/>
    </xf>
    <xf numFmtId="0" fontId="24" fillId="15" borderId="48" xfId="0" applyFont="1" applyFill="1" applyBorder="1" applyAlignment="1">
      <alignment horizontal="center" vertical="center" wrapText="1"/>
    </xf>
    <xf numFmtId="0" fontId="23" fillId="13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FFFFFF"/>
      </font>
      <fill>
        <patternFill>
          <bgColor rgb="FF339966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  <dxf>
      <font>
        <b/>
        <color rgb="FFFFFFFF"/>
      </font>
      <fill>
        <patternFill>
          <bgColor rgb="FF339966"/>
        </patternFill>
      </fill>
    </dxf>
    <dxf>
      <font>
        <b/>
      </font>
      <fill>
        <patternFill>
          <bgColor rgb="FFFFFF00"/>
        </patternFill>
      </fill>
    </dxf>
    <dxf>
      <font>
        <b/>
        <color rgb="FFFFFFFF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50"/>
  <sheetViews>
    <sheetView tabSelected="1" topLeftCell="A25" workbookViewId="0">
      <selection activeCell="H31" sqref="H31"/>
    </sheetView>
  </sheetViews>
  <sheetFormatPr baseColWidth="10" defaultColWidth="12.5703125" defaultRowHeight="12.75"/>
  <cols>
    <col min="1" max="1" width="19.85546875" customWidth="1"/>
    <col min="2" max="2" width="14" customWidth="1"/>
    <col min="3" max="3" width="18.5703125" customWidth="1"/>
    <col min="4" max="4" width="15.42578125" customWidth="1"/>
    <col min="5" max="5" width="28.7109375" customWidth="1"/>
    <col min="6" max="6" width="16.140625" customWidth="1"/>
    <col min="7" max="7" width="30.7109375" customWidth="1"/>
    <col min="8" max="8" width="28.7109375" customWidth="1"/>
    <col min="9" max="9" width="14.42578125" customWidth="1"/>
    <col min="10" max="10" width="72.42578125" customWidth="1"/>
    <col min="11" max="11" width="23.42578125" customWidth="1"/>
    <col min="12" max="12" width="14.140625" customWidth="1"/>
    <col min="13" max="13" width="11.28515625" customWidth="1"/>
    <col min="14" max="14" width="16.7109375" customWidth="1"/>
    <col min="15" max="15" width="13.85546875" customWidth="1"/>
    <col min="16" max="16" width="48.7109375" customWidth="1"/>
    <col min="17" max="17" width="30.7109375" customWidth="1"/>
    <col min="19" max="19" width="14.7109375" customWidth="1"/>
  </cols>
  <sheetData>
    <row r="1" spans="1:25" ht="22.5">
      <c r="A1" s="100" t="s">
        <v>0</v>
      </c>
      <c r="B1" s="19"/>
      <c r="C1" s="19"/>
      <c r="D1" s="11"/>
      <c r="E1" s="22"/>
      <c r="F1" s="22"/>
      <c r="G1" s="11"/>
      <c r="H1" s="11"/>
      <c r="I1" s="11"/>
      <c r="J1" s="22"/>
      <c r="K1" s="16"/>
      <c r="L1" s="22"/>
      <c r="M1" s="22"/>
      <c r="N1" s="22"/>
      <c r="O1" s="22"/>
      <c r="P1" s="22"/>
      <c r="Q1" s="16"/>
      <c r="R1" s="16"/>
      <c r="S1" s="16"/>
      <c r="T1" s="16"/>
      <c r="U1" s="16"/>
      <c r="V1" s="16"/>
      <c r="W1" s="16"/>
      <c r="X1" s="16"/>
      <c r="Y1" s="16"/>
    </row>
    <row r="2" spans="1:25" ht="13.5">
      <c r="A2" s="11"/>
      <c r="B2" s="19"/>
      <c r="C2" s="19"/>
      <c r="D2" s="11"/>
      <c r="E2" s="22"/>
      <c r="F2" s="22"/>
      <c r="G2" s="11"/>
      <c r="H2" s="16"/>
      <c r="I2" s="16"/>
      <c r="J2" s="16"/>
      <c r="K2" s="16"/>
      <c r="L2" s="16"/>
      <c r="M2" s="16"/>
      <c r="N2" s="22"/>
      <c r="O2" s="22"/>
      <c r="P2" s="22"/>
      <c r="Q2" s="16"/>
      <c r="R2" s="16"/>
      <c r="S2" s="16"/>
      <c r="T2" s="16"/>
      <c r="U2" s="16"/>
      <c r="V2" s="16"/>
      <c r="W2" s="16"/>
      <c r="X2" s="16"/>
      <c r="Y2" s="16"/>
    </row>
    <row r="3" spans="1:25" ht="19.5" customHeight="1">
      <c r="A3" s="32" t="s">
        <v>1</v>
      </c>
      <c r="B3" s="112" t="s">
        <v>2</v>
      </c>
      <c r="C3" s="113"/>
      <c r="D3" s="114"/>
      <c r="E3" s="16"/>
      <c r="F3" s="16"/>
      <c r="G3" s="37" t="s">
        <v>3</v>
      </c>
      <c r="H3" s="11"/>
      <c r="I3" s="39"/>
      <c r="J3" s="40"/>
      <c r="K3" s="16"/>
      <c r="L3" s="16"/>
      <c r="M3" s="16"/>
      <c r="N3" s="22"/>
      <c r="O3" s="22"/>
      <c r="P3" s="22"/>
      <c r="Q3" s="16"/>
      <c r="R3" s="16"/>
      <c r="S3" s="16"/>
      <c r="T3" s="16"/>
      <c r="U3" s="16"/>
      <c r="V3" s="16"/>
      <c r="W3" s="16"/>
      <c r="X3" s="16"/>
      <c r="Y3" s="16"/>
    </row>
    <row r="4" spans="1:25" ht="19.5" customHeight="1">
      <c r="A4" s="42" t="s">
        <v>4</v>
      </c>
      <c r="B4" s="115" t="s">
        <v>5</v>
      </c>
      <c r="C4" s="116"/>
      <c r="D4" s="117"/>
      <c r="E4" s="16"/>
      <c r="F4" s="16"/>
      <c r="G4" s="47" t="s">
        <v>6</v>
      </c>
      <c r="H4" s="50">
        <f>COUNTIF($M$12:$M$233,"&gt;=6")</f>
        <v>1</v>
      </c>
      <c r="I4" s="51">
        <f t="shared" ref="I4:I6" si="0">H4/$H$7</f>
        <v>0.04</v>
      </c>
      <c r="J4" s="52"/>
      <c r="K4" s="16"/>
      <c r="L4" s="16"/>
      <c r="M4" s="16"/>
      <c r="N4" s="16"/>
      <c r="O4" s="22"/>
      <c r="P4" s="22"/>
      <c r="Q4" s="16"/>
      <c r="R4" s="16"/>
      <c r="S4" s="16"/>
      <c r="T4" s="16"/>
      <c r="U4" s="16"/>
      <c r="V4" s="16"/>
      <c r="W4" s="16"/>
      <c r="X4" s="16"/>
      <c r="Y4" s="16"/>
    </row>
    <row r="5" spans="1:25" ht="19.5" customHeight="1">
      <c r="A5" s="42" t="s">
        <v>7</v>
      </c>
      <c r="B5" s="115" t="s">
        <v>8</v>
      </c>
      <c r="C5" s="116"/>
      <c r="D5" s="117"/>
      <c r="E5" s="16"/>
      <c r="F5" s="16"/>
      <c r="G5" s="55" t="s">
        <v>9</v>
      </c>
      <c r="H5" s="56">
        <f>COUNTIF($M$12:$M$233,"&gt;=3")-H4</f>
        <v>17</v>
      </c>
      <c r="I5" s="58">
        <f t="shared" si="0"/>
        <v>0.68</v>
      </c>
      <c r="J5" s="60"/>
      <c r="K5" s="16"/>
      <c r="L5" s="16"/>
      <c r="M5" s="16"/>
      <c r="N5" s="16"/>
      <c r="O5" s="22"/>
      <c r="P5" s="22"/>
      <c r="Q5" s="16"/>
      <c r="R5" s="16"/>
      <c r="S5" s="16"/>
      <c r="T5" s="16"/>
      <c r="U5" s="16"/>
      <c r="V5" s="16"/>
      <c r="W5" s="16"/>
      <c r="X5" s="16"/>
      <c r="Y5" s="16"/>
    </row>
    <row r="6" spans="1:25" ht="19.5" customHeight="1">
      <c r="A6" s="42" t="s">
        <v>10</v>
      </c>
      <c r="B6" s="118" t="s">
        <v>11</v>
      </c>
      <c r="C6" s="119"/>
      <c r="D6" s="120"/>
      <c r="E6" s="16"/>
      <c r="F6" s="16"/>
      <c r="G6" s="66" t="s">
        <v>12</v>
      </c>
      <c r="H6" s="69">
        <f>COUNTIFS($M$12:$M$233,"&gt;0",$M$12:$M$233,"&lt;3")</f>
        <v>7</v>
      </c>
      <c r="I6" s="71">
        <f t="shared" si="0"/>
        <v>0.28000000000000003</v>
      </c>
      <c r="J6" s="52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</row>
    <row r="7" spans="1:25" ht="19.5" customHeight="1">
      <c r="A7" s="72" t="s">
        <v>13</v>
      </c>
      <c r="B7" s="73">
        <v>46244</v>
      </c>
      <c r="C7" s="74" t="s">
        <v>14</v>
      </c>
      <c r="D7" s="76">
        <v>46374</v>
      </c>
      <c r="E7" s="16"/>
      <c r="F7" s="16"/>
      <c r="G7" s="77" t="s">
        <v>15</v>
      </c>
      <c r="H7" s="78">
        <f>SUM(H4:H6)</f>
        <v>25</v>
      </c>
      <c r="I7" s="79"/>
      <c r="J7" s="79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</row>
    <row r="8" spans="1:25" ht="13.5">
      <c r="A8" s="22"/>
      <c r="B8" s="80"/>
      <c r="C8" s="80"/>
      <c r="D8" s="82"/>
      <c r="E8" s="82"/>
      <c r="F8" s="82"/>
      <c r="G8" s="84"/>
      <c r="H8" s="11"/>
      <c r="I8" s="11"/>
      <c r="J8" s="22"/>
      <c r="K8" s="16"/>
      <c r="L8" s="16"/>
      <c r="M8" s="16"/>
      <c r="N8" s="16"/>
      <c r="O8" s="22"/>
      <c r="P8" s="22"/>
      <c r="Q8" s="16"/>
      <c r="R8" s="16"/>
      <c r="S8" s="16"/>
      <c r="T8" s="16"/>
      <c r="U8" s="16"/>
      <c r="V8" s="16"/>
      <c r="W8" s="16"/>
      <c r="X8" s="16"/>
      <c r="Y8" s="16"/>
    </row>
    <row r="9" spans="1:25" ht="31.5" customHeight="1">
      <c r="A9" s="87"/>
      <c r="B9" s="19"/>
      <c r="C9" s="19"/>
      <c r="D9" s="11"/>
      <c r="E9" s="22"/>
      <c r="F9" s="22"/>
      <c r="G9" s="11"/>
      <c r="H9" s="11"/>
      <c r="I9" s="11"/>
      <c r="J9" s="22"/>
      <c r="K9" s="16"/>
      <c r="L9" s="16"/>
      <c r="M9" s="22"/>
      <c r="N9" s="22"/>
      <c r="O9" s="22"/>
      <c r="P9" s="22"/>
      <c r="Q9" s="16"/>
      <c r="R9" s="16"/>
      <c r="S9" s="16"/>
      <c r="T9" s="16"/>
      <c r="U9" s="16"/>
      <c r="V9" s="16"/>
      <c r="W9" s="16"/>
      <c r="X9" s="16"/>
      <c r="Y9" s="16"/>
    </row>
    <row r="10" spans="1:25" ht="31.5" customHeight="1">
      <c r="A10" s="121" t="s">
        <v>16</v>
      </c>
      <c r="B10" s="110"/>
      <c r="C10" s="110"/>
      <c r="D10" s="110"/>
      <c r="E10" s="110"/>
      <c r="F10" s="88"/>
      <c r="G10" s="122" t="s">
        <v>17</v>
      </c>
      <c r="H10" s="110"/>
      <c r="I10" s="110"/>
      <c r="J10" s="110"/>
      <c r="K10" s="123" t="s">
        <v>18</v>
      </c>
      <c r="L10" s="110"/>
      <c r="M10" s="110"/>
      <c r="N10" s="109" t="s">
        <v>19</v>
      </c>
      <c r="O10" s="110"/>
      <c r="P10" s="110"/>
      <c r="Q10" s="111" t="s">
        <v>20</v>
      </c>
      <c r="R10" s="110"/>
      <c r="S10" s="110"/>
      <c r="T10" s="16"/>
      <c r="U10" s="16"/>
      <c r="V10" s="16"/>
      <c r="W10" s="16"/>
      <c r="X10" s="16"/>
      <c r="Y10" s="16"/>
    </row>
    <row r="11" spans="1:25" ht="45" customHeight="1">
      <c r="A11" s="6" t="s">
        <v>21</v>
      </c>
      <c r="B11" s="6" t="s">
        <v>22</v>
      </c>
      <c r="C11" s="6" t="s">
        <v>23</v>
      </c>
      <c r="D11" s="6" t="s">
        <v>24</v>
      </c>
      <c r="E11" s="6" t="s">
        <v>25</v>
      </c>
      <c r="F11" s="6" t="s">
        <v>26</v>
      </c>
      <c r="G11" s="6" t="s">
        <v>27</v>
      </c>
      <c r="H11" s="6" t="s">
        <v>28</v>
      </c>
      <c r="I11" s="108" t="s">
        <v>29</v>
      </c>
      <c r="J11" s="106"/>
      <c r="K11" s="6" t="s">
        <v>30</v>
      </c>
      <c r="L11" s="6" t="s">
        <v>31</v>
      </c>
      <c r="M11" s="6" t="s">
        <v>32</v>
      </c>
      <c r="N11" s="6" t="s">
        <v>33</v>
      </c>
      <c r="O11" s="6" t="s">
        <v>34</v>
      </c>
      <c r="P11" s="6" t="s">
        <v>35</v>
      </c>
      <c r="Q11" s="13" t="s">
        <v>36</v>
      </c>
      <c r="R11" s="13" t="s">
        <v>37</v>
      </c>
      <c r="S11" s="13" t="s">
        <v>38</v>
      </c>
      <c r="T11" s="16"/>
      <c r="U11" s="16"/>
      <c r="V11" s="16"/>
      <c r="W11" s="16"/>
      <c r="X11" s="16"/>
      <c r="Y11" s="16"/>
    </row>
    <row r="12" spans="1:25" ht="62.1" customHeight="1">
      <c r="A12" s="20">
        <v>46293</v>
      </c>
      <c r="B12" s="31" t="str">
        <f t="shared" ref="B12:B233" si="1">IF(D12&lt;&gt;"",MID(D12,1,3)&amp;"-"&amp;TEXT(COUNTIF($D$12:D12,D12),"000"),"")</f>
        <v>GES-001</v>
      </c>
      <c r="C12" s="31" t="s">
        <v>39</v>
      </c>
      <c r="D12" s="31" t="s">
        <v>40</v>
      </c>
      <c r="E12" s="36" t="s">
        <v>41</v>
      </c>
      <c r="F12" s="31" t="s">
        <v>42</v>
      </c>
      <c r="G12" s="41" t="s">
        <v>43</v>
      </c>
      <c r="H12" s="41" t="s">
        <v>44</v>
      </c>
      <c r="I12" s="105" t="s">
        <v>45</v>
      </c>
      <c r="J12" s="107"/>
      <c r="K12" s="49" t="s">
        <v>46</v>
      </c>
      <c r="L12" s="49" t="s">
        <v>47</v>
      </c>
      <c r="M12" s="59">
        <f t="shared" ref="M12:M233" si="2">IF(OR(K12="",L12=""),"",IF(K12="Alta",3,IF(K12="Media",2,IF(K12="Baja",1,0)))*IF(L12="Alto",3,IF(L12="Medio",2,IF(L12="Bajo",1,0))))</f>
        <v>4</v>
      </c>
      <c r="N12" s="64" t="s">
        <v>11</v>
      </c>
      <c r="O12" s="67" t="s">
        <v>48</v>
      </c>
      <c r="P12" s="67" t="s">
        <v>49</v>
      </c>
      <c r="Q12" s="70" t="s">
        <v>50</v>
      </c>
      <c r="R12" s="70" t="s">
        <v>51</v>
      </c>
      <c r="S12" s="70" t="s">
        <v>52</v>
      </c>
      <c r="T12" s="16"/>
      <c r="U12" s="16"/>
      <c r="V12" s="16"/>
      <c r="W12" s="16"/>
      <c r="X12" s="16"/>
      <c r="Y12" s="16"/>
    </row>
    <row r="13" spans="1:25" ht="116.1" customHeight="1">
      <c r="A13" s="20">
        <v>46258</v>
      </c>
      <c r="B13" s="31" t="str">
        <f t="shared" si="1"/>
        <v>TEC-001</v>
      </c>
      <c r="C13" s="75" t="s">
        <v>53</v>
      </c>
      <c r="D13" s="31" t="s">
        <v>54</v>
      </c>
      <c r="E13" s="132" t="s">
        <v>277</v>
      </c>
      <c r="F13" s="31" t="s">
        <v>42</v>
      </c>
      <c r="G13" s="41" t="s">
        <v>55</v>
      </c>
      <c r="H13" s="41" t="s">
        <v>56</v>
      </c>
      <c r="I13" s="105" t="s">
        <v>57</v>
      </c>
      <c r="J13" s="107"/>
      <c r="K13" s="49" t="s">
        <v>58</v>
      </c>
      <c r="L13" s="49" t="s">
        <v>47</v>
      </c>
      <c r="M13" s="81">
        <f t="shared" si="2"/>
        <v>6</v>
      </c>
      <c r="N13" s="83" t="s">
        <v>59</v>
      </c>
      <c r="O13" s="86" t="s">
        <v>48</v>
      </c>
      <c r="P13" s="86" t="s">
        <v>60</v>
      </c>
      <c r="Q13" s="70" t="s">
        <v>61</v>
      </c>
      <c r="R13" s="70" t="s">
        <v>62</v>
      </c>
      <c r="S13" s="70" t="s">
        <v>63</v>
      </c>
      <c r="T13" s="16"/>
      <c r="U13" s="16"/>
      <c r="V13" s="16"/>
      <c r="W13" s="16"/>
      <c r="X13" s="16"/>
      <c r="Y13" s="16"/>
    </row>
    <row r="14" spans="1:25" ht="56.1" customHeight="1">
      <c r="A14" s="20">
        <v>46258</v>
      </c>
      <c r="B14" s="75" t="str">
        <f t="shared" si="1"/>
        <v>EXT-001</v>
      </c>
      <c r="C14" s="75" t="s">
        <v>64</v>
      </c>
      <c r="D14" s="31" t="s">
        <v>65</v>
      </c>
      <c r="E14" s="36" t="s">
        <v>66</v>
      </c>
      <c r="F14" s="31" t="s">
        <v>42</v>
      </c>
      <c r="G14" s="41" t="s">
        <v>67</v>
      </c>
      <c r="H14" s="41" t="s">
        <v>68</v>
      </c>
      <c r="I14" s="105" t="s">
        <v>69</v>
      </c>
      <c r="J14" s="107"/>
      <c r="K14" s="49" t="s">
        <v>46</v>
      </c>
      <c r="L14" s="49" t="s">
        <v>47</v>
      </c>
      <c r="M14" s="81">
        <f t="shared" si="2"/>
        <v>4</v>
      </c>
      <c r="N14" s="83" t="s">
        <v>70</v>
      </c>
      <c r="O14" s="86" t="s">
        <v>48</v>
      </c>
      <c r="P14" s="86" t="s">
        <v>71</v>
      </c>
      <c r="Q14" s="70" t="s">
        <v>72</v>
      </c>
      <c r="R14" s="70" t="s">
        <v>51</v>
      </c>
      <c r="S14" s="70" t="s">
        <v>52</v>
      </c>
      <c r="T14" s="16"/>
      <c r="U14" s="16"/>
      <c r="V14" s="16"/>
      <c r="W14" s="16"/>
      <c r="X14" s="16"/>
      <c r="Y14" s="16"/>
    </row>
    <row r="15" spans="1:25" ht="56.1" customHeight="1">
      <c r="A15" s="20">
        <v>46258</v>
      </c>
      <c r="B15" s="75" t="str">
        <f t="shared" si="1"/>
        <v>TEC-002</v>
      </c>
      <c r="C15" s="75" t="s">
        <v>73</v>
      </c>
      <c r="D15" s="31" t="s">
        <v>54</v>
      </c>
      <c r="E15" s="36" t="s">
        <v>74</v>
      </c>
      <c r="F15" s="31" t="s">
        <v>42</v>
      </c>
      <c r="G15" s="41" t="s">
        <v>75</v>
      </c>
      <c r="H15" s="41" t="s">
        <v>76</v>
      </c>
      <c r="I15" s="105" t="s">
        <v>77</v>
      </c>
      <c r="J15" s="107"/>
      <c r="K15" s="49" t="s">
        <v>46</v>
      </c>
      <c r="L15" s="49" t="s">
        <v>47</v>
      </c>
      <c r="M15" s="81">
        <f t="shared" si="2"/>
        <v>4</v>
      </c>
      <c r="N15" s="83" t="s">
        <v>59</v>
      </c>
      <c r="O15" s="86" t="s">
        <v>48</v>
      </c>
      <c r="P15" s="86" t="s">
        <v>78</v>
      </c>
      <c r="Q15" s="70" t="s">
        <v>79</v>
      </c>
      <c r="R15" s="70" t="s">
        <v>51</v>
      </c>
      <c r="S15" s="70" t="s">
        <v>63</v>
      </c>
      <c r="T15" s="16"/>
      <c r="U15" s="16"/>
      <c r="V15" s="16"/>
      <c r="W15" s="16"/>
      <c r="X15" s="16"/>
      <c r="Y15" s="16"/>
    </row>
    <row r="16" spans="1:25" ht="80.099999999999994" customHeight="1">
      <c r="A16" s="20">
        <v>46258</v>
      </c>
      <c r="B16" s="75" t="str">
        <f t="shared" si="1"/>
        <v>TEC-003</v>
      </c>
      <c r="C16" s="75" t="s">
        <v>80</v>
      </c>
      <c r="D16" s="31" t="s">
        <v>54</v>
      </c>
      <c r="E16" s="36" t="s">
        <v>81</v>
      </c>
      <c r="F16" s="31" t="s">
        <v>42</v>
      </c>
      <c r="G16" s="41" t="s">
        <v>82</v>
      </c>
      <c r="H16" s="41" t="s">
        <v>83</v>
      </c>
      <c r="I16" s="105" t="s">
        <v>84</v>
      </c>
      <c r="J16" s="107"/>
      <c r="K16" s="49" t="s">
        <v>85</v>
      </c>
      <c r="L16" s="49" t="s">
        <v>86</v>
      </c>
      <c r="M16" s="81">
        <f t="shared" si="2"/>
        <v>3</v>
      </c>
      <c r="N16" s="83" t="s">
        <v>70</v>
      </c>
      <c r="O16" s="86" t="s">
        <v>48</v>
      </c>
      <c r="P16" s="86" t="s">
        <v>87</v>
      </c>
      <c r="Q16" s="70" t="s">
        <v>88</v>
      </c>
      <c r="R16" s="70" t="s">
        <v>89</v>
      </c>
      <c r="S16" s="70" t="s">
        <v>63</v>
      </c>
      <c r="T16" s="16"/>
      <c r="U16" s="16"/>
      <c r="V16" s="16"/>
      <c r="W16" s="16"/>
      <c r="X16" s="16"/>
      <c r="Y16" s="16"/>
    </row>
    <row r="17" spans="1:25" ht="48.6" customHeight="1">
      <c r="A17" s="20">
        <v>46258</v>
      </c>
      <c r="B17" s="75" t="str">
        <f t="shared" si="1"/>
        <v>TEC-004</v>
      </c>
      <c r="C17" s="75" t="s">
        <v>53</v>
      </c>
      <c r="D17" s="31" t="s">
        <v>54</v>
      </c>
      <c r="E17" s="36" t="s">
        <v>90</v>
      </c>
      <c r="F17" s="31" t="s">
        <v>42</v>
      </c>
      <c r="G17" s="41" t="s">
        <v>91</v>
      </c>
      <c r="H17" s="41" t="s">
        <v>92</v>
      </c>
      <c r="I17" s="105" t="s">
        <v>93</v>
      </c>
      <c r="J17" s="107"/>
      <c r="K17" s="49" t="s">
        <v>85</v>
      </c>
      <c r="L17" s="49" t="s">
        <v>47</v>
      </c>
      <c r="M17" s="81">
        <f t="shared" si="2"/>
        <v>2</v>
      </c>
      <c r="N17" s="83" t="s">
        <v>11</v>
      </c>
      <c r="O17" s="86" t="s">
        <v>48</v>
      </c>
      <c r="P17" s="86" t="s">
        <v>94</v>
      </c>
      <c r="Q17" s="70" t="s">
        <v>95</v>
      </c>
      <c r="R17" s="70" t="s">
        <v>62</v>
      </c>
      <c r="S17" s="70" t="s">
        <v>52</v>
      </c>
      <c r="T17" s="16"/>
      <c r="U17" s="16"/>
      <c r="V17" s="16"/>
      <c r="W17" s="16"/>
      <c r="X17" s="16"/>
      <c r="Y17" s="16"/>
    </row>
    <row r="18" spans="1:25" ht="180" customHeight="1">
      <c r="A18" s="20">
        <v>46258</v>
      </c>
      <c r="B18" s="75" t="str">
        <f t="shared" si="1"/>
        <v>GES-002</v>
      </c>
      <c r="C18" s="75" t="s">
        <v>39</v>
      </c>
      <c r="D18" s="31" t="s">
        <v>40</v>
      </c>
      <c r="E18" s="36" t="s">
        <v>256</v>
      </c>
      <c r="F18" s="31" t="s">
        <v>42</v>
      </c>
      <c r="G18" s="41" t="s">
        <v>257</v>
      </c>
      <c r="H18" s="41" t="s">
        <v>96</v>
      </c>
      <c r="I18" s="105" t="s">
        <v>258</v>
      </c>
      <c r="J18" s="107"/>
      <c r="K18" s="49" t="s">
        <v>46</v>
      </c>
      <c r="L18" s="49" t="s">
        <v>47</v>
      </c>
      <c r="M18" s="81">
        <f t="shared" si="2"/>
        <v>4</v>
      </c>
      <c r="N18" s="83" t="s">
        <v>11</v>
      </c>
      <c r="O18" s="86" t="s">
        <v>48</v>
      </c>
      <c r="P18" s="86" t="s">
        <v>259</v>
      </c>
      <c r="Q18" s="70" t="s">
        <v>260</v>
      </c>
      <c r="R18" s="70" t="s">
        <v>261</v>
      </c>
      <c r="S18" s="70" t="s">
        <v>52</v>
      </c>
      <c r="T18" s="16"/>
      <c r="U18" s="16"/>
      <c r="V18" s="16"/>
      <c r="W18" s="16"/>
      <c r="X18" s="16"/>
      <c r="Y18" s="16"/>
    </row>
    <row r="19" spans="1:25" ht="48.6" customHeight="1">
      <c r="A19" s="20">
        <v>46258</v>
      </c>
      <c r="B19" s="75" t="str">
        <f t="shared" si="1"/>
        <v>TEC-005</v>
      </c>
      <c r="C19" s="75" t="s">
        <v>64</v>
      </c>
      <c r="D19" s="31" t="s">
        <v>54</v>
      </c>
      <c r="E19" s="36" t="s">
        <v>97</v>
      </c>
      <c r="F19" s="31" t="s">
        <v>42</v>
      </c>
      <c r="G19" s="41" t="s">
        <v>98</v>
      </c>
      <c r="H19" s="41" t="s">
        <v>99</v>
      </c>
      <c r="I19" s="105" t="s">
        <v>100</v>
      </c>
      <c r="J19" s="107"/>
      <c r="K19" s="49" t="s">
        <v>46</v>
      </c>
      <c r="L19" s="49" t="s">
        <v>47</v>
      </c>
      <c r="M19" s="81">
        <f t="shared" si="2"/>
        <v>4</v>
      </c>
      <c r="N19" s="83" t="s">
        <v>70</v>
      </c>
      <c r="O19" s="86" t="s">
        <v>48</v>
      </c>
      <c r="P19" s="86" t="s">
        <v>101</v>
      </c>
      <c r="Q19" s="70" t="s">
        <v>102</v>
      </c>
      <c r="R19" s="70" t="s">
        <v>62</v>
      </c>
      <c r="S19" s="70" t="s">
        <v>63</v>
      </c>
      <c r="T19" s="16"/>
      <c r="U19" s="16"/>
      <c r="V19" s="16"/>
      <c r="W19" s="16"/>
      <c r="X19" s="16"/>
      <c r="Y19" s="16"/>
    </row>
    <row r="20" spans="1:25" ht="48.6" customHeight="1">
      <c r="A20" s="20">
        <v>46258</v>
      </c>
      <c r="B20" s="75" t="str">
        <f t="shared" si="1"/>
        <v>TEC-006</v>
      </c>
      <c r="C20" s="75" t="s">
        <v>103</v>
      </c>
      <c r="D20" s="31" t="s">
        <v>54</v>
      </c>
      <c r="E20" s="36" t="s">
        <v>104</v>
      </c>
      <c r="F20" s="31" t="s">
        <v>42</v>
      </c>
      <c r="G20" s="41" t="s">
        <v>105</v>
      </c>
      <c r="H20" s="41" t="s">
        <v>106</v>
      </c>
      <c r="I20" s="105" t="s">
        <v>107</v>
      </c>
      <c r="J20" s="107"/>
      <c r="K20" s="49" t="s">
        <v>46</v>
      </c>
      <c r="L20" s="49" t="s">
        <v>47</v>
      </c>
      <c r="M20" s="81">
        <f t="shared" si="2"/>
        <v>4</v>
      </c>
      <c r="N20" s="83" t="s">
        <v>59</v>
      </c>
      <c r="O20" s="86" t="s">
        <v>48</v>
      </c>
      <c r="P20" s="133" t="s">
        <v>278</v>
      </c>
      <c r="Q20" s="70" t="s">
        <v>108</v>
      </c>
      <c r="R20" s="70" t="s">
        <v>51</v>
      </c>
      <c r="S20" s="70" t="s">
        <v>63</v>
      </c>
      <c r="T20" s="16"/>
      <c r="U20" s="16"/>
      <c r="V20" s="16"/>
      <c r="W20" s="16"/>
      <c r="X20" s="16"/>
      <c r="Y20" s="16"/>
    </row>
    <row r="21" spans="1:25" ht="48.6" customHeight="1">
      <c r="A21" s="20">
        <v>46258</v>
      </c>
      <c r="B21" s="75" t="str">
        <f t="shared" si="1"/>
        <v>TEC-007</v>
      </c>
      <c r="C21" s="75" t="s">
        <v>64</v>
      </c>
      <c r="D21" s="31" t="s">
        <v>54</v>
      </c>
      <c r="E21" s="36" t="s">
        <v>109</v>
      </c>
      <c r="F21" s="31" t="s">
        <v>42</v>
      </c>
      <c r="G21" s="41" t="s">
        <v>110</v>
      </c>
      <c r="H21" s="41" t="s">
        <v>111</v>
      </c>
      <c r="I21" s="105" t="s">
        <v>112</v>
      </c>
      <c r="J21" s="107"/>
      <c r="K21" s="49" t="s">
        <v>85</v>
      </c>
      <c r="L21" s="49" t="s">
        <v>47</v>
      </c>
      <c r="M21" s="81">
        <f t="shared" si="2"/>
        <v>2</v>
      </c>
      <c r="N21" s="83" t="s">
        <v>70</v>
      </c>
      <c r="O21" s="86" t="s">
        <v>48</v>
      </c>
      <c r="P21" s="86" t="s">
        <v>113</v>
      </c>
      <c r="Q21" s="70" t="s">
        <v>114</v>
      </c>
      <c r="R21" s="70" t="s">
        <v>115</v>
      </c>
      <c r="S21" s="70" t="s">
        <v>63</v>
      </c>
      <c r="T21" s="16"/>
      <c r="U21" s="16"/>
      <c r="V21" s="16"/>
      <c r="W21" s="16"/>
      <c r="X21" s="16"/>
      <c r="Y21" s="16"/>
    </row>
    <row r="22" spans="1:25" ht="56.1" customHeight="1">
      <c r="A22" s="20">
        <v>46258</v>
      </c>
      <c r="B22" s="75" t="str">
        <f t="shared" si="1"/>
        <v>SEG-001</v>
      </c>
      <c r="C22" s="75" t="s">
        <v>73</v>
      </c>
      <c r="D22" s="31" t="s">
        <v>116</v>
      </c>
      <c r="E22" s="36" t="s">
        <v>117</v>
      </c>
      <c r="F22" s="31" t="s">
        <v>42</v>
      </c>
      <c r="G22" s="41" t="s">
        <v>118</v>
      </c>
      <c r="H22" s="41" t="s">
        <v>119</v>
      </c>
      <c r="I22" s="105" t="s">
        <v>120</v>
      </c>
      <c r="J22" s="107"/>
      <c r="K22" s="49" t="s">
        <v>85</v>
      </c>
      <c r="L22" s="49" t="s">
        <v>86</v>
      </c>
      <c r="M22" s="81">
        <f t="shared" si="2"/>
        <v>3</v>
      </c>
      <c r="N22" s="83" t="s">
        <v>70</v>
      </c>
      <c r="O22" s="86" t="s">
        <v>48</v>
      </c>
      <c r="P22" s="86" t="s">
        <v>121</v>
      </c>
      <c r="Q22" s="70" t="s">
        <v>122</v>
      </c>
      <c r="R22" s="70" t="s">
        <v>62</v>
      </c>
      <c r="S22" s="70" t="s">
        <v>52</v>
      </c>
      <c r="T22" s="16"/>
      <c r="U22" s="16"/>
      <c r="V22" s="16"/>
      <c r="W22" s="16"/>
      <c r="X22" s="16"/>
      <c r="Y22" s="16"/>
    </row>
    <row r="23" spans="1:25" ht="48.6" customHeight="1">
      <c r="A23" s="20">
        <v>46258</v>
      </c>
      <c r="B23" s="75" t="str">
        <f t="shared" si="1"/>
        <v>SEG-002</v>
      </c>
      <c r="C23" s="75" t="s">
        <v>73</v>
      </c>
      <c r="D23" s="31" t="s">
        <v>116</v>
      </c>
      <c r="E23" s="36" t="s">
        <v>123</v>
      </c>
      <c r="F23" s="31" t="s">
        <v>42</v>
      </c>
      <c r="G23" s="41" t="s">
        <v>124</v>
      </c>
      <c r="H23" s="41" t="s">
        <v>125</v>
      </c>
      <c r="I23" s="105" t="s">
        <v>126</v>
      </c>
      <c r="J23" s="107"/>
      <c r="K23" s="49" t="s">
        <v>85</v>
      </c>
      <c r="L23" s="49" t="s">
        <v>86</v>
      </c>
      <c r="M23" s="81">
        <f t="shared" si="2"/>
        <v>3</v>
      </c>
      <c r="N23" s="83" t="s">
        <v>70</v>
      </c>
      <c r="O23" s="86" t="s">
        <v>48</v>
      </c>
      <c r="P23" s="86" t="s">
        <v>127</v>
      </c>
      <c r="Q23" s="70" t="s">
        <v>128</v>
      </c>
      <c r="R23" s="70" t="s">
        <v>129</v>
      </c>
      <c r="S23" s="70" t="s">
        <v>63</v>
      </c>
      <c r="T23" s="16"/>
      <c r="U23" s="16"/>
      <c r="V23" s="16"/>
      <c r="W23" s="16"/>
      <c r="X23" s="16"/>
      <c r="Y23" s="16"/>
    </row>
    <row r="24" spans="1:25" ht="48.6" customHeight="1">
      <c r="A24" s="20">
        <v>46258</v>
      </c>
      <c r="B24" s="75" t="str">
        <f t="shared" si="1"/>
        <v>SEG-003</v>
      </c>
      <c r="C24" s="75" t="s">
        <v>80</v>
      </c>
      <c r="D24" s="31" t="s">
        <v>116</v>
      </c>
      <c r="E24" s="36" t="s">
        <v>130</v>
      </c>
      <c r="F24" s="31" t="s">
        <v>42</v>
      </c>
      <c r="G24" s="41" t="s">
        <v>131</v>
      </c>
      <c r="H24" s="41" t="s">
        <v>132</v>
      </c>
      <c r="I24" s="105" t="s">
        <v>133</v>
      </c>
      <c r="J24" s="107"/>
      <c r="K24" s="49" t="s">
        <v>85</v>
      </c>
      <c r="L24" s="49" t="s">
        <v>86</v>
      </c>
      <c r="M24" s="81">
        <f t="shared" si="2"/>
        <v>3</v>
      </c>
      <c r="N24" s="83" t="s">
        <v>59</v>
      </c>
      <c r="O24" s="86" t="s">
        <v>134</v>
      </c>
      <c r="P24" s="86" t="s">
        <v>135</v>
      </c>
      <c r="Q24" s="70" t="s">
        <v>136</v>
      </c>
      <c r="R24" s="70" t="s">
        <v>89</v>
      </c>
      <c r="S24" s="70" t="s">
        <v>63</v>
      </c>
      <c r="T24" s="16"/>
      <c r="U24" s="16"/>
      <c r="V24" s="16"/>
      <c r="W24" s="16"/>
      <c r="X24" s="16"/>
      <c r="Y24" s="16"/>
    </row>
    <row r="25" spans="1:25" ht="68.099999999999994" customHeight="1">
      <c r="A25" s="20">
        <v>46258</v>
      </c>
      <c r="B25" s="75" t="str">
        <f t="shared" si="1"/>
        <v>LEG-001</v>
      </c>
      <c r="C25" s="75" t="s">
        <v>137</v>
      </c>
      <c r="D25" s="31" t="s">
        <v>138</v>
      </c>
      <c r="E25" s="36" t="s">
        <v>139</v>
      </c>
      <c r="F25" s="31" t="s">
        <v>42</v>
      </c>
      <c r="G25" s="41" t="s">
        <v>140</v>
      </c>
      <c r="H25" s="41" t="s">
        <v>141</v>
      </c>
      <c r="I25" s="105" t="s">
        <v>142</v>
      </c>
      <c r="J25" s="107"/>
      <c r="K25" s="49" t="s">
        <v>85</v>
      </c>
      <c r="L25" s="49" t="s">
        <v>86</v>
      </c>
      <c r="M25" s="81">
        <f t="shared" si="2"/>
        <v>3</v>
      </c>
      <c r="N25" s="83" t="s">
        <v>59</v>
      </c>
      <c r="O25" s="86" t="s">
        <v>48</v>
      </c>
      <c r="P25" s="86" t="s">
        <v>143</v>
      </c>
      <c r="Q25" s="70" t="s">
        <v>144</v>
      </c>
      <c r="R25" s="70" t="s">
        <v>89</v>
      </c>
      <c r="S25" s="70" t="s">
        <v>52</v>
      </c>
      <c r="T25" s="16"/>
      <c r="U25" s="16"/>
      <c r="V25" s="16"/>
      <c r="W25" s="16"/>
      <c r="X25" s="16"/>
      <c r="Y25" s="16"/>
    </row>
    <row r="26" spans="1:25" ht="48.6" customHeight="1">
      <c r="A26" s="20">
        <v>46258</v>
      </c>
      <c r="B26" s="75" t="str">
        <f t="shared" si="1"/>
        <v>TEC-008</v>
      </c>
      <c r="C26" s="75" t="s">
        <v>80</v>
      </c>
      <c r="D26" s="31" t="s">
        <v>54</v>
      </c>
      <c r="E26" s="36" t="s">
        <v>145</v>
      </c>
      <c r="F26" s="31" t="s">
        <v>42</v>
      </c>
      <c r="G26" s="41" t="s">
        <v>146</v>
      </c>
      <c r="H26" s="41" t="s">
        <v>147</v>
      </c>
      <c r="I26" s="105" t="s">
        <v>148</v>
      </c>
      <c r="J26" s="107"/>
      <c r="K26" s="49" t="s">
        <v>85</v>
      </c>
      <c r="L26" s="49" t="s">
        <v>47</v>
      </c>
      <c r="M26" s="81">
        <f t="shared" si="2"/>
        <v>2</v>
      </c>
      <c r="N26" s="83" t="s">
        <v>59</v>
      </c>
      <c r="O26" s="86" t="s">
        <v>48</v>
      </c>
      <c r="P26" s="86" t="s">
        <v>149</v>
      </c>
      <c r="Q26" s="70" t="s">
        <v>150</v>
      </c>
      <c r="R26" s="70" t="s">
        <v>62</v>
      </c>
      <c r="S26" s="70" t="s">
        <v>63</v>
      </c>
      <c r="T26" s="16"/>
      <c r="U26" s="16"/>
      <c r="V26" s="16"/>
      <c r="W26" s="16"/>
      <c r="X26" s="16"/>
      <c r="Y26" s="16"/>
    </row>
    <row r="27" spans="1:25" ht="62.1" customHeight="1">
      <c r="A27" s="20">
        <v>46258</v>
      </c>
      <c r="B27" s="75" t="str">
        <f t="shared" si="1"/>
        <v>EXT-002</v>
      </c>
      <c r="C27" s="75" t="s">
        <v>73</v>
      </c>
      <c r="D27" s="75" t="s">
        <v>65</v>
      </c>
      <c r="E27" s="36" t="s">
        <v>151</v>
      </c>
      <c r="F27" s="31" t="s">
        <v>42</v>
      </c>
      <c r="G27" s="41" t="s">
        <v>152</v>
      </c>
      <c r="H27" s="41" t="s">
        <v>153</v>
      </c>
      <c r="I27" s="105" t="s">
        <v>154</v>
      </c>
      <c r="J27" s="107"/>
      <c r="K27" s="49" t="s">
        <v>46</v>
      </c>
      <c r="L27" s="49" t="s">
        <v>155</v>
      </c>
      <c r="M27" s="81">
        <f t="shared" si="2"/>
        <v>2</v>
      </c>
      <c r="N27" s="83" t="s">
        <v>59</v>
      </c>
      <c r="O27" s="86" t="s">
        <v>48</v>
      </c>
      <c r="P27" s="86" t="s">
        <v>156</v>
      </c>
      <c r="Q27" s="70" t="s">
        <v>157</v>
      </c>
      <c r="R27" s="70" t="s">
        <v>62</v>
      </c>
      <c r="S27" s="70" t="s">
        <v>63</v>
      </c>
      <c r="T27" s="16"/>
      <c r="U27" s="16"/>
      <c r="V27" s="16"/>
      <c r="W27" s="16"/>
      <c r="X27" s="16"/>
      <c r="Y27" s="16"/>
    </row>
    <row r="28" spans="1:25" ht="62.1" customHeight="1">
      <c r="A28" s="20">
        <v>46258</v>
      </c>
      <c r="B28" s="75" t="str">
        <f t="shared" si="1"/>
        <v>TEC-009</v>
      </c>
      <c r="C28" s="75" t="s">
        <v>103</v>
      </c>
      <c r="D28" s="75" t="s">
        <v>54</v>
      </c>
      <c r="E28" s="36" t="s">
        <v>158</v>
      </c>
      <c r="F28" s="31" t="s">
        <v>42</v>
      </c>
      <c r="G28" s="41" t="s">
        <v>159</v>
      </c>
      <c r="H28" s="41" t="s">
        <v>160</v>
      </c>
      <c r="I28" s="105" t="s">
        <v>161</v>
      </c>
      <c r="J28" s="107"/>
      <c r="K28" s="49" t="s">
        <v>46</v>
      </c>
      <c r="L28" s="49" t="s">
        <v>47</v>
      </c>
      <c r="M28" s="81">
        <f t="shared" si="2"/>
        <v>4</v>
      </c>
      <c r="N28" s="83" t="s">
        <v>70</v>
      </c>
      <c r="O28" s="86" t="s">
        <v>48</v>
      </c>
      <c r="P28" s="86" t="s">
        <v>162</v>
      </c>
      <c r="Q28" s="70" t="s">
        <v>163</v>
      </c>
      <c r="R28" s="70" t="s">
        <v>51</v>
      </c>
      <c r="S28" s="70" t="s">
        <v>63</v>
      </c>
      <c r="T28" s="16"/>
      <c r="U28" s="16"/>
      <c r="V28" s="16"/>
      <c r="W28" s="16"/>
      <c r="X28" s="16"/>
      <c r="Y28" s="16"/>
    </row>
    <row r="29" spans="1:25" ht="56.1" customHeight="1">
      <c r="A29" s="20">
        <v>46258</v>
      </c>
      <c r="B29" s="75" t="str">
        <f t="shared" si="1"/>
        <v>TEC-010</v>
      </c>
      <c r="C29" s="75" t="s">
        <v>73</v>
      </c>
      <c r="D29" s="75" t="s">
        <v>54</v>
      </c>
      <c r="E29" s="36" t="s">
        <v>164</v>
      </c>
      <c r="F29" s="31" t="s">
        <v>42</v>
      </c>
      <c r="G29" s="41" t="s">
        <v>165</v>
      </c>
      <c r="H29" s="41" t="s">
        <v>166</v>
      </c>
      <c r="I29" s="105" t="s">
        <v>167</v>
      </c>
      <c r="J29" s="107"/>
      <c r="K29" s="49" t="s">
        <v>46</v>
      </c>
      <c r="L29" s="49" t="s">
        <v>47</v>
      </c>
      <c r="M29" s="81">
        <f t="shared" si="2"/>
        <v>4</v>
      </c>
      <c r="N29" s="83" t="s">
        <v>59</v>
      </c>
      <c r="O29" s="86" t="s">
        <v>48</v>
      </c>
      <c r="P29" s="86" t="s">
        <v>168</v>
      </c>
      <c r="Q29" s="70" t="s">
        <v>169</v>
      </c>
      <c r="R29" s="70" t="s">
        <v>62</v>
      </c>
      <c r="S29" s="70" t="s">
        <v>63</v>
      </c>
      <c r="T29" s="16"/>
      <c r="U29" s="16"/>
      <c r="V29" s="16"/>
      <c r="W29" s="16"/>
      <c r="X29" s="16"/>
      <c r="Y29" s="16"/>
    </row>
    <row r="30" spans="1:25" ht="48.6" customHeight="1">
      <c r="A30" s="20">
        <v>46258</v>
      </c>
      <c r="B30" s="75" t="str">
        <f t="shared" si="1"/>
        <v>TEC-011</v>
      </c>
      <c r="C30" s="75" t="s">
        <v>73</v>
      </c>
      <c r="D30" s="75" t="s">
        <v>54</v>
      </c>
      <c r="E30" s="36" t="s">
        <v>170</v>
      </c>
      <c r="F30" s="31" t="s">
        <v>42</v>
      </c>
      <c r="G30" s="41" t="s">
        <v>171</v>
      </c>
      <c r="H30" s="41" t="s">
        <v>172</v>
      </c>
      <c r="I30" s="105" t="s">
        <v>173</v>
      </c>
      <c r="J30" s="107"/>
      <c r="K30" s="49" t="s">
        <v>85</v>
      </c>
      <c r="L30" s="49" t="s">
        <v>47</v>
      </c>
      <c r="M30" s="81">
        <f t="shared" si="2"/>
        <v>2</v>
      </c>
      <c r="N30" s="83" t="s">
        <v>59</v>
      </c>
      <c r="O30" s="86" t="s">
        <v>48</v>
      </c>
      <c r="P30" s="86" t="s">
        <v>174</v>
      </c>
      <c r="Q30" s="70" t="s">
        <v>175</v>
      </c>
      <c r="R30" s="70" t="s">
        <v>62</v>
      </c>
      <c r="S30" s="70" t="s">
        <v>63</v>
      </c>
      <c r="T30" s="16"/>
      <c r="U30" s="16"/>
      <c r="V30" s="16"/>
      <c r="W30" s="16"/>
      <c r="X30" s="16"/>
      <c r="Y30" s="16"/>
    </row>
    <row r="31" spans="1:25" ht="75.599999999999994" customHeight="1">
      <c r="A31" s="20">
        <v>46258</v>
      </c>
      <c r="B31" s="75" t="str">
        <f t="shared" si="1"/>
        <v>SEG-004</v>
      </c>
      <c r="C31" s="75" t="s">
        <v>73</v>
      </c>
      <c r="D31" s="75" t="s">
        <v>116</v>
      </c>
      <c r="E31" s="36" t="s">
        <v>176</v>
      </c>
      <c r="F31" s="31" t="s">
        <v>42</v>
      </c>
      <c r="G31" s="41" t="s">
        <v>177</v>
      </c>
      <c r="H31" s="134" t="s">
        <v>178</v>
      </c>
      <c r="I31" s="105" t="s">
        <v>179</v>
      </c>
      <c r="J31" s="107"/>
      <c r="K31" s="49" t="s">
        <v>85</v>
      </c>
      <c r="L31" s="49" t="s">
        <v>86</v>
      </c>
      <c r="M31" s="81">
        <f t="shared" si="2"/>
        <v>3</v>
      </c>
      <c r="N31" s="83" t="s">
        <v>70</v>
      </c>
      <c r="O31" s="86" t="s">
        <v>48</v>
      </c>
      <c r="P31" s="86" t="s">
        <v>180</v>
      </c>
      <c r="Q31" s="70" t="s">
        <v>181</v>
      </c>
      <c r="R31" s="70" t="s">
        <v>62</v>
      </c>
      <c r="S31" s="70" t="s">
        <v>63</v>
      </c>
      <c r="T31" s="16"/>
      <c r="U31" s="16"/>
      <c r="V31" s="16"/>
      <c r="W31" s="16"/>
      <c r="X31" s="16"/>
      <c r="Y31" s="16"/>
    </row>
    <row r="32" spans="1:25" ht="62.1" customHeight="1">
      <c r="A32" s="20">
        <v>46258</v>
      </c>
      <c r="B32" s="75" t="str">
        <f t="shared" si="1"/>
        <v>SEG-005</v>
      </c>
      <c r="C32" s="75" t="s">
        <v>53</v>
      </c>
      <c r="D32" s="75" t="s">
        <v>116</v>
      </c>
      <c r="E32" s="36" t="s">
        <v>182</v>
      </c>
      <c r="F32" s="31" t="s">
        <v>42</v>
      </c>
      <c r="G32" s="41" t="s">
        <v>183</v>
      </c>
      <c r="H32" s="41" t="s">
        <v>184</v>
      </c>
      <c r="I32" s="105" t="s">
        <v>185</v>
      </c>
      <c r="J32" s="107"/>
      <c r="K32" s="49" t="s">
        <v>85</v>
      </c>
      <c r="L32" s="49" t="s">
        <v>86</v>
      </c>
      <c r="M32" s="81">
        <f t="shared" si="2"/>
        <v>3</v>
      </c>
      <c r="N32" s="83" t="s">
        <v>59</v>
      </c>
      <c r="O32" s="86" t="s">
        <v>48</v>
      </c>
      <c r="P32" s="86" t="s">
        <v>186</v>
      </c>
      <c r="Q32" s="70" t="s">
        <v>187</v>
      </c>
      <c r="R32" s="70" t="s">
        <v>62</v>
      </c>
      <c r="S32" s="70" t="s">
        <v>63</v>
      </c>
      <c r="T32" s="16"/>
      <c r="U32" s="16"/>
      <c r="V32" s="16"/>
      <c r="W32" s="16"/>
      <c r="X32" s="16"/>
      <c r="Y32" s="16"/>
    </row>
    <row r="33" spans="1:25" ht="48.6" customHeight="1">
      <c r="A33" s="20">
        <v>46258</v>
      </c>
      <c r="B33" s="75" t="str">
        <f t="shared" si="1"/>
        <v>TEC-012</v>
      </c>
      <c r="C33" s="75" t="s">
        <v>73</v>
      </c>
      <c r="D33" s="75" t="s">
        <v>54</v>
      </c>
      <c r="E33" s="36" t="s">
        <v>188</v>
      </c>
      <c r="F33" s="31" t="s">
        <v>42</v>
      </c>
      <c r="G33" s="41" t="s">
        <v>189</v>
      </c>
      <c r="H33" s="41" t="s">
        <v>190</v>
      </c>
      <c r="I33" s="105" t="s">
        <v>191</v>
      </c>
      <c r="J33" s="107"/>
      <c r="K33" s="49" t="s">
        <v>85</v>
      </c>
      <c r="L33" s="49" t="s">
        <v>47</v>
      </c>
      <c r="M33" s="81">
        <f t="shared" si="2"/>
        <v>2</v>
      </c>
      <c r="N33" s="83" t="s">
        <v>59</v>
      </c>
      <c r="O33" s="86" t="s">
        <v>48</v>
      </c>
      <c r="P33" s="86" t="s">
        <v>192</v>
      </c>
      <c r="Q33" s="70" t="s">
        <v>193</v>
      </c>
      <c r="R33" s="70" t="s">
        <v>62</v>
      </c>
      <c r="S33" s="70" t="s">
        <v>63</v>
      </c>
      <c r="T33" s="16"/>
      <c r="U33" s="16"/>
      <c r="V33" s="16"/>
      <c r="W33" s="16"/>
      <c r="X33" s="16"/>
      <c r="Y33" s="16"/>
    </row>
    <row r="34" spans="1:25" ht="48.6" customHeight="1">
      <c r="A34" s="20">
        <v>46258</v>
      </c>
      <c r="B34" s="75" t="str">
        <f t="shared" si="1"/>
        <v>TEC-013</v>
      </c>
      <c r="C34" s="75" t="s">
        <v>103</v>
      </c>
      <c r="D34" s="75" t="s">
        <v>54</v>
      </c>
      <c r="E34" s="36" t="s">
        <v>194</v>
      </c>
      <c r="F34" s="31" t="s">
        <v>42</v>
      </c>
      <c r="G34" s="41" t="s">
        <v>195</v>
      </c>
      <c r="H34" s="41" t="s">
        <v>196</v>
      </c>
      <c r="I34" s="105" t="s">
        <v>197</v>
      </c>
      <c r="J34" s="107"/>
      <c r="K34" s="49" t="s">
        <v>85</v>
      </c>
      <c r="L34" s="49" t="s">
        <v>47</v>
      </c>
      <c r="M34" s="81">
        <f t="shared" si="2"/>
        <v>2</v>
      </c>
      <c r="N34" s="83" t="s">
        <v>70</v>
      </c>
      <c r="O34" s="86" t="s">
        <v>48</v>
      </c>
      <c r="P34" s="86" t="s">
        <v>198</v>
      </c>
      <c r="Q34" s="70" t="s">
        <v>199</v>
      </c>
      <c r="R34" s="70" t="s">
        <v>62</v>
      </c>
      <c r="S34" s="70" t="s">
        <v>63</v>
      </c>
      <c r="T34" s="16"/>
      <c r="U34" s="16"/>
      <c r="V34" s="16"/>
      <c r="W34" s="16"/>
      <c r="X34" s="16"/>
      <c r="Y34" s="16"/>
    </row>
    <row r="35" spans="1:25" ht="150" customHeight="1">
      <c r="A35" s="20">
        <v>46258</v>
      </c>
      <c r="B35" s="75" t="s">
        <v>262</v>
      </c>
      <c r="C35" s="75" t="s">
        <v>39</v>
      </c>
      <c r="D35" s="31" t="s">
        <v>40</v>
      </c>
      <c r="E35" s="36" t="s">
        <v>263</v>
      </c>
      <c r="F35" s="31" t="s">
        <v>42</v>
      </c>
      <c r="G35" s="41" t="s">
        <v>264</v>
      </c>
      <c r="H35" s="41" t="s">
        <v>265</v>
      </c>
      <c r="I35" s="105" t="s">
        <v>266</v>
      </c>
      <c r="J35" s="107"/>
      <c r="K35" s="49" t="s">
        <v>46</v>
      </c>
      <c r="L35" s="49" t="s">
        <v>47</v>
      </c>
      <c r="M35" s="81">
        <f>IF(OR(K35="",L35=""),"",IF(K35="Alta",3,IF(K35="Media",2,IF(K35="Baja",1,0)))*IF(L35="Alto",3,IF(L35="Medio",2,IF(L35="Bajo",1,0))))</f>
        <v>4</v>
      </c>
      <c r="N35" s="83" t="s">
        <v>11</v>
      </c>
      <c r="O35" s="86" t="s">
        <v>48</v>
      </c>
      <c r="P35" s="86" t="s">
        <v>267</v>
      </c>
      <c r="Q35" s="70" t="s">
        <v>268</v>
      </c>
      <c r="R35" s="70" t="s">
        <v>62</v>
      </c>
      <c r="S35" s="70" t="s">
        <v>63</v>
      </c>
      <c r="T35" s="16"/>
      <c r="U35" s="16"/>
      <c r="V35" s="16"/>
      <c r="W35" s="16"/>
      <c r="X35" s="16"/>
      <c r="Y35" s="16"/>
    </row>
    <row r="36" spans="1:25" ht="150" customHeight="1">
      <c r="A36" s="20">
        <v>46258</v>
      </c>
      <c r="B36" s="75" t="s">
        <v>269</v>
      </c>
      <c r="C36" s="75" t="s">
        <v>39</v>
      </c>
      <c r="D36" s="31" t="s">
        <v>65</v>
      </c>
      <c r="E36" s="36" t="s">
        <v>270</v>
      </c>
      <c r="F36" s="31" t="s">
        <v>42</v>
      </c>
      <c r="G36" s="41" t="s">
        <v>271</v>
      </c>
      <c r="H36" s="41" t="s">
        <v>272</v>
      </c>
      <c r="I36" s="105" t="s">
        <v>273</v>
      </c>
      <c r="J36" s="107"/>
      <c r="K36" s="49" t="s">
        <v>46</v>
      </c>
      <c r="L36" s="49" t="s">
        <v>47</v>
      </c>
      <c r="M36" s="81">
        <f>IF(OR(K36="",L36=""),"",IF(K36="Alta",3,IF(K36="Media",2,IF(K36="Baja",1,0)))*IF(L36="Alto",3,IF(L36="Medio",2,IF(L36="Bajo",1,0))))</f>
        <v>4</v>
      </c>
      <c r="N36" s="83" t="s">
        <v>11</v>
      </c>
      <c r="O36" s="86" t="s">
        <v>48</v>
      </c>
      <c r="P36" s="86" t="s">
        <v>274</v>
      </c>
      <c r="Q36" s="70" t="s">
        <v>275</v>
      </c>
      <c r="R36" s="70" t="s">
        <v>51</v>
      </c>
      <c r="S36" s="70" t="s">
        <v>52</v>
      </c>
      <c r="T36" s="16"/>
      <c r="U36" s="16"/>
      <c r="V36" s="16"/>
      <c r="W36" s="16"/>
      <c r="X36" s="16"/>
      <c r="Y36" s="16"/>
    </row>
    <row r="37" spans="1:25" ht="150" customHeight="1">
      <c r="A37" s="20"/>
      <c r="B37" s="75"/>
      <c r="C37" s="75"/>
      <c r="D37" s="31"/>
      <c r="E37" s="36"/>
      <c r="F37" s="31"/>
      <c r="G37" s="41"/>
      <c r="H37" s="41"/>
      <c r="I37" s="105"/>
      <c r="J37" s="107"/>
      <c r="K37" s="49"/>
      <c r="L37" s="49"/>
      <c r="M37" s="81"/>
      <c r="N37" s="83"/>
      <c r="O37" s="86"/>
      <c r="P37" s="86"/>
      <c r="Q37" s="70"/>
      <c r="R37" s="70"/>
      <c r="S37" s="70"/>
      <c r="T37" s="16"/>
      <c r="U37" s="16"/>
      <c r="V37" s="16"/>
      <c r="W37" s="16"/>
      <c r="X37" s="16"/>
      <c r="Y37" s="16"/>
    </row>
    <row r="38" spans="1:25" ht="14.25">
      <c r="A38" s="20"/>
      <c r="B38" s="75" t="str">
        <f t="shared" si="1"/>
        <v/>
      </c>
      <c r="C38" s="75"/>
      <c r="D38" s="75"/>
      <c r="E38" s="36"/>
      <c r="F38" s="31"/>
      <c r="G38" s="41"/>
      <c r="H38" s="41"/>
      <c r="I38" s="105"/>
      <c r="J38" s="106"/>
      <c r="K38" s="49"/>
      <c r="L38" s="49"/>
      <c r="M38" s="81" t="str">
        <f t="shared" si="2"/>
        <v/>
      </c>
      <c r="N38" s="83"/>
      <c r="O38" s="86"/>
      <c r="P38" s="86"/>
      <c r="Q38" s="70"/>
      <c r="R38" s="70"/>
      <c r="S38" s="70"/>
      <c r="T38" s="16"/>
      <c r="U38" s="16"/>
      <c r="V38" s="16"/>
      <c r="W38" s="16"/>
      <c r="X38" s="16"/>
      <c r="Y38" s="16"/>
    </row>
    <row r="39" spans="1:25" ht="14.25">
      <c r="A39" s="20"/>
      <c r="B39" s="75" t="str">
        <f t="shared" si="1"/>
        <v/>
      </c>
      <c r="C39" s="75"/>
      <c r="D39" s="75"/>
      <c r="E39" s="36"/>
      <c r="F39" s="31"/>
      <c r="G39" s="41"/>
      <c r="H39" s="41"/>
      <c r="I39" s="105"/>
      <c r="J39" s="106"/>
      <c r="K39" s="49"/>
      <c r="L39" s="49"/>
      <c r="M39" s="81" t="str">
        <f t="shared" si="2"/>
        <v/>
      </c>
      <c r="N39" s="83"/>
      <c r="O39" s="86"/>
      <c r="P39" s="86"/>
      <c r="Q39" s="70"/>
      <c r="R39" s="70"/>
      <c r="S39" s="70"/>
      <c r="T39" s="16"/>
      <c r="U39" s="16"/>
      <c r="V39" s="16"/>
      <c r="W39" s="16"/>
      <c r="X39" s="16"/>
      <c r="Y39" s="16"/>
    </row>
    <row r="40" spans="1:25" ht="14.25">
      <c r="A40" s="20"/>
      <c r="B40" s="75" t="str">
        <f t="shared" si="1"/>
        <v/>
      </c>
      <c r="C40" s="75"/>
      <c r="D40" s="75"/>
      <c r="E40" s="36"/>
      <c r="F40" s="31"/>
      <c r="G40" s="41"/>
      <c r="H40" s="41"/>
      <c r="I40" s="105"/>
      <c r="J40" s="106"/>
      <c r="K40" s="49"/>
      <c r="L40" s="49"/>
      <c r="M40" s="81" t="str">
        <f t="shared" si="2"/>
        <v/>
      </c>
      <c r="N40" s="83"/>
      <c r="O40" s="86"/>
      <c r="P40" s="86"/>
      <c r="Q40" s="70"/>
      <c r="R40" s="70"/>
      <c r="S40" s="70"/>
      <c r="T40" s="16"/>
      <c r="U40" s="16"/>
      <c r="V40" s="16"/>
      <c r="W40" s="16"/>
      <c r="X40" s="16"/>
      <c r="Y40" s="16"/>
    </row>
    <row r="41" spans="1:25" ht="14.25">
      <c r="A41" s="20"/>
      <c r="B41" s="75" t="str">
        <f t="shared" si="1"/>
        <v/>
      </c>
      <c r="C41" s="75"/>
      <c r="D41" s="75"/>
      <c r="E41" s="36"/>
      <c r="F41" s="31"/>
      <c r="G41" s="41"/>
      <c r="H41" s="41"/>
      <c r="I41" s="105"/>
      <c r="J41" s="106"/>
      <c r="K41" s="49"/>
      <c r="L41" s="49"/>
      <c r="M41" s="81" t="str">
        <f t="shared" si="2"/>
        <v/>
      </c>
      <c r="N41" s="83"/>
      <c r="O41" s="86"/>
      <c r="P41" s="86"/>
      <c r="Q41" s="70"/>
      <c r="R41" s="70"/>
      <c r="S41" s="70"/>
      <c r="T41" s="16"/>
      <c r="U41" s="16"/>
      <c r="V41" s="16"/>
      <c r="W41" s="16"/>
      <c r="X41" s="16"/>
      <c r="Y41" s="16"/>
    </row>
    <row r="42" spans="1:25" ht="14.25">
      <c r="A42" s="20"/>
      <c r="B42" s="75" t="str">
        <f t="shared" si="1"/>
        <v/>
      </c>
      <c r="C42" s="75"/>
      <c r="D42" s="75"/>
      <c r="E42" s="36"/>
      <c r="F42" s="31"/>
      <c r="G42" s="41"/>
      <c r="H42" s="41"/>
      <c r="I42" s="105"/>
      <c r="J42" s="106"/>
      <c r="K42" s="49"/>
      <c r="L42" s="49"/>
      <c r="M42" s="81" t="str">
        <f t="shared" si="2"/>
        <v/>
      </c>
      <c r="N42" s="83"/>
      <c r="O42" s="86"/>
      <c r="P42" s="86"/>
      <c r="Q42" s="70"/>
      <c r="R42" s="70"/>
      <c r="S42" s="70"/>
      <c r="T42" s="16"/>
      <c r="U42" s="16"/>
      <c r="V42" s="16"/>
      <c r="W42" s="16"/>
      <c r="X42" s="16"/>
      <c r="Y42" s="16"/>
    </row>
    <row r="43" spans="1:25" ht="41.25" customHeight="1">
      <c r="A43" s="91"/>
      <c r="B43" s="75" t="str">
        <f t="shared" si="1"/>
        <v/>
      </c>
      <c r="C43" s="75"/>
      <c r="D43" s="75"/>
      <c r="E43" s="75"/>
      <c r="F43" s="31"/>
      <c r="G43" s="92"/>
      <c r="H43" s="92"/>
      <c r="I43" s="105"/>
      <c r="J43" s="106"/>
      <c r="K43" s="93"/>
      <c r="L43" s="93"/>
      <c r="M43" s="81" t="str">
        <f t="shared" si="2"/>
        <v/>
      </c>
      <c r="N43" s="83"/>
      <c r="O43" s="86"/>
      <c r="P43" s="86"/>
      <c r="Q43" s="70"/>
      <c r="R43" s="70"/>
      <c r="S43" s="70"/>
      <c r="T43" s="16"/>
      <c r="U43" s="16"/>
      <c r="V43" s="16"/>
      <c r="W43" s="16"/>
      <c r="X43" s="16"/>
      <c r="Y43" s="16"/>
    </row>
    <row r="44" spans="1:25" ht="41.25" customHeight="1">
      <c r="A44" s="91"/>
      <c r="B44" s="75" t="str">
        <f t="shared" si="1"/>
        <v/>
      </c>
      <c r="C44" s="75"/>
      <c r="D44" s="75"/>
      <c r="E44" s="75"/>
      <c r="F44" s="31"/>
      <c r="G44" s="92"/>
      <c r="H44" s="92"/>
      <c r="I44" s="101"/>
      <c r="J44" s="102"/>
      <c r="K44" s="81"/>
      <c r="L44" s="81"/>
      <c r="M44" s="81" t="str">
        <f t="shared" si="2"/>
        <v/>
      </c>
      <c r="N44" s="83"/>
      <c r="O44" s="86"/>
      <c r="P44" s="86"/>
      <c r="Q44" s="70"/>
      <c r="R44" s="70"/>
      <c r="S44" s="70"/>
      <c r="T44" s="16"/>
      <c r="U44" s="16"/>
      <c r="V44" s="16"/>
      <c r="W44" s="16"/>
      <c r="X44" s="16"/>
      <c r="Y44" s="16"/>
    </row>
    <row r="45" spans="1:25" ht="41.25" customHeight="1">
      <c r="A45" s="91"/>
      <c r="B45" s="75" t="str">
        <f t="shared" si="1"/>
        <v/>
      </c>
      <c r="C45" s="75"/>
      <c r="D45" s="75"/>
      <c r="E45" s="75"/>
      <c r="F45" s="75"/>
      <c r="G45" s="92"/>
      <c r="H45" s="92"/>
      <c r="I45" s="101"/>
      <c r="J45" s="102"/>
      <c r="K45" s="81"/>
      <c r="L45" s="81"/>
      <c r="M45" s="81" t="str">
        <f t="shared" si="2"/>
        <v/>
      </c>
      <c r="N45" s="83"/>
      <c r="O45" s="86"/>
      <c r="P45" s="86"/>
      <c r="Q45" s="70"/>
      <c r="R45" s="70"/>
      <c r="S45" s="70"/>
      <c r="T45" s="16"/>
      <c r="U45" s="16"/>
      <c r="V45" s="16"/>
      <c r="W45" s="16"/>
      <c r="X45" s="16"/>
      <c r="Y45" s="16"/>
    </row>
    <row r="46" spans="1:25" ht="41.25" customHeight="1">
      <c r="A46" s="91"/>
      <c r="B46" s="75" t="str">
        <f t="shared" si="1"/>
        <v/>
      </c>
      <c r="C46" s="75"/>
      <c r="D46" s="75"/>
      <c r="E46" s="75"/>
      <c r="F46" s="75"/>
      <c r="G46" s="92"/>
      <c r="H46" s="92"/>
      <c r="I46" s="101"/>
      <c r="J46" s="102"/>
      <c r="K46" s="81"/>
      <c r="L46" s="81"/>
      <c r="M46" s="81" t="str">
        <f t="shared" si="2"/>
        <v/>
      </c>
      <c r="N46" s="83"/>
      <c r="O46" s="86"/>
      <c r="P46" s="86"/>
      <c r="Q46" s="70"/>
      <c r="R46" s="70"/>
      <c r="S46" s="70"/>
      <c r="T46" s="16"/>
      <c r="U46" s="16"/>
      <c r="V46" s="16"/>
      <c r="W46" s="16"/>
      <c r="X46" s="16"/>
      <c r="Y46" s="16"/>
    </row>
    <row r="47" spans="1:25" ht="41.25" customHeight="1">
      <c r="A47" s="91"/>
      <c r="B47" s="75" t="str">
        <f t="shared" si="1"/>
        <v/>
      </c>
      <c r="C47" s="75"/>
      <c r="D47" s="75"/>
      <c r="E47" s="75"/>
      <c r="F47" s="75"/>
      <c r="G47" s="92"/>
      <c r="H47" s="92"/>
      <c r="I47" s="101"/>
      <c r="J47" s="102"/>
      <c r="K47" s="81"/>
      <c r="L47" s="81"/>
      <c r="M47" s="81" t="str">
        <f t="shared" si="2"/>
        <v/>
      </c>
      <c r="N47" s="83"/>
      <c r="O47" s="86"/>
      <c r="P47" s="86"/>
      <c r="Q47" s="70"/>
      <c r="R47" s="70"/>
      <c r="S47" s="70"/>
      <c r="T47" s="16"/>
      <c r="U47" s="16"/>
      <c r="V47" s="16"/>
      <c r="W47" s="16"/>
      <c r="X47" s="16"/>
      <c r="Y47" s="16"/>
    </row>
    <row r="48" spans="1:25" ht="41.25" customHeight="1">
      <c r="A48" s="91"/>
      <c r="B48" s="75" t="str">
        <f t="shared" si="1"/>
        <v/>
      </c>
      <c r="C48" s="75"/>
      <c r="D48" s="75"/>
      <c r="E48" s="75"/>
      <c r="F48" s="75"/>
      <c r="G48" s="92"/>
      <c r="H48" s="92"/>
      <c r="I48" s="101"/>
      <c r="J48" s="102"/>
      <c r="K48" s="81"/>
      <c r="L48" s="81"/>
      <c r="M48" s="81" t="str">
        <f t="shared" si="2"/>
        <v/>
      </c>
      <c r="N48" s="83"/>
      <c r="O48" s="86"/>
      <c r="P48" s="86"/>
      <c r="Q48" s="70"/>
      <c r="R48" s="70"/>
      <c r="S48" s="70"/>
      <c r="T48" s="16"/>
      <c r="U48" s="16"/>
      <c r="V48" s="16"/>
      <c r="W48" s="16"/>
      <c r="X48" s="16"/>
      <c r="Y48" s="16"/>
    </row>
    <row r="49" spans="1:25" ht="41.25" customHeight="1">
      <c r="A49" s="91"/>
      <c r="B49" s="75" t="str">
        <f t="shared" si="1"/>
        <v/>
      </c>
      <c r="C49" s="75"/>
      <c r="D49" s="75"/>
      <c r="E49" s="75"/>
      <c r="F49" s="75"/>
      <c r="G49" s="92"/>
      <c r="H49" s="92"/>
      <c r="I49" s="101"/>
      <c r="J49" s="102"/>
      <c r="K49" s="81"/>
      <c r="L49" s="81"/>
      <c r="M49" s="81" t="str">
        <f t="shared" si="2"/>
        <v/>
      </c>
      <c r="N49" s="83"/>
      <c r="O49" s="86"/>
      <c r="P49" s="86"/>
      <c r="Q49" s="70"/>
      <c r="R49" s="70"/>
      <c r="S49" s="70"/>
      <c r="T49" s="16"/>
      <c r="U49" s="16"/>
      <c r="V49" s="16"/>
      <c r="W49" s="16"/>
      <c r="X49" s="16"/>
      <c r="Y49" s="16"/>
    </row>
    <row r="50" spans="1:25" ht="41.25" customHeight="1">
      <c r="A50" s="91"/>
      <c r="B50" s="75" t="str">
        <f t="shared" si="1"/>
        <v/>
      </c>
      <c r="C50" s="75"/>
      <c r="D50" s="75"/>
      <c r="E50" s="75"/>
      <c r="F50" s="75"/>
      <c r="G50" s="92"/>
      <c r="H50" s="92"/>
      <c r="I50" s="101"/>
      <c r="J50" s="102"/>
      <c r="K50" s="81"/>
      <c r="L50" s="81"/>
      <c r="M50" s="81" t="str">
        <f t="shared" si="2"/>
        <v/>
      </c>
      <c r="N50" s="83"/>
      <c r="O50" s="86"/>
      <c r="P50" s="86"/>
      <c r="Q50" s="70"/>
      <c r="R50" s="70"/>
      <c r="S50" s="70"/>
      <c r="T50" s="16"/>
      <c r="U50" s="16"/>
      <c r="V50" s="16"/>
      <c r="W50" s="16"/>
      <c r="X50" s="16"/>
      <c r="Y50" s="16"/>
    </row>
    <row r="51" spans="1:25" ht="41.25" customHeight="1">
      <c r="A51" s="91"/>
      <c r="B51" s="75" t="str">
        <f t="shared" si="1"/>
        <v/>
      </c>
      <c r="C51" s="75"/>
      <c r="D51" s="75"/>
      <c r="E51" s="75"/>
      <c r="F51" s="75"/>
      <c r="G51" s="92"/>
      <c r="H51" s="92"/>
      <c r="I51" s="101"/>
      <c r="J51" s="102"/>
      <c r="K51" s="81"/>
      <c r="L51" s="81"/>
      <c r="M51" s="81" t="str">
        <f t="shared" si="2"/>
        <v/>
      </c>
      <c r="N51" s="83"/>
      <c r="O51" s="86"/>
      <c r="P51" s="86"/>
      <c r="Q51" s="70"/>
      <c r="R51" s="70"/>
      <c r="S51" s="70"/>
      <c r="T51" s="16"/>
      <c r="U51" s="16"/>
      <c r="V51" s="16"/>
      <c r="W51" s="16"/>
      <c r="X51" s="16"/>
      <c r="Y51" s="16"/>
    </row>
    <row r="52" spans="1:25" ht="41.25" customHeight="1">
      <c r="A52" s="91"/>
      <c r="B52" s="75" t="str">
        <f t="shared" si="1"/>
        <v/>
      </c>
      <c r="C52" s="75"/>
      <c r="D52" s="75"/>
      <c r="E52" s="75"/>
      <c r="F52" s="75"/>
      <c r="G52" s="92"/>
      <c r="H52" s="92"/>
      <c r="I52" s="101"/>
      <c r="J52" s="102"/>
      <c r="K52" s="81"/>
      <c r="L52" s="81"/>
      <c r="M52" s="81" t="str">
        <f t="shared" si="2"/>
        <v/>
      </c>
      <c r="N52" s="83"/>
      <c r="O52" s="86"/>
      <c r="P52" s="86"/>
      <c r="Q52" s="70"/>
      <c r="R52" s="70"/>
      <c r="S52" s="70"/>
      <c r="T52" s="16"/>
      <c r="U52" s="16"/>
      <c r="V52" s="16"/>
      <c r="W52" s="16"/>
      <c r="X52" s="16"/>
      <c r="Y52" s="16"/>
    </row>
    <row r="53" spans="1:25" ht="41.25" customHeight="1">
      <c r="A53" s="91"/>
      <c r="B53" s="75" t="str">
        <f t="shared" si="1"/>
        <v/>
      </c>
      <c r="C53" s="75"/>
      <c r="D53" s="75"/>
      <c r="E53" s="75"/>
      <c r="F53" s="75"/>
      <c r="G53" s="92"/>
      <c r="H53" s="92"/>
      <c r="I53" s="101"/>
      <c r="J53" s="102"/>
      <c r="K53" s="81"/>
      <c r="L53" s="81"/>
      <c r="M53" s="81" t="str">
        <f t="shared" si="2"/>
        <v/>
      </c>
      <c r="N53" s="83"/>
      <c r="O53" s="86"/>
      <c r="P53" s="86"/>
      <c r="Q53" s="70"/>
      <c r="R53" s="70"/>
      <c r="S53" s="70"/>
      <c r="T53" s="16"/>
      <c r="U53" s="16"/>
      <c r="V53" s="16"/>
      <c r="W53" s="16"/>
      <c r="X53" s="16"/>
      <c r="Y53" s="16"/>
    </row>
    <row r="54" spans="1:25" ht="41.25" customHeight="1">
      <c r="A54" s="91"/>
      <c r="B54" s="75" t="str">
        <f t="shared" si="1"/>
        <v/>
      </c>
      <c r="C54" s="75"/>
      <c r="D54" s="75"/>
      <c r="E54" s="75"/>
      <c r="F54" s="75"/>
      <c r="G54" s="92"/>
      <c r="H54" s="92"/>
      <c r="I54" s="101"/>
      <c r="J54" s="102"/>
      <c r="K54" s="81"/>
      <c r="L54" s="81"/>
      <c r="M54" s="81" t="str">
        <f t="shared" si="2"/>
        <v/>
      </c>
      <c r="N54" s="83"/>
      <c r="O54" s="86"/>
      <c r="P54" s="86"/>
      <c r="Q54" s="70"/>
      <c r="R54" s="70"/>
      <c r="S54" s="70"/>
      <c r="T54" s="16"/>
      <c r="U54" s="16"/>
      <c r="V54" s="16"/>
      <c r="W54" s="16"/>
      <c r="X54" s="16"/>
      <c r="Y54" s="16"/>
    </row>
    <row r="55" spans="1:25" ht="41.25" customHeight="1">
      <c r="A55" s="91"/>
      <c r="B55" s="75" t="str">
        <f t="shared" si="1"/>
        <v/>
      </c>
      <c r="C55" s="75"/>
      <c r="D55" s="75"/>
      <c r="E55" s="75"/>
      <c r="F55" s="75"/>
      <c r="G55" s="92"/>
      <c r="H55" s="92"/>
      <c r="I55" s="101"/>
      <c r="J55" s="102"/>
      <c r="K55" s="81"/>
      <c r="L55" s="81"/>
      <c r="M55" s="81" t="str">
        <f t="shared" si="2"/>
        <v/>
      </c>
      <c r="N55" s="83"/>
      <c r="O55" s="86"/>
      <c r="P55" s="86"/>
      <c r="Q55" s="70"/>
      <c r="R55" s="70"/>
      <c r="S55" s="70"/>
      <c r="T55" s="16"/>
      <c r="U55" s="16"/>
      <c r="V55" s="16"/>
      <c r="W55" s="16"/>
      <c r="X55" s="16"/>
      <c r="Y55" s="16"/>
    </row>
    <row r="56" spans="1:25" ht="41.25" customHeight="1">
      <c r="A56" s="91"/>
      <c r="B56" s="75" t="str">
        <f t="shared" si="1"/>
        <v/>
      </c>
      <c r="C56" s="75"/>
      <c r="D56" s="75"/>
      <c r="E56" s="75"/>
      <c r="F56" s="75"/>
      <c r="G56" s="92"/>
      <c r="H56" s="92"/>
      <c r="I56" s="101"/>
      <c r="J56" s="102"/>
      <c r="K56" s="81"/>
      <c r="L56" s="81"/>
      <c r="M56" s="81" t="str">
        <f t="shared" si="2"/>
        <v/>
      </c>
      <c r="N56" s="83"/>
      <c r="O56" s="86"/>
      <c r="P56" s="86"/>
      <c r="Q56" s="70"/>
      <c r="R56" s="70"/>
      <c r="S56" s="70"/>
      <c r="T56" s="16"/>
      <c r="U56" s="16"/>
      <c r="V56" s="16"/>
      <c r="W56" s="16"/>
      <c r="X56" s="16"/>
      <c r="Y56" s="16"/>
    </row>
    <row r="57" spans="1:25" ht="41.25" customHeight="1">
      <c r="A57" s="91"/>
      <c r="B57" s="75" t="str">
        <f t="shared" si="1"/>
        <v/>
      </c>
      <c r="C57" s="75"/>
      <c r="D57" s="75"/>
      <c r="E57" s="75"/>
      <c r="F57" s="75"/>
      <c r="G57" s="92"/>
      <c r="H57" s="92"/>
      <c r="I57" s="101"/>
      <c r="J57" s="102"/>
      <c r="K57" s="81"/>
      <c r="L57" s="81"/>
      <c r="M57" s="81" t="str">
        <f t="shared" si="2"/>
        <v/>
      </c>
      <c r="N57" s="83"/>
      <c r="O57" s="86"/>
      <c r="P57" s="86"/>
      <c r="Q57" s="70"/>
      <c r="R57" s="70"/>
      <c r="S57" s="70"/>
      <c r="T57" s="16"/>
      <c r="U57" s="16"/>
      <c r="V57" s="16"/>
      <c r="W57" s="16"/>
      <c r="X57" s="16"/>
      <c r="Y57" s="16"/>
    </row>
    <row r="58" spans="1:25" ht="41.25" customHeight="1">
      <c r="A58" s="91"/>
      <c r="B58" s="75" t="str">
        <f t="shared" si="1"/>
        <v/>
      </c>
      <c r="C58" s="75"/>
      <c r="D58" s="75"/>
      <c r="E58" s="75"/>
      <c r="F58" s="75"/>
      <c r="G58" s="92"/>
      <c r="H58" s="92"/>
      <c r="I58" s="101"/>
      <c r="J58" s="102"/>
      <c r="K58" s="81"/>
      <c r="L58" s="81"/>
      <c r="M58" s="81" t="str">
        <f t="shared" si="2"/>
        <v/>
      </c>
      <c r="N58" s="83"/>
      <c r="O58" s="86"/>
      <c r="P58" s="86"/>
      <c r="Q58" s="70"/>
      <c r="R58" s="70"/>
      <c r="S58" s="70"/>
      <c r="T58" s="16"/>
      <c r="U58" s="16"/>
      <c r="V58" s="16"/>
      <c r="W58" s="16"/>
      <c r="X58" s="16"/>
      <c r="Y58" s="16"/>
    </row>
    <row r="59" spans="1:25" ht="41.25" customHeight="1">
      <c r="A59" s="91"/>
      <c r="B59" s="75" t="str">
        <f t="shared" si="1"/>
        <v/>
      </c>
      <c r="C59" s="75"/>
      <c r="D59" s="75"/>
      <c r="E59" s="75"/>
      <c r="F59" s="75"/>
      <c r="G59" s="92"/>
      <c r="H59" s="92"/>
      <c r="I59" s="101"/>
      <c r="J59" s="102"/>
      <c r="K59" s="81"/>
      <c r="L59" s="81"/>
      <c r="M59" s="81" t="str">
        <f t="shared" si="2"/>
        <v/>
      </c>
      <c r="N59" s="83"/>
      <c r="O59" s="86"/>
      <c r="P59" s="86"/>
      <c r="Q59" s="70"/>
      <c r="R59" s="70"/>
      <c r="S59" s="70"/>
      <c r="T59" s="16"/>
      <c r="U59" s="16"/>
      <c r="V59" s="16"/>
      <c r="W59" s="16"/>
      <c r="X59" s="16"/>
      <c r="Y59" s="16"/>
    </row>
    <row r="60" spans="1:25" ht="41.25" customHeight="1">
      <c r="A60" s="91"/>
      <c r="B60" s="75" t="str">
        <f t="shared" si="1"/>
        <v/>
      </c>
      <c r="C60" s="75"/>
      <c r="D60" s="75"/>
      <c r="E60" s="75"/>
      <c r="F60" s="75"/>
      <c r="G60" s="92"/>
      <c r="H60" s="92"/>
      <c r="I60" s="101"/>
      <c r="J60" s="102"/>
      <c r="K60" s="81"/>
      <c r="L60" s="81"/>
      <c r="M60" s="81" t="str">
        <f t="shared" si="2"/>
        <v/>
      </c>
      <c r="N60" s="83"/>
      <c r="O60" s="86"/>
      <c r="P60" s="86"/>
      <c r="Q60" s="70"/>
      <c r="R60" s="70"/>
      <c r="S60" s="70"/>
      <c r="T60" s="16"/>
      <c r="U60" s="16"/>
      <c r="V60" s="16"/>
      <c r="W60" s="16"/>
      <c r="X60" s="16"/>
      <c r="Y60" s="16"/>
    </row>
    <row r="61" spans="1:25" ht="41.25" customHeight="1">
      <c r="A61" s="91"/>
      <c r="B61" s="75" t="str">
        <f t="shared" si="1"/>
        <v/>
      </c>
      <c r="C61" s="75"/>
      <c r="D61" s="75"/>
      <c r="E61" s="75"/>
      <c r="F61" s="75"/>
      <c r="G61" s="92"/>
      <c r="H61" s="92"/>
      <c r="I61" s="101"/>
      <c r="J61" s="102"/>
      <c r="K61" s="81"/>
      <c r="L61" s="81"/>
      <c r="M61" s="81" t="str">
        <f t="shared" si="2"/>
        <v/>
      </c>
      <c r="N61" s="83"/>
      <c r="O61" s="86"/>
      <c r="P61" s="86"/>
      <c r="Q61" s="70"/>
      <c r="R61" s="70"/>
      <c r="S61" s="70"/>
      <c r="T61" s="16"/>
      <c r="U61" s="16"/>
      <c r="V61" s="16"/>
      <c r="W61" s="16"/>
      <c r="X61" s="16"/>
      <c r="Y61" s="16"/>
    </row>
    <row r="62" spans="1:25" ht="41.25" customHeight="1">
      <c r="A62" s="91"/>
      <c r="B62" s="75" t="str">
        <f t="shared" si="1"/>
        <v/>
      </c>
      <c r="C62" s="75"/>
      <c r="D62" s="75"/>
      <c r="E62" s="75"/>
      <c r="F62" s="75"/>
      <c r="G62" s="92"/>
      <c r="H62" s="92"/>
      <c r="I62" s="101"/>
      <c r="J62" s="102"/>
      <c r="K62" s="81"/>
      <c r="L62" s="81"/>
      <c r="M62" s="81" t="str">
        <f t="shared" si="2"/>
        <v/>
      </c>
      <c r="N62" s="83"/>
      <c r="O62" s="86"/>
      <c r="P62" s="86"/>
      <c r="Q62" s="70"/>
      <c r="R62" s="70"/>
      <c r="S62" s="70"/>
      <c r="T62" s="16"/>
      <c r="U62" s="16"/>
      <c r="V62" s="16"/>
      <c r="W62" s="16"/>
      <c r="X62" s="16"/>
      <c r="Y62" s="16"/>
    </row>
    <row r="63" spans="1:25" ht="41.25" customHeight="1">
      <c r="A63" s="91"/>
      <c r="B63" s="75" t="str">
        <f t="shared" si="1"/>
        <v/>
      </c>
      <c r="C63" s="75"/>
      <c r="D63" s="75"/>
      <c r="E63" s="75"/>
      <c r="F63" s="75"/>
      <c r="G63" s="92"/>
      <c r="H63" s="92"/>
      <c r="I63" s="101"/>
      <c r="J63" s="102"/>
      <c r="K63" s="81"/>
      <c r="L63" s="81"/>
      <c r="M63" s="81" t="str">
        <f t="shared" si="2"/>
        <v/>
      </c>
      <c r="N63" s="83"/>
      <c r="O63" s="86"/>
      <c r="P63" s="86"/>
      <c r="Q63" s="70"/>
      <c r="R63" s="70"/>
      <c r="S63" s="70"/>
      <c r="T63" s="16"/>
      <c r="U63" s="16"/>
      <c r="V63" s="16"/>
      <c r="W63" s="16"/>
      <c r="X63" s="16"/>
      <c r="Y63" s="16"/>
    </row>
    <row r="64" spans="1:25" ht="41.25" customHeight="1">
      <c r="A64" s="91"/>
      <c r="B64" s="75" t="str">
        <f t="shared" si="1"/>
        <v/>
      </c>
      <c r="C64" s="75"/>
      <c r="D64" s="75"/>
      <c r="E64" s="75"/>
      <c r="F64" s="75"/>
      <c r="G64" s="92"/>
      <c r="H64" s="92"/>
      <c r="I64" s="101"/>
      <c r="J64" s="102"/>
      <c r="K64" s="81"/>
      <c r="L64" s="81"/>
      <c r="M64" s="81" t="str">
        <f t="shared" si="2"/>
        <v/>
      </c>
      <c r="N64" s="83"/>
      <c r="O64" s="86"/>
      <c r="P64" s="86"/>
      <c r="Q64" s="70"/>
      <c r="R64" s="70"/>
      <c r="S64" s="70"/>
      <c r="T64" s="16"/>
      <c r="U64" s="16"/>
      <c r="V64" s="16"/>
      <c r="W64" s="16"/>
      <c r="X64" s="16"/>
      <c r="Y64" s="16"/>
    </row>
    <row r="65" spans="1:25" ht="41.25" customHeight="1">
      <c r="A65" s="91"/>
      <c r="B65" s="75" t="str">
        <f t="shared" si="1"/>
        <v/>
      </c>
      <c r="C65" s="75"/>
      <c r="D65" s="75"/>
      <c r="E65" s="75"/>
      <c r="F65" s="75"/>
      <c r="G65" s="92"/>
      <c r="H65" s="92"/>
      <c r="I65" s="101"/>
      <c r="J65" s="102"/>
      <c r="K65" s="81"/>
      <c r="L65" s="81"/>
      <c r="M65" s="81" t="str">
        <f t="shared" si="2"/>
        <v/>
      </c>
      <c r="N65" s="83"/>
      <c r="O65" s="86"/>
      <c r="P65" s="86"/>
      <c r="Q65" s="70"/>
      <c r="R65" s="70"/>
      <c r="S65" s="70"/>
      <c r="T65" s="16"/>
      <c r="U65" s="16"/>
      <c r="V65" s="16"/>
      <c r="W65" s="16"/>
      <c r="X65" s="16"/>
      <c r="Y65" s="16"/>
    </row>
    <row r="66" spans="1:25" ht="41.25" customHeight="1">
      <c r="A66" s="91"/>
      <c r="B66" s="75" t="str">
        <f t="shared" si="1"/>
        <v/>
      </c>
      <c r="C66" s="75"/>
      <c r="D66" s="75"/>
      <c r="E66" s="75"/>
      <c r="F66" s="75"/>
      <c r="G66" s="92"/>
      <c r="H66" s="92"/>
      <c r="I66" s="101"/>
      <c r="J66" s="102"/>
      <c r="K66" s="81"/>
      <c r="L66" s="81"/>
      <c r="M66" s="81" t="str">
        <f t="shared" si="2"/>
        <v/>
      </c>
      <c r="N66" s="83"/>
      <c r="O66" s="86"/>
      <c r="P66" s="86"/>
      <c r="Q66" s="70"/>
      <c r="R66" s="70"/>
      <c r="S66" s="70"/>
      <c r="T66" s="16"/>
      <c r="U66" s="16"/>
      <c r="V66" s="16"/>
      <c r="W66" s="16"/>
      <c r="X66" s="16"/>
      <c r="Y66" s="16"/>
    </row>
    <row r="67" spans="1:25" ht="41.25" customHeight="1">
      <c r="A67" s="91"/>
      <c r="B67" s="75" t="str">
        <f t="shared" si="1"/>
        <v/>
      </c>
      <c r="C67" s="75"/>
      <c r="D67" s="75"/>
      <c r="E67" s="75"/>
      <c r="F67" s="75"/>
      <c r="G67" s="92"/>
      <c r="H67" s="92"/>
      <c r="I67" s="101"/>
      <c r="J67" s="102"/>
      <c r="K67" s="81"/>
      <c r="L67" s="81"/>
      <c r="M67" s="81" t="str">
        <f t="shared" si="2"/>
        <v/>
      </c>
      <c r="N67" s="83"/>
      <c r="O67" s="86"/>
      <c r="P67" s="86"/>
      <c r="Q67" s="70"/>
      <c r="R67" s="70"/>
      <c r="S67" s="70"/>
      <c r="T67" s="16"/>
      <c r="U67" s="16"/>
      <c r="V67" s="16"/>
      <c r="W67" s="16"/>
      <c r="X67" s="16"/>
      <c r="Y67" s="16"/>
    </row>
    <row r="68" spans="1:25" ht="41.25" customHeight="1">
      <c r="A68" s="91"/>
      <c r="B68" s="75" t="str">
        <f t="shared" si="1"/>
        <v/>
      </c>
      <c r="C68" s="75"/>
      <c r="D68" s="75"/>
      <c r="E68" s="75"/>
      <c r="F68" s="75"/>
      <c r="G68" s="92"/>
      <c r="H68" s="92"/>
      <c r="I68" s="101"/>
      <c r="J68" s="102"/>
      <c r="K68" s="81"/>
      <c r="L68" s="81"/>
      <c r="M68" s="81" t="str">
        <f t="shared" si="2"/>
        <v/>
      </c>
      <c r="N68" s="83"/>
      <c r="O68" s="86"/>
      <c r="P68" s="86"/>
      <c r="Q68" s="70"/>
      <c r="R68" s="70"/>
      <c r="S68" s="70"/>
      <c r="T68" s="16"/>
      <c r="U68" s="16"/>
      <c r="V68" s="16"/>
      <c r="W68" s="16"/>
      <c r="X68" s="16"/>
      <c r="Y68" s="16"/>
    </row>
    <row r="69" spans="1:25" ht="41.25" customHeight="1">
      <c r="A69" s="91"/>
      <c r="B69" s="75" t="str">
        <f t="shared" si="1"/>
        <v/>
      </c>
      <c r="C69" s="75"/>
      <c r="D69" s="75"/>
      <c r="E69" s="75"/>
      <c r="F69" s="75"/>
      <c r="G69" s="92"/>
      <c r="H69" s="92"/>
      <c r="I69" s="101"/>
      <c r="J69" s="102"/>
      <c r="K69" s="81"/>
      <c r="L69" s="81"/>
      <c r="M69" s="81" t="str">
        <f t="shared" si="2"/>
        <v/>
      </c>
      <c r="N69" s="83"/>
      <c r="O69" s="86"/>
      <c r="P69" s="86"/>
      <c r="Q69" s="70"/>
      <c r="R69" s="70"/>
      <c r="S69" s="70"/>
      <c r="T69" s="16"/>
      <c r="U69" s="16"/>
      <c r="V69" s="16"/>
      <c r="W69" s="16"/>
      <c r="X69" s="16"/>
      <c r="Y69" s="16"/>
    </row>
    <row r="70" spans="1:25" ht="41.25" customHeight="1">
      <c r="A70" s="91"/>
      <c r="B70" s="75" t="str">
        <f t="shared" si="1"/>
        <v/>
      </c>
      <c r="C70" s="75"/>
      <c r="D70" s="75"/>
      <c r="E70" s="75"/>
      <c r="F70" s="75"/>
      <c r="G70" s="92"/>
      <c r="H70" s="92"/>
      <c r="I70" s="101"/>
      <c r="J70" s="102"/>
      <c r="K70" s="81"/>
      <c r="L70" s="81"/>
      <c r="M70" s="81" t="str">
        <f t="shared" si="2"/>
        <v/>
      </c>
      <c r="N70" s="83"/>
      <c r="O70" s="86"/>
      <c r="P70" s="86"/>
      <c r="Q70" s="70"/>
      <c r="R70" s="70"/>
      <c r="S70" s="70"/>
      <c r="T70" s="16"/>
      <c r="U70" s="16"/>
      <c r="V70" s="16"/>
      <c r="W70" s="16"/>
      <c r="X70" s="16"/>
      <c r="Y70" s="16"/>
    </row>
    <row r="71" spans="1:25" ht="41.25" customHeight="1">
      <c r="A71" s="91"/>
      <c r="B71" s="75" t="str">
        <f t="shared" si="1"/>
        <v/>
      </c>
      <c r="C71" s="75"/>
      <c r="D71" s="75"/>
      <c r="E71" s="75"/>
      <c r="F71" s="75"/>
      <c r="G71" s="92"/>
      <c r="H71" s="92"/>
      <c r="I71" s="101"/>
      <c r="J71" s="102"/>
      <c r="K71" s="81"/>
      <c r="L71" s="81"/>
      <c r="M71" s="81" t="str">
        <f t="shared" si="2"/>
        <v/>
      </c>
      <c r="N71" s="83"/>
      <c r="O71" s="86"/>
      <c r="P71" s="86"/>
      <c r="Q71" s="70"/>
      <c r="R71" s="70"/>
      <c r="S71" s="70"/>
      <c r="T71" s="16"/>
      <c r="U71" s="16"/>
      <c r="V71" s="16"/>
      <c r="W71" s="16"/>
      <c r="X71" s="16"/>
      <c r="Y71" s="16"/>
    </row>
    <row r="72" spans="1:25" ht="41.25" customHeight="1">
      <c r="A72" s="91"/>
      <c r="B72" s="75" t="str">
        <f t="shared" si="1"/>
        <v/>
      </c>
      <c r="C72" s="75"/>
      <c r="D72" s="75"/>
      <c r="E72" s="75"/>
      <c r="F72" s="75"/>
      <c r="G72" s="92"/>
      <c r="H72" s="92"/>
      <c r="I72" s="101"/>
      <c r="J72" s="102"/>
      <c r="K72" s="81"/>
      <c r="L72" s="81"/>
      <c r="M72" s="81" t="str">
        <f t="shared" si="2"/>
        <v/>
      </c>
      <c r="N72" s="83"/>
      <c r="O72" s="86"/>
      <c r="P72" s="86"/>
      <c r="Q72" s="70"/>
      <c r="R72" s="70"/>
      <c r="S72" s="70"/>
      <c r="T72" s="16"/>
      <c r="U72" s="16"/>
      <c r="V72" s="16"/>
      <c r="W72" s="16"/>
      <c r="X72" s="16"/>
      <c r="Y72" s="16"/>
    </row>
    <row r="73" spans="1:25" ht="41.25" customHeight="1">
      <c r="A73" s="91"/>
      <c r="B73" s="75" t="str">
        <f t="shared" si="1"/>
        <v/>
      </c>
      <c r="C73" s="75"/>
      <c r="D73" s="75"/>
      <c r="E73" s="75"/>
      <c r="F73" s="75"/>
      <c r="G73" s="92"/>
      <c r="H73" s="92"/>
      <c r="I73" s="101"/>
      <c r="J73" s="102"/>
      <c r="K73" s="81"/>
      <c r="L73" s="81"/>
      <c r="M73" s="81" t="str">
        <f t="shared" si="2"/>
        <v/>
      </c>
      <c r="N73" s="83"/>
      <c r="O73" s="86"/>
      <c r="P73" s="86"/>
      <c r="Q73" s="70"/>
      <c r="R73" s="70"/>
      <c r="S73" s="70"/>
      <c r="T73" s="16"/>
      <c r="U73" s="16"/>
      <c r="V73" s="16"/>
      <c r="W73" s="16"/>
      <c r="X73" s="16"/>
      <c r="Y73" s="16"/>
    </row>
    <row r="74" spans="1:25" ht="41.25" customHeight="1">
      <c r="A74" s="91"/>
      <c r="B74" s="75" t="str">
        <f t="shared" si="1"/>
        <v/>
      </c>
      <c r="C74" s="75"/>
      <c r="D74" s="75"/>
      <c r="E74" s="75"/>
      <c r="F74" s="75"/>
      <c r="G74" s="92"/>
      <c r="H74" s="92"/>
      <c r="I74" s="101"/>
      <c r="J74" s="102"/>
      <c r="K74" s="81"/>
      <c r="L74" s="81"/>
      <c r="M74" s="81" t="str">
        <f t="shared" si="2"/>
        <v/>
      </c>
      <c r="N74" s="83"/>
      <c r="O74" s="86"/>
      <c r="P74" s="86"/>
      <c r="Q74" s="70"/>
      <c r="R74" s="70"/>
      <c r="S74" s="70"/>
      <c r="T74" s="16"/>
      <c r="U74" s="16"/>
      <c r="V74" s="16"/>
      <c r="W74" s="16"/>
      <c r="X74" s="16"/>
      <c r="Y74" s="16"/>
    </row>
    <row r="75" spans="1:25" ht="41.25" customHeight="1">
      <c r="A75" s="91"/>
      <c r="B75" s="75" t="str">
        <f t="shared" si="1"/>
        <v/>
      </c>
      <c r="C75" s="75"/>
      <c r="D75" s="75"/>
      <c r="E75" s="75"/>
      <c r="F75" s="75"/>
      <c r="G75" s="92"/>
      <c r="H75" s="92"/>
      <c r="I75" s="101"/>
      <c r="J75" s="102"/>
      <c r="K75" s="81"/>
      <c r="L75" s="81"/>
      <c r="M75" s="81" t="str">
        <f t="shared" si="2"/>
        <v/>
      </c>
      <c r="N75" s="83"/>
      <c r="O75" s="86"/>
      <c r="P75" s="86"/>
      <c r="Q75" s="70"/>
      <c r="R75" s="70"/>
      <c r="S75" s="70"/>
      <c r="T75" s="16"/>
      <c r="U75" s="16"/>
      <c r="V75" s="16"/>
      <c r="W75" s="16"/>
      <c r="X75" s="16"/>
      <c r="Y75" s="16"/>
    </row>
    <row r="76" spans="1:25" ht="41.25" customHeight="1">
      <c r="A76" s="91"/>
      <c r="B76" s="75" t="str">
        <f t="shared" si="1"/>
        <v/>
      </c>
      <c r="C76" s="75"/>
      <c r="D76" s="75"/>
      <c r="E76" s="75"/>
      <c r="F76" s="75"/>
      <c r="G76" s="92"/>
      <c r="H76" s="92"/>
      <c r="I76" s="101"/>
      <c r="J76" s="102"/>
      <c r="K76" s="81"/>
      <c r="L76" s="81"/>
      <c r="M76" s="81" t="str">
        <f t="shared" si="2"/>
        <v/>
      </c>
      <c r="N76" s="83"/>
      <c r="O76" s="86"/>
      <c r="P76" s="86"/>
      <c r="Q76" s="70"/>
      <c r="R76" s="70"/>
      <c r="S76" s="70"/>
      <c r="T76" s="16"/>
      <c r="U76" s="16"/>
      <c r="V76" s="16"/>
      <c r="W76" s="16"/>
      <c r="X76" s="16"/>
      <c r="Y76" s="16"/>
    </row>
    <row r="77" spans="1:25" ht="41.25" customHeight="1">
      <c r="A77" s="91"/>
      <c r="B77" s="75" t="str">
        <f t="shared" si="1"/>
        <v/>
      </c>
      <c r="C77" s="75"/>
      <c r="D77" s="75"/>
      <c r="E77" s="75"/>
      <c r="F77" s="75"/>
      <c r="G77" s="92"/>
      <c r="H77" s="92"/>
      <c r="I77" s="101"/>
      <c r="J77" s="102"/>
      <c r="K77" s="81"/>
      <c r="L77" s="81"/>
      <c r="M77" s="81" t="str">
        <f t="shared" si="2"/>
        <v/>
      </c>
      <c r="N77" s="83"/>
      <c r="O77" s="86"/>
      <c r="P77" s="86"/>
      <c r="Q77" s="70"/>
      <c r="R77" s="70"/>
      <c r="S77" s="70"/>
      <c r="T77" s="16"/>
      <c r="U77" s="16"/>
      <c r="V77" s="16"/>
      <c r="W77" s="16"/>
      <c r="X77" s="16"/>
      <c r="Y77" s="16"/>
    </row>
    <row r="78" spans="1:25" ht="41.25" customHeight="1">
      <c r="A78" s="91"/>
      <c r="B78" s="75" t="str">
        <f t="shared" si="1"/>
        <v/>
      </c>
      <c r="C78" s="75"/>
      <c r="D78" s="75"/>
      <c r="E78" s="75"/>
      <c r="F78" s="75"/>
      <c r="G78" s="92"/>
      <c r="H78" s="92"/>
      <c r="I78" s="101"/>
      <c r="J78" s="102"/>
      <c r="K78" s="81"/>
      <c r="L78" s="81"/>
      <c r="M78" s="81" t="str">
        <f t="shared" si="2"/>
        <v/>
      </c>
      <c r="N78" s="83"/>
      <c r="O78" s="86"/>
      <c r="P78" s="86"/>
      <c r="Q78" s="70"/>
      <c r="R78" s="70"/>
      <c r="S78" s="70"/>
      <c r="T78" s="16"/>
      <c r="U78" s="16"/>
      <c r="V78" s="16"/>
      <c r="W78" s="16"/>
      <c r="X78" s="16"/>
      <c r="Y78" s="16"/>
    </row>
    <row r="79" spans="1:25" ht="41.25" customHeight="1">
      <c r="A79" s="91"/>
      <c r="B79" s="75" t="str">
        <f t="shared" si="1"/>
        <v/>
      </c>
      <c r="C79" s="75"/>
      <c r="D79" s="75"/>
      <c r="E79" s="75"/>
      <c r="F79" s="75"/>
      <c r="G79" s="92"/>
      <c r="H79" s="92"/>
      <c r="I79" s="101"/>
      <c r="J79" s="102"/>
      <c r="K79" s="81"/>
      <c r="L79" s="81"/>
      <c r="M79" s="81" t="str">
        <f t="shared" si="2"/>
        <v/>
      </c>
      <c r="N79" s="83"/>
      <c r="O79" s="86"/>
      <c r="P79" s="86"/>
      <c r="Q79" s="70"/>
      <c r="R79" s="70"/>
      <c r="S79" s="70"/>
      <c r="T79" s="16"/>
      <c r="U79" s="16"/>
      <c r="V79" s="16"/>
      <c r="W79" s="16"/>
      <c r="X79" s="16"/>
      <c r="Y79" s="16"/>
    </row>
    <row r="80" spans="1:25" ht="41.25" customHeight="1">
      <c r="A80" s="91"/>
      <c r="B80" s="75" t="str">
        <f t="shared" si="1"/>
        <v/>
      </c>
      <c r="C80" s="75"/>
      <c r="D80" s="75"/>
      <c r="E80" s="75"/>
      <c r="F80" s="75"/>
      <c r="G80" s="92"/>
      <c r="H80" s="92"/>
      <c r="I80" s="101"/>
      <c r="J80" s="102"/>
      <c r="K80" s="81"/>
      <c r="L80" s="81"/>
      <c r="M80" s="81" t="str">
        <f t="shared" si="2"/>
        <v/>
      </c>
      <c r="N80" s="83"/>
      <c r="O80" s="86"/>
      <c r="P80" s="86"/>
      <c r="Q80" s="70"/>
      <c r="R80" s="70"/>
      <c r="S80" s="70"/>
      <c r="T80" s="16"/>
      <c r="U80" s="16"/>
      <c r="V80" s="16"/>
      <c r="W80" s="16"/>
      <c r="X80" s="16"/>
      <c r="Y80" s="16"/>
    </row>
    <row r="81" spans="1:25" ht="41.25" customHeight="1">
      <c r="A81" s="91"/>
      <c r="B81" s="75" t="str">
        <f t="shared" si="1"/>
        <v/>
      </c>
      <c r="C81" s="75"/>
      <c r="D81" s="75"/>
      <c r="E81" s="75"/>
      <c r="F81" s="75"/>
      <c r="G81" s="92"/>
      <c r="H81" s="92"/>
      <c r="I81" s="101"/>
      <c r="J81" s="102"/>
      <c r="K81" s="81"/>
      <c r="L81" s="81"/>
      <c r="M81" s="81" t="str">
        <f t="shared" si="2"/>
        <v/>
      </c>
      <c r="N81" s="83"/>
      <c r="O81" s="86"/>
      <c r="P81" s="86"/>
      <c r="Q81" s="70"/>
      <c r="R81" s="70"/>
      <c r="S81" s="70"/>
      <c r="T81" s="16"/>
      <c r="U81" s="16"/>
      <c r="V81" s="16"/>
      <c r="W81" s="16"/>
      <c r="X81" s="16"/>
      <c r="Y81" s="16"/>
    </row>
    <row r="82" spans="1:25" ht="41.25" customHeight="1">
      <c r="A82" s="91"/>
      <c r="B82" s="75" t="str">
        <f t="shared" si="1"/>
        <v/>
      </c>
      <c r="C82" s="75"/>
      <c r="D82" s="75"/>
      <c r="E82" s="75"/>
      <c r="F82" s="75"/>
      <c r="G82" s="92"/>
      <c r="H82" s="92"/>
      <c r="I82" s="101"/>
      <c r="J82" s="102"/>
      <c r="K82" s="81"/>
      <c r="L82" s="81"/>
      <c r="M82" s="81" t="str">
        <f t="shared" si="2"/>
        <v/>
      </c>
      <c r="N82" s="83"/>
      <c r="O82" s="86"/>
      <c r="P82" s="86"/>
      <c r="Q82" s="70"/>
      <c r="R82" s="70"/>
      <c r="S82" s="70"/>
      <c r="T82" s="16"/>
      <c r="U82" s="16"/>
      <c r="V82" s="16"/>
      <c r="W82" s="16"/>
      <c r="X82" s="16"/>
      <c r="Y82" s="16"/>
    </row>
    <row r="83" spans="1:25" ht="41.25" customHeight="1">
      <c r="A83" s="91"/>
      <c r="B83" s="75" t="str">
        <f t="shared" si="1"/>
        <v/>
      </c>
      <c r="C83" s="75"/>
      <c r="D83" s="75"/>
      <c r="E83" s="75"/>
      <c r="F83" s="75"/>
      <c r="G83" s="92"/>
      <c r="H83" s="92"/>
      <c r="I83" s="101"/>
      <c r="J83" s="102"/>
      <c r="K83" s="81"/>
      <c r="L83" s="81"/>
      <c r="M83" s="81" t="str">
        <f t="shared" si="2"/>
        <v/>
      </c>
      <c r="N83" s="83"/>
      <c r="O83" s="86"/>
      <c r="P83" s="86"/>
      <c r="Q83" s="70"/>
      <c r="R83" s="70"/>
      <c r="S83" s="70"/>
      <c r="T83" s="16"/>
      <c r="U83" s="16"/>
      <c r="V83" s="16"/>
      <c r="W83" s="16"/>
      <c r="X83" s="16"/>
      <c r="Y83" s="16"/>
    </row>
    <row r="84" spans="1:25" ht="41.25" customHeight="1">
      <c r="A84" s="91"/>
      <c r="B84" s="75" t="str">
        <f t="shared" si="1"/>
        <v/>
      </c>
      <c r="C84" s="75"/>
      <c r="D84" s="75"/>
      <c r="E84" s="75"/>
      <c r="F84" s="75"/>
      <c r="G84" s="92"/>
      <c r="H84" s="92"/>
      <c r="I84" s="101"/>
      <c r="J84" s="102"/>
      <c r="K84" s="81"/>
      <c r="L84" s="81"/>
      <c r="M84" s="81" t="str">
        <f t="shared" si="2"/>
        <v/>
      </c>
      <c r="N84" s="83"/>
      <c r="O84" s="86"/>
      <c r="P84" s="86"/>
      <c r="Q84" s="70"/>
      <c r="R84" s="70"/>
      <c r="S84" s="70"/>
      <c r="T84" s="16"/>
      <c r="U84" s="16"/>
      <c r="V84" s="16"/>
      <c r="W84" s="16"/>
      <c r="X84" s="16"/>
      <c r="Y84" s="16"/>
    </row>
    <row r="85" spans="1:25" ht="41.25" customHeight="1">
      <c r="A85" s="91"/>
      <c r="B85" s="75" t="str">
        <f t="shared" si="1"/>
        <v/>
      </c>
      <c r="C85" s="75"/>
      <c r="D85" s="75"/>
      <c r="E85" s="75"/>
      <c r="F85" s="75"/>
      <c r="G85" s="92"/>
      <c r="H85" s="92"/>
      <c r="I85" s="101"/>
      <c r="J85" s="102"/>
      <c r="K85" s="81"/>
      <c r="L85" s="81"/>
      <c r="M85" s="81" t="str">
        <f t="shared" si="2"/>
        <v/>
      </c>
      <c r="N85" s="83"/>
      <c r="O85" s="86"/>
      <c r="P85" s="86"/>
      <c r="Q85" s="70"/>
      <c r="R85" s="70"/>
      <c r="S85" s="70"/>
      <c r="T85" s="16"/>
      <c r="U85" s="16"/>
      <c r="V85" s="16"/>
      <c r="W85" s="16"/>
      <c r="X85" s="16"/>
      <c r="Y85" s="16"/>
    </row>
    <row r="86" spans="1:25" ht="41.25" customHeight="1">
      <c r="A86" s="91"/>
      <c r="B86" s="75" t="str">
        <f t="shared" si="1"/>
        <v/>
      </c>
      <c r="C86" s="75"/>
      <c r="D86" s="75"/>
      <c r="E86" s="75"/>
      <c r="F86" s="75"/>
      <c r="G86" s="92"/>
      <c r="H86" s="92"/>
      <c r="I86" s="101"/>
      <c r="J86" s="102"/>
      <c r="K86" s="81"/>
      <c r="L86" s="81"/>
      <c r="M86" s="81" t="str">
        <f t="shared" si="2"/>
        <v/>
      </c>
      <c r="N86" s="83"/>
      <c r="O86" s="86"/>
      <c r="P86" s="86"/>
      <c r="Q86" s="70"/>
      <c r="R86" s="70"/>
      <c r="S86" s="70"/>
      <c r="T86" s="16"/>
      <c r="U86" s="16"/>
      <c r="V86" s="16"/>
      <c r="W86" s="16"/>
      <c r="X86" s="16"/>
      <c r="Y86" s="16"/>
    </row>
    <row r="87" spans="1:25" ht="41.25" customHeight="1">
      <c r="A87" s="91"/>
      <c r="B87" s="75" t="str">
        <f t="shared" si="1"/>
        <v/>
      </c>
      <c r="C87" s="75"/>
      <c r="D87" s="75"/>
      <c r="E87" s="75"/>
      <c r="F87" s="75"/>
      <c r="G87" s="92"/>
      <c r="H87" s="92"/>
      <c r="I87" s="101"/>
      <c r="J87" s="102"/>
      <c r="K87" s="81"/>
      <c r="L87" s="81"/>
      <c r="M87" s="81" t="str">
        <f t="shared" si="2"/>
        <v/>
      </c>
      <c r="N87" s="83"/>
      <c r="O87" s="86"/>
      <c r="P87" s="86"/>
      <c r="Q87" s="70"/>
      <c r="R87" s="70"/>
      <c r="S87" s="70"/>
      <c r="T87" s="16"/>
      <c r="U87" s="16"/>
      <c r="V87" s="16"/>
      <c r="W87" s="16"/>
      <c r="X87" s="16"/>
      <c r="Y87" s="16"/>
    </row>
    <row r="88" spans="1:25" ht="41.25" customHeight="1">
      <c r="A88" s="91"/>
      <c r="B88" s="75" t="str">
        <f t="shared" si="1"/>
        <v/>
      </c>
      <c r="C88" s="75"/>
      <c r="D88" s="75"/>
      <c r="E88" s="75"/>
      <c r="F88" s="75"/>
      <c r="G88" s="92"/>
      <c r="H88" s="92"/>
      <c r="I88" s="101"/>
      <c r="J88" s="102"/>
      <c r="K88" s="81"/>
      <c r="L88" s="81"/>
      <c r="M88" s="81" t="str">
        <f t="shared" si="2"/>
        <v/>
      </c>
      <c r="N88" s="83"/>
      <c r="O88" s="86"/>
      <c r="P88" s="86"/>
      <c r="Q88" s="70"/>
      <c r="R88" s="70"/>
      <c r="S88" s="70"/>
      <c r="T88" s="16"/>
      <c r="U88" s="16"/>
      <c r="V88" s="16"/>
      <c r="W88" s="16"/>
      <c r="X88" s="16"/>
      <c r="Y88" s="16"/>
    </row>
    <row r="89" spans="1:25" ht="41.25" customHeight="1">
      <c r="A89" s="91"/>
      <c r="B89" s="75" t="str">
        <f t="shared" si="1"/>
        <v/>
      </c>
      <c r="C89" s="75"/>
      <c r="D89" s="75"/>
      <c r="E89" s="75"/>
      <c r="F89" s="75"/>
      <c r="G89" s="92"/>
      <c r="H89" s="92"/>
      <c r="I89" s="101"/>
      <c r="J89" s="102"/>
      <c r="K89" s="81"/>
      <c r="L89" s="81"/>
      <c r="M89" s="81" t="str">
        <f t="shared" si="2"/>
        <v/>
      </c>
      <c r="N89" s="83"/>
      <c r="O89" s="86"/>
      <c r="P89" s="86"/>
      <c r="Q89" s="70"/>
      <c r="R89" s="70"/>
      <c r="S89" s="70"/>
      <c r="T89" s="16"/>
      <c r="U89" s="16"/>
      <c r="V89" s="16"/>
      <c r="W89" s="16"/>
      <c r="X89" s="16"/>
      <c r="Y89" s="16"/>
    </row>
    <row r="90" spans="1:25" ht="41.25" customHeight="1">
      <c r="A90" s="91"/>
      <c r="B90" s="75" t="str">
        <f t="shared" si="1"/>
        <v/>
      </c>
      <c r="C90" s="75"/>
      <c r="D90" s="75"/>
      <c r="E90" s="75"/>
      <c r="F90" s="75"/>
      <c r="G90" s="92"/>
      <c r="H90" s="92"/>
      <c r="I90" s="101"/>
      <c r="J90" s="102"/>
      <c r="K90" s="81"/>
      <c r="L90" s="81"/>
      <c r="M90" s="81" t="str">
        <f t="shared" si="2"/>
        <v/>
      </c>
      <c r="N90" s="83"/>
      <c r="O90" s="86"/>
      <c r="P90" s="86"/>
      <c r="Q90" s="70"/>
      <c r="R90" s="70"/>
      <c r="S90" s="70"/>
      <c r="T90" s="16"/>
      <c r="U90" s="16"/>
      <c r="V90" s="16"/>
      <c r="W90" s="16"/>
      <c r="X90" s="16"/>
      <c r="Y90" s="16"/>
    </row>
    <row r="91" spans="1:25" ht="41.25" customHeight="1">
      <c r="A91" s="91"/>
      <c r="B91" s="75" t="str">
        <f t="shared" si="1"/>
        <v/>
      </c>
      <c r="C91" s="75"/>
      <c r="D91" s="75"/>
      <c r="E91" s="75"/>
      <c r="F91" s="75"/>
      <c r="G91" s="92"/>
      <c r="H91" s="92"/>
      <c r="I91" s="101"/>
      <c r="J91" s="102"/>
      <c r="K91" s="81"/>
      <c r="L91" s="81"/>
      <c r="M91" s="81" t="str">
        <f t="shared" si="2"/>
        <v/>
      </c>
      <c r="N91" s="83"/>
      <c r="O91" s="86"/>
      <c r="P91" s="86"/>
      <c r="Q91" s="70"/>
      <c r="R91" s="70"/>
      <c r="S91" s="70"/>
      <c r="T91" s="16"/>
      <c r="U91" s="16"/>
      <c r="V91" s="16"/>
      <c r="W91" s="16"/>
      <c r="X91" s="16"/>
      <c r="Y91" s="16"/>
    </row>
    <row r="92" spans="1:25" ht="41.25" customHeight="1">
      <c r="A92" s="91"/>
      <c r="B92" s="75" t="str">
        <f t="shared" si="1"/>
        <v/>
      </c>
      <c r="C92" s="75"/>
      <c r="D92" s="75"/>
      <c r="E92" s="75"/>
      <c r="F92" s="75"/>
      <c r="G92" s="92"/>
      <c r="H92" s="92"/>
      <c r="I92" s="101"/>
      <c r="J92" s="102"/>
      <c r="K92" s="81"/>
      <c r="L92" s="81"/>
      <c r="M92" s="81" t="str">
        <f t="shared" si="2"/>
        <v/>
      </c>
      <c r="N92" s="83"/>
      <c r="O92" s="86"/>
      <c r="P92" s="86"/>
      <c r="Q92" s="70"/>
      <c r="R92" s="70"/>
      <c r="S92" s="70"/>
      <c r="T92" s="16"/>
      <c r="U92" s="16"/>
      <c r="V92" s="16"/>
      <c r="W92" s="16"/>
      <c r="X92" s="16"/>
      <c r="Y92" s="16"/>
    </row>
    <row r="93" spans="1:25" ht="41.25" customHeight="1">
      <c r="A93" s="91"/>
      <c r="B93" s="75" t="str">
        <f t="shared" si="1"/>
        <v/>
      </c>
      <c r="C93" s="75"/>
      <c r="D93" s="75"/>
      <c r="E93" s="75"/>
      <c r="F93" s="75"/>
      <c r="G93" s="92"/>
      <c r="H93" s="92"/>
      <c r="I93" s="101"/>
      <c r="J93" s="102"/>
      <c r="K93" s="81"/>
      <c r="L93" s="81"/>
      <c r="M93" s="81" t="str">
        <f t="shared" si="2"/>
        <v/>
      </c>
      <c r="N93" s="83"/>
      <c r="O93" s="86"/>
      <c r="P93" s="86"/>
      <c r="Q93" s="70"/>
      <c r="R93" s="70"/>
      <c r="S93" s="70"/>
      <c r="T93" s="16"/>
      <c r="U93" s="16"/>
      <c r="V93" s="16"/>
      <c r="W93" s="16"/>
      <c r="X93" s="16"/>
      <c r="Y93" s="16"/>
    </row>
    <row r="94" spans="1:25" ht="41.25" customHeight="1">
      <c r="A94" s="91"/>
      <c r="B94" s="75" t="str">
        <f t="shared" si="1"/>
        <v/>
      </c>
      <c r="C94" s="75"/>
      <c r="D94" s="75"/>
      <c r="E94" s="75"/>
      <c r="F94" s="75"/>
      <c r="G94" s="92"/>
      <c r="H94" s="92"/>
      <c r="I94" s="101"/>
      <c r="J94" s="102"/>
      <c r="K94" s="81"/>
      <c r="L94" s="81"/>
      <c r="M94" s="81" t="str">
        <f t="shared" si="2"/>
        <v/>
      </c>
      <c r="N94" s="83"/>
      <c r="O94" s="86"/>
      <c r="P94" s="86"/>
      <c r="Q94" s="70"/>
      <c r="R94" s="70"/>
      <c r="S94" s="70"/>
      <c r="T94" s="16"/>
      <c r="U94" s="16"/>
      <c r="V94" s="16"/>
      <c r="W94" s="16"/>
      <c r="X94" s="16"/>
      <c r="Y94" s="16"/>
    </row>
    <row r="95" spans="1:25" ht="41.25" customHeight="1">
      <c r="A95" s="91"/>
      <c r="B95" s="75" t="str">
        <f t="shared" si="1"/>
        <v/>
      </c>
      <c r="C95" s="75"/>
      <c r="D95" s="75"/>
      <c r="E95" s="75"/>
      <c r="F95" s="75"/>
      <c r="G95" s="92"/>
      <c r="H95" s="92"/>
      <c r="I95" s="101"/>
      <c r="J95" s="102"/>
      <c r="K95" s="81"/>
      <c r="L95" s="81"/>
      <c r="M95" s="81" t="str">
        <f t="shared" si="2"/>
        <v/>
      </c>
      <c r="N95" s="83"/>
      <c r="O95" s="86"/>
      <c r="P95" s="86"/>
      <c r="Q95" s="70"/>
      <c r="R95" s="70"/>
      <c r="S95" s="70"/>
      <c r="T95" s="16"/>
      <c r="U95" s="16"/>
      <c r="V95" s="16"/>
      <c r="W95" s="16"/>
      <c r="X95" s="16"/>
      <c r="Y95" s="16"/>
    </row>
    <row r="96" spans="1:25" ht="41.25" customHeight="1">
      <c r="A96" s="91"/>
      <c r="B96" s="75" t="str">
        <f t="shared" si="1"/>
        <v/>
      </c>
      <c r="C96" s="75"/>
      <c r="D96" s="75"/>
      <c r="E96" s="75"/>
      <c r="F96" s="75"/>
      <c r="G96" s="92"/>
      <c r="H96" s="92"/>
      <c r="I96" s="101"/>
      <c r="J96" s="102"/>
      <c r="K96" s="81"/>
      <c r="L96" s="81"/>
      <c r="M96" s="81" t="str">
        <f t="shared" si="2"/>
        <v/>
      </c>
      <c r="N96" s="83"/>
      <c r="O96" s="86"/>
      <c r="P96" s="86"/>
      <c r="Q96" s="70"/>
      <c r="R96" s="70"/>
      <c r="S96" s="70"/>
      <c r="T96" s="16"/>
      <c r="U96" s="16"/>
      <c r="V96" s="16"/>
      <c r="W96" s="16"/>
      <c r="X96" s="16"/>
      <c r="Y96" s="16"/>
    </row>
    <row r="97" spans="1:25" ht="41.25" customHeight="1">
      <c r="A97" s="91"/>
      <c r="B97" s="75" t="str">
        <f t="shared" si="1"/>
        <v/>
      </c>
      <c r="C97" s="75"/>
      <c r="D97" s="75"/>
      <c r="E97" s="75"/>
      <c r="F97" s="75"/>
      <c r="G97" s="92"/>
      <c r="H97" s="92"/>
      <c r="I97" s="101"/>
      <c r="J97" s="102"/>
      <c r="K97" s="81"/>
      <c r="L97" s="81"/>
      <c r="M97" s="81" t="str">
        <f t="shared" si="2"/>
        <v/>
      </c>
      <c r="N97" s="83"/>
      <c r="O97" s="86"/>
      <c r="P97" s="86"/>
      <c r="Q97" s="70"/>
      <c r="R97" s="70"/>
      <c r="S97" s="70"/>
      <c r="T97" s="16"/>
      <c r="U97" s="16"/>
      <c r="V97" s="16"/>
      <c r="W97" s="16"/>
      <c r="X97" s="16"/>
      <c r="Y97" s="16"/>
    </row>
    <row r="98" spans="1:25" ht="41.25" customHeight="1">
      <c r="A98" s="91"/>
      <c r="B98" s="75" t="str">
        <f t="shared" si="1"/>
        <v/>
      </c>
      <c r="C98" s="75"/>
      <c r="D98" s="75"/>
      <c r="E98" s="75"/>
      <c r="F98" s="75"/>
      <c r="G98" s="92"/>
      <c r="H98" s="92"/>
      <c r="I98" s="101"/>
      <c r="J98" s="102"/>
      <c r="K98" s="81"/>
      <c r="L98" s="81"/>
      <c r="M98" s="81" t="str">
        <f t="shared" si="2"/>
        <v/>
      </c>
      <c r="N98" s="83"/>
      <c r="O98" s="86"/>
      <c r="P98" s="86"/>
      <c r="Q98" s="70"/>
      <c r="R98" s="70"/>
      <c r="S98" s="70"/>
      <c r="T98" s="16"/>
      <c r="U98" s="16"/>
      <c r="V98" s="16"/>
      <c r="W98" s="16"/>
      <c r="X98" s="16"/>
      <c r="Y98" s="16"/>
    </row>
    <row r="99" spans="1:25" ht="41.25" customHeight="1">
      <c r="A99" s="91"/>
      <c r="B99" s="75" t="str">
        <f t="shared" si="1"/>
        <v/>
      </c>
      <c r="C99" s="75"/>
      <c r="D99" s="75"/>
      <c r="E99" s="75"/>
      <c r="F99" s="75"/>
      <c r="G99" s="92"/>
      <c r="H99" s="92"/>
      <c r="I99" s="101"/>
      <c r="J99" s="102"/>
      <c r="K99" s="81"/>
      <c r="L99" s="81"/>
      <c r="M99" s="81" t="str">
        <f t="shared" si="2"/>
        <v/>
      </c>
      <c r="N99" s="83"/>
      <c r="O99" s="86"/>
      <c r="P99" s="86"/>
      <c r="Q99" s="70"/>
      <c r="R99" s="70"/>
      <c r="S99" s="70"/>
      <c r="T99" s="16"/>
      <c r="U99" s="16"/>
      <c r="V99" s="16"/>
      <c r="W99" s="16"/>
      <c r="X99" s="16"/>
      <c r="Y99" s="16"/>
    </row>
    <row r="100" spans="1:25" ht="41.25" customHeight="1">
      <c r="A100" s="91"/>
      <c r="B100" s="75" t="str">
        <f t="shared" si="1"/>
        <v/>
      </c>
      <c r="C100" s="75"/>
      <c r="D100" s="75"/>
      <c r="E100" s="75"/>
      <c r="F100" s="75"/>
      <c r="G100" s="92"/>
      <c r="H100" s="92"/>
      <c r="I100" s="101"/>
      <c r="J100" s="102"/>
      <c r="K100" s="81"/>
      <c r="L100" s="81"/>
      <c r="M100" s="81" t="str">
        <f t="shared" si="2"/>
        <v/>
      </c>
      <c r="N100" s="83"/>
      <c r="O100" s="86"/>
      <c r="P100" s="86"/>
      <c r="Q100" s="70"/>
      <c r="R100" s="70"/>
      <c r="S100" s="70"/>
      <c r="T100" s="16"/>
      <c r="U100" s="16"/>
      <c r="V100" s="16"/>
      <c r="W100" s="16"/>
      <c r="X100" s="16"/>
      <c r="Y100" s="16"/>
    </row>
    <row r="101" spans="1:25" ht="41.25" customHeight="1">
      <c r="A101" s="91"/>
      <c r="B101" s="75" t="str">
        <f t="shared" si="1"/>
        <v/>
      </c>
      <c r="C101" s="75"/>
      <c r="D101" s="75"/>
      <c r="E101" s="75"/>
      <c r="F101" s="75"/>
      <c r="G101" s="92"/>
      <c r="H101" s="92"/>
      <c r="I101" s="101"/>
      <c r="J101" s="102"/>
      <c r="K101" s="81"/>
      <c r="L101" s="81"/>
      <c r="M101" s="81" t="str">
        <f t="shared" si="2"/>
        <v/>
      </c>
      <c r="N101" s="83"/>
      <c r="O101" s="86"/>
      <c r="P101" s="86"/>
      <c r="Q101" s="70"/>
      <c r="R101" s="70"/>
      <c r="S101" s="70"/>
      <c r="T101" s="16"/>
      <c r="U101" s="16"/>
      <c r="V101" s="16"/>
      <c r="W101" s="16"/>
      <c r="X101" s="16"/>
      <c r="Y101" s="16"/>
    </row>
    <row r="102" spans="1:25" ht="41.25" customHeight="1">
      <c r="A102" s="91"/>
      <c r="B102" s="75" t="str">
        <f t="shared" si="1"/>
        <v/>
      </c>
      <c r="C102" s="75"/>
      <c r="D102" s="75"/>
      <c r="E102" s="75"/>
      <c r="F102" s="75"/>
      <c r="G102" s="92"/>
      <c r="H102" s="92"/>
      <c r="I102" s="101"/>
      <c r="J102" s="102"/>
      <c r="K102" s="81"/>
      <c r="L102" s="81"/>
      <c r="M102" s="81" t="str">
        <f t="shared" si="2"/>
        <v/>
      </c>
      <c r="N102" s="83"/>
      <c r="O102" s="86"/>
      <c r="P102" s="86"/>
      <c r="Q102" s="70"/>
      <c r="R102" s="70"/>
      <c r="S102" s="70"/>
      <c r="T102" s="16"/>
      <c r="U102" s="16"/>
      <c r="V102" s="16"/>
      <c r="W102" s="16"/>
      <c r="X102" s="16"/>
      <c r="Y102" s="16"/>
    </row>
    <row r="103" spans="1:25" ht="41.25" customHeight="1">
      <c r="A103" s="91"/>
      <c r="B103" s="75" t="str">
        <f t="shared" si="1"/>
        <v/>
      </c>
      <c r="C103" s="75"/>
      <c r="D103" s="75"/>
      <c r="E103" s="75"/>
      <c r="F103" s="75"/>
      <c r="G103" s="92"/>
      <c r="H103" s="92"/>
      <c r="I103" s="101"/>
      <c r="J103" s="102"/>
      <c r="K103" s="81"/>
      <c r="L103" s="81"/>
      <c r="M103" s="81" t="str">
        <f t="shared" si="2"/>
        <v/>
      </c>
      <c r="N103" s="83"/>
      <c r="O103" s="86"/>
      <c r="P103" s="86"/>
      <c r="Q103" s="70"/>
      <c r="R103" s="70"/>
      <c r="S103" s="70"/>
      <c r="T103" s="16"/>
      <c r="U103" s="16"/>
      <c r="V103" s="16"/>
      <c r="W103" s="16"/>
      <c r="X103" s="16"/>
      <c r="Y103" s="16"/>
    </row>
    <row r="104" spans="1:25" ht="41.25" customHeight="1">
      <c r="A104" s="91"/>
      <c r="B104" s="75" t="str">
        <f t="shared" si="1"/>
        <v/>
      </c>
      <c r="C104" s="75"/>
      <c r="D104" s="75"/>
      <c r="E104" s="75"/>
      <c r="F104" s="75"/>
      <c r="G104" s="92"/>
      <c r="H104" s="92"/>
      <c r="I104" s="101"/>
      <c r="J104" s="102"/>
      <c r="K104" s="81"/>
      <c r="L104" s="81"/>
      <c r="M104" s="81" t="str">
        <f t="shared" si="2"/>
        <v/>
      </c>
      <c r="N104" s="83"/>
      <c r="O104" s="86"/>
      <c r="P104" s="86"/>
      <c r="Q104" s="70"/>
      <c r="R104" s="70"/>
      <c r="S104" s="70"/>
      <c r="T104" s="16"/>
      <c r="U104" s="16"/>
      <c r="V104" s="16"/>
      <c r="W104" s="16"/>
      <c r="X104" s="16"/>
      <c r="Y104" s="16"/>
    </row>
    <row r="105" spans="1:25" ht="41.25" customHeight="1">
      <c r="A105" s="91"/>
      <c r="B105" s="75" t="str">
        <f t="shared" si="1"/>
        <v/>
      </c>
      <c r="C105" s="75"/>
      <c r="D105" s="75"/>
      <c r="E105" s="75"/>
      <c r="F105" s="75"/>
      <c r="G105" s="92"/>
      <c r="H105" s="92"/>
      <c r="I105" s="101"/>
      <c r="J105" s="102"/>
      <c r="K105" s="81"/>
      <c r="L105" s="81"/>
      <c r="M105" s="81" t="str">
        <f t="shared" si="2"/>
        <v/>
      </c>
      <c r="N105" s="83"/>
      <c r="O105" s="86"/>
      <c r="P105" s="86"/>
      <c r="Q105" s="70"/>
      <c r="R105" s="70"/>
      <c r="S105" s="70"/>
      <c r="T105" s="16"/>
      <c r="U105" s="16"/>
      <c r="V105" s="16"/>
      <c r="W105" s="16"/>
      <c r="X105" s="16"/>
      <c r="Y105" s="16"/>
    </row>
    <row r="106" spans="1:25" ht="41.25" customHeight="1">
      <c r="A106" s="91"/>
      <c r="B106" s="75" t="str">
        <f t="shared" si="1"/>
        <v/>
      </c>
      <c r="C106" s="75"/>
      <c r="D106" s="75"/>
      <c r="E106" s="75"/>
      <c r="F106" s="75"/>
      <c r="G106" s="92"/>
      <c r="H106" s="92"/>
      <c r="I106" s="101"/>
      <c r="J106" s="102"/>
      <c r="K106" s="81"/>
      <c r="L106" s="81"/>
      <c r="M106" s="81" t="str">
        <f t="shared" si="2"/>
        <v/>
      </c>
      <c r="N106" s="83"/>
      <c r="O106" s="86"/>
      <c r="P106" s="86"/>
      <c r="Q106" s="70"/>
      <c r="R106" s="70"/>
      <c r="S106" s="70"/>
      <c r="T106" s="16"/>
      <c r="U106" s="16"/>
      <c r="V106" s="16"/>
      <c r="W106" s="16"/>
      <c r="X106" s="16"/>
      <c r="Y106" s="16"/>
    </row>
    <row r="107" spans="1:25" ht="41.25" customHeight="1">
      <c r="A107" s="91"/>
      <c r="B107" s="75" t="str">
        <f t="shared" si="1"/>
        <v/>
      </c>
      <c r="C107" s="75"/>
      <c r="D107" s="75"/>
      <c r="E107" s="75"/>
      <c r="F107" s="75"/>
      <c r="G107" s="92"/>
      <c r="H107" s="92"/>
      <c r="I107" s="101"/>
      <c r="J107" s="102"/>
      <c r="K107" s="81"/>
      <c r="L107" s="81"/>
      <c r="M107" s="81" t="str">
        <f t="shared" si="2"/>
        <v/>
      </c>
      <c r="N107" s="83"/>
      <c r="O107" s="86"/>
      <c r="P107" s="86"/>
      <c r="Q107" s="70"/>
      <c r="R107" s="70"/>
      <c r="S107" s="70"/>
      <c r="T107" s="16"/>
      <c r="U107" s="16"/>
      <c r="V107" s="16"/>
      <c r="W107" s="16"/>
      <c r="X107" s="16"/>
      <c r="Y107" s="16"/>
    </row>
    <row r="108" spans="1:25" ht="41.25" customHeight="1">
      <c r="A108" s="91"/>
      <c r="B108" s="75" t="str">
        <f t="shared" si="1"/>
        <v/>
      </c>
      <c r="C108" s="75"/>
      <c r="D108" s="75"/>
      <c r="E108" s="75"/>
      <c r="F108" s="75"/>
      <c r="G108" s="92"/>
      <c r="H108" s="92"/>
      <c r="I108" s="101"/>
      <c r="J108" s="102"/>
      <c r="K108" s="81"/>
      <c r="L108" s="81"/>
      <c r="M108" s="81" t="str">
        <f t="shared" si="2"/>
        <v/>
      </c>
      <c r="N108" s="83"/>
      <c r="O108" s="86"/>
      <c r="P108" s="86"/>
      <c r="Q108" s="70"/>
      <c r="R108" s="70"/>
      <c r="S108" s="70"/>
      <c r="T108" s="16"/>
      <c r="U108" s="16"/>
      <c r="V108" s="16"/>
      <c r="W108" s="16"/>
      <c r="X108" s="16"/>
      <c r="Y108" s="16"/>
    </row>
    <row r="109" spans="1:25" ht="41.25" customHeight="1">
      <c r="A109" s="91"/>
      <c r="B109" s="75" t="str">
        <f t="shared" si="1"/>
        <v/>
      </c>
      <c r="C109" s="75"/>
      <c r="D109" s="75"/>
      <c r="E109" s="75"/>
      <c r="F109" s="75"/>
      <c r="G109" s="92"/>
      <c r="H109" s="92"/>
      <c r="I109" s="101"/>
      <c r="J109" s="102"/>
      <c r="K109" s="81"/>
      <c r="L109" s="81"/>
      <c r="M109" s="81" t="str">
        <f t="shared" si="2"/>
        <v/>
      </c>
      <c r="N109" s="83"/>
      <c r="O109" s="86"/>
      <c r="P109" s="86"/>
      <c r="Q109" s="70"/>
      <c r="R109" s="70"/>
      <c r="S109" s="70"/>
      <c r="T109" s="16"/>
      <c r="U109" s="16"/>
      <c r="V109" s="16"/>
      <c r="W109" s="16"/>
      <c r="X109" s="16"/>
      <c r="Y109" s="16"/>
    </row>
    <row r="110" spans="1:25" ht="41.25" customHeight="1">
      <c r="A110" s="91"/>
      <c r="B110" s="75" t="str">
        <f t="shared" si="1"/>
        <v/>
      </c>
      <c r="C110" s="75"/>
      <c r="D110" s="75"/>
      <c r="E110" s="75"/>
      <c r="F110" s="75"/>
      <c r="G110" s="92"/>
      <c r="H110" s="92"/>
      <c r="I110" s="101"/>
      <c r="J110" s="102"/>
      <c r="K110" s="81"/>
      <c r="L110" s="81"/>
      <c r="M110" s="81" t="str">
        <f t="shared" si="2"/>
        <v/>
      </c>
      <c r="N110" s="83"/>
      <c r="O110" s="86"/>
      <c r="P110" s="86"/>
      <c r="Q110" s="70"/>
      <c r="R110" s="70"/>
      <c r="S110" s="70"/>
      <c r="T110" s="16"/>
      <c r="U110" s="16"/>
      <c r="V110" s="16"/>
      <c r="W110" s="16"/>
      <c r="X110" s="16"/>
      <c r="Y110" s="16"/>
    </row>
    <row r="111" spans="1:25" ht="41.25" customHeight="1">
      <c r="A111" s="91"/>
      <c r="B111" s="75" t="str">
        <f t="shared" si="1"/>
        <v/>
      </c>
      <c r="C111" s="75"/>
      <c r="D111" s="75"/>
      <c r="E111" s="75"/>
      <c r="F111" s="75"/>
      <c r="G111" s="92"/>
      <c r="H111" s="92"/>
      <c r="I111" s="101"/>
      <c r="J111" s="102"/>
      <c r="K111" s="81"/>
      <c r="L111" s="81"/>
      <c r="M111" s="81" t="str">
        <f t="shared" si="2"/>
        <v/>
      </c>
      <c r="N111" s="83"/>
      <c r="O111" s="86"/>
      <c r="P111" s="86"/>
      <c r="Q111" s="70"/>
      <c r="R111" s="70"/>
      <c r="S111" s="70"/>
      <c r="T111" s="16"/>
      <c r="U111" s="16"/>
      <c r="V111" s="16"/>
      <c r="W111" s="16"/>
      <c r="X111" s="16"/>
      <c r="Y111" s="16"/>
    </row>
    <row r="112" spans="1:25" ht="41.25" customHeight="1">
      <c r="A112" s="91"/>
      <c r="B112" s="75" t="str">
        <f t="shared" si="1"/>
        <v/>
      </c>
      <c r="C112" s="75"/>
      <c r="D112" s="75"/>
      <c r="E112" s="75"/>
      <c r="F112" s="75"/>
      <c r="G112" s="92"/>
      <c r="H112" s="92"/>
      <c r="I112" s="101"/>
      <c r="J112" s="102"/>
      <c r="K112" s="81"/>
      <c r="L112" s="81"/>
      <c r="M112" s="81" t="str">
        <f t="shared" si="2"/>
        <v/>
      </c>
      <c r="N112" s="83"/>
      <c r="O112" s="86"/>
      <c r="P112" s="86"/>
      <c r="Q112" s="70"/>
      <c r="R112" s="70"/>
      <c r="S112" s="70"/>
      <c r="T112" s="16"/>
      <c r="U112" s="16"/>
      <c r="V112" s="16"/>
      <c r="W112" s="16"/>
      <c r="X112" s="16"/>
      <c r="Y112" s="16"/>
    </row>
    <row r="113" spans="1:25" ht="41.25" customHeight="1">
      <c r="A113" s="91"/>
      <c r="B113" s="75" t="str">
        <f t="shared" si="1"/>
        <v/>
      </c>
      <c r="C113" s="75"/>
      <c r="D113" s="75"/>
      <c r="E113" s="75"/>
      <c r="F113" s="75"/>
      <c r="G113" s="92"/>
      <c r="H113" s="92"/>
      <c r="I113" s="101"/>
      <c r="J113" s="102"/>
      <c r="K113" s="81"/>
      <c r="L113" s="81"/>
      <c r="M113" s="81" t="str">
        <f t="shared" si="2"/>
        <v/>
      </c>
      <c r="N113" s="83"/>
      <c r="O113" s="86"/>
      <c r="P113" s="86"/>
      <c r="Q113" s="70"/>
      <c r="R113" s="70"/>
      <c r="S113" s="70"/>
      <c r="T113" s="16"/>
      <c r="U113" s="16"/>
      <c r="V113" s="16"/>
      <c r="W113" s="16"/>
      <c r="X113" s="16"/>
      <c r="Y113" s="16"/>
    </row>
    <row r="114" spans="1:25" ht="41.25" customHeight="1">
      <c r="A114" s="91"/>
      <c r="B114" s="75" t="str">
        <f t="shared" si="1"/>
        <v/>
      </c>
      <c r="C114" s="75"/>
      <c r="D114" s="75"/>
      <c r="E114" s="75"/>
      <c r="F114" s="75"/>
      <c r="G114" s="92"/>
      <c r="H114" s="92"/>
      <c r="I114" s="101"/>
      <c r="J114" s="102"/>
      <c r="K114" s="81"/>
      <c r="L114" s="81"/>
      <c r="M114" s="81" t="str">
        <f t="shared" si="2"/>
        <v/>
      </c>
      <c r="N114" s="83"/>
      <c r="O114" s="86"/>
      <c r="P114" s="86"/>
      <c r="Q114" s="70"/>
      <c r="R114" s="70"/>
      <c r="S114" s="70"/>
      <c r="T114" s="16"/>
      <c r="U114" s="16"/>
      <c r="V114" s="16"/>
      <c r="W114" s="16"/>
      <c r="X114" s="16"/>
      <c r="Y114" s="16"/>
    </row>
    <row r="115" spans="1:25" ht="41.25" customHeight="1">
      <c r="A115" s="91"/>
      <c r="B115" s="75" t="str">
        <f t="shared" si="1"/>
        <v/>
      </c>
      <c r="C115" s="75"/>
      <c r="D115" s="75"/>
      <c r="E115" s="75"/>
      <c r="F115" s="75"/>
      <c r="G115" s="92"/>
      <c r="H115" s="92"/>
      <c r="I115" s="101"/>
      <c r="J115" s="102"/>
      <c r="K115" s="81"/>
      <c r="L115" s="81"/>
      <c r="M115" s="81" t="str">
        <f t="shared" si="2"/>
        <v/>
      </c>
      <c r="N115" s="83"/>
      <c r="O115" s="86"/>
      <c r="P115" s="86"/>
      <c r="Q115" s="70"/>
      <c r="R115" s="70"/>
      <c r="S115" s="70"/>
      <c r="T115" s="16"/>
      <c r="U115" s="16"/>
      <c r="V115" s="16"/>
      <c r="W115" s="16"/>
      <c r="X115" s="16"/>
      <c r="Y115" s="16"/>
    </row>
    <row r="116" spans="1:25" ht="41.25" customHeight="1">
      <c r="A116" s="91"/>
      <c r="B116" s="75" t="str">
        <f t="shared" si="1"/>
        <v/>
      </c>
      <c r="C116" s="75"/>
      <c r="D116" s="75"/>
      <c r="E116" s="75"/>
      <c r="F116" s="75"/>
      <c r="G116" s="92"/>
      <c r="H116" s="92"/>
      <c r="I116" s="101"/>
      <c r="J116" s="102"/>
      <c r="K116" s="81"/>
      <c r="L116" s="81"/>
      <c r="M116" s="81" t="str">
        <f t="shared" si="2"/>
        <v/>
      </c>
      <c r="N116" s="83"/>
      <c r="O116" s="86"/>
      <c r="P116" s="86"/>
      <c r="Q116" s="70"/>
      <c r="R116" s="70"/>
      <c r="S116" s="70"/>
      <c r="T116" s="16"/>
      <c r="U116" s="16"/>
      <c r="V116" s="16"/>
      <c r="W116" s="16"/>
      <c r="X116" s="16"/>
      <c r="Y116" s="16"/>
    </row>
    <row r="117" spans="1:25" ht="41.25" customHeight="1">
      <c r="A117" s="91"/>
      <c r="B117" s="75" t="str">
        <f t="shared" si="1"/>
        <v/>
      </c>
      <c r="C117" s="75"/>
      <c r="D117" s="75"/>
      <c r="E117" s="75"/>
      <c r="F117" s="75"/>
      <c r="G117" s="92"/>
      <c r="H117" s="92"/>
      <c r="I117" s="101"/>
      <c r="J117" s="102"/>
      <c r="K117" s="81"/>
      <c r="L117" s="81"/>
      <c r="M117" s="81" t="str">
        <f t="shared" si="2"/>
        <v/>
      </c>
      <c r="N117" s="83"/>
      <c r="O117" s="86"/>
      <c r="P117" s="86"/>
      <c r="Q117" s="70"/>
      <c r="R117" s="70"/>
      <c r="S117" s="70"/>
      <c r="T117" s="16"/>
      <c r="U117" s="16"/>
      <c r="V117" s="16"/>
      <c r="W117" s="16"/>
      <c r="X117" s="16"/>
      <c r="Y117" s="16"/>
    </row>
    <row r="118" spans="1:25" ht="41.25" customHeight="1">
      <c r="A118" s="91"/>
      <c r="B118" s="75" t="str">
        <f t="shared" si="1"/>
        <v/>
      </c>
      <c r="C118" s="75"/>
      <c r="D118" s="75"/>
      <c r="E118" s="75"/>
      <c r="F118" s="75"/>
      <c r="G118" s="92"/>
      <c r="H118" s="92"/>
      <c r="I118" s="101"/>
      <c r="J118" s="102"/>
      <c r="K118" s="81"/>
      <c r="L118" s="81"/>
      <c r="M118" s="81" t="str">
        <f t="shared" si="2"/>
        <v/>
      </c>
      <c r="N118" s="83"/>
      <c r="O118" s="86"/>
      <c r="P118" s="86"/>
      <c r="Q118" s="70"/>
      <c r="R118" s="70"/>
      <c r="S118" s="70"/>
      <c r="T118" s="16"/>
      <c r="U118" s="16"/>
      <c r="V118" s="16"/>
      <c r="W118" s="16"/>
      <c r="X118" s="16"/>
      <c r="Y118" s="16"/>
    </row>
    <row r="119" spans="1:25" ht="41.25" customHeight="1">
      <c r="A119" s="91"/>
      <c r="B119" s="75" t="str">
        <f t="shared" si="1"/>
        <v/>
      </c>
      <c r="C119" s="75"/>
      <c r="D119" s="75"/>
      <c r="E119" s="75"/>
      <c r="F119" s="75"/>
      <c r="G119" s="92"/>
      <c r="H119" s="92"/>
      <c r="I119" s="101"/>
      <c r="J119" s="102"/>
      <c r="K119" s="81"/>
      <c r="L119" s="81"/>
      <c r="M119" s="81" t="str">
        <f t="shared" si="2"/>
        <v/>
      </c>
      <c r="N119" s="83"/>
      <c r="O119" s="86"/>
      <c r="P119" s="86"/>
      <c r="Q119" s="70"/>
      <c r="R119" s="70"/>
      <c r="S119" s="70"/>
      <c r="T119" s="16"/>
      <c r="U119" s="16"/>
      <c r="V119" s="16"/>
      <c r="W119" s="16"/>
      <c r="X119" s="16"/>
      <c r="Y119" s="16"/>
    </row>
    <row r="120" spans="1:25" ht="41.25" customHeight="1">
      <c r="A120" s="91"/>
      <c r="B120" s="75" t="str">
        <f t="shared" si="1"/>
        <v/>
      </c>
      <c r="C120" s="75"/>
      <c r="D120" s="75"/>
      <c r="E120" s="75"/>
      <c r="F120" s="75"/>
      <c r="G120" s="92"/>
      <c r="H120" s="92"/>
      <c r="I120" s="101"/>
      <c r="J120" s="102"/>
      <c r="K120" s="81"/>
      <c r="L120" s="81"/>
      <c r="M120" s="81" t="str">
        <f t="shared" si="2"/>
        <v/>
      </c>
      <c r="N120" s="83"/>
      <c r="O120" s="86"/>
      <c r="P120" s="86"/>
      <c r="Q120" s="70"/>
      <c r="R120" s="70"/>
      <c r="S120" s="70"/>
      <c r="T120" s="16"/>
      <c r="U120" s="16"/>
      <c r="V120" s="16"/>
      <c r="W120" s="16"/>
      <c r="X120" s="16"/>
      <c r="Y120" s="16"/>
    </row>
    <row r="121" spans="1:25" ht="41.25" customHeight="1">
      <c r="A121" s="91"/>
      <c r="B121" s="75" t="str">
        <f t="shared" si="1"/>
        <v/>
      </c>
      <c r="C121" s="75"/>
      <c r="D121" s="75"/>
      <c r="E121" s="75"/>
      <c r="F121" s="75"/>
      <c r="G121" s="92"/>
      <c r="H121" s="92"/>
      <c r="I121" s="101"/>
      <c r="J121" s="102"/>
      <c r="K121" s="81"/>
      <c r="L121" s="81"/>
      <c r="M121" s="81" t="str">
        <f t="shared" si="2"/>
        <v/>
      </c>
      <c r="N121" s="83"/>
      <c r="O121" s="86"/>
      <c r="P121" s="86"/>
      <c r="Q121" s="70"/>
      <c r="R121" s="70"/>
      <c r="S121" s="70"/>
      <c r="T121" s="16"/>
      <c r="U121" s="16"/>
      <c r="V121" s="16"/>
      <c r="W121" s="16"/>
      <c r="X121" s="16"/>
      <c r="Y121" s="16"/>
    </row>
    <row r="122" spans="1:25" ht="41.25" customHeight="1">
      <c r="A122" s="91"/>
      <c r="B122" s="75" t="str">
        <f t="shared" si="1"/>
        <v/>
      </c>
      <c r="C122" s="75"/>
      <c r="D122" s="75"/>
      <c r="E122" s="75"/>
      <c r="F122" s="75"/>
      <c r="G122" s="92"/>
      <c r="H122" s="92"/>
      <c r="I122" s="101"/>
      <c r="J122" s="102"/>
      <c r="K122" s="81"/>
      <c r="L122" s="81"/>
      <c r="M122" s="81" t="str">
        <f t="shared" si="2"/>
        <v/>
      </c>
      <c r="N122" s="83"/>
      <c r="O122" s="86"/>
      <c r="P122" s="86"/>
      <c r="Q122" s="70"/>
      <c r="R122" s="70"/>
      <c r="S122" s="70"/>
      <c r="T122" s="16"/>
      <c r="U122" s="16"/>
      <c r="V122" s="16"/>
      <c r="W122" s="16"/>
      <c r="X122" s="16"/>
      <c r="Y122" s="16"/>
    </row>
    <row r="123" spans="1:25" ht="41.25" customHeight="1">
      <c r="A123" s="91"/>
      <c r="B123" s="75" t="str">
        <f t="shared" si="1"/>
        <v/>
      </c>
      <c r="C123" s="75"/>
      <c r="D123" s="75"/>
      <c r="E123" s="75"/>
      <c r="F123" s="75"/>
      <c r="G123" s="92"/>
      <c r="H123" s="92"/>
      <c r="I123" s="101"/>
      <c r="J123" s="102"/>
      <c r="K123" s="81"/>
      <c r="L123" s="81"/>
      <c r="M123" s="81" t="str">
        <f t="shared" si="2"/>
        <v/>
      </c>
      <c r="N123" s="83"/>
      <c r="O123" s="86"/>
      <c r="P123" s="86"/>
      <c r="Q123" s="70"/>
      <c r="R123" s="70"/>
      <c r="S123" s="70"/>
      <c r="T123" s="16"/>
      <c r="U123" s="16"/>
      <c r="V123" s="16"/>
      <c r="W123" s="16"/>
      <c r="X123" s="16"/>
      <c r="Y123" s="16"/>
    </row>
    <row r="124" spans="1:25" ht="41.25" customHeight="1">
      <c r="A124" s="91"/>
      <c r="B124" s="75" t="str">
        <f t="shared" si="1"/>
        <v/>
      </c>
      <c r="C124" s="75"/>
      <c r="D124" s="75"/>
      <c r="E124" s="75"/>
      <c r="F124" s="75"/>
      <c r="G124" s="92"/>
      <c r="H124" s="92"/>
      <c r="I124" s="101"/>
      <c r="J124" s="102"/>
      <c r="K124" s="81"/>
      <c r="L124" s="81"/>
      <c r="M124" s="81" t="str">
        <f t="shared" si="2"/>
        <v/>
      </c>
      <c r="N124" s="83"/>
      <c r="O124" s="86"/>
      <c r="P124" s="86"/>
      <c r="Q124" s="70"/>
      <c r="R124" s="70"/>
      <c r="S124" s="70"/>
      <c r="T124" s="16"/>
      <c r="U124" s="16"/>
      <c r="V124" s="16"/>
      <c r="W124" s="16"/>
      <c r="X124" s="16"/>
      <c r="Y124" s="16"/>
    </row>
    <row r="125" spans="1:25" ht="41.25" customHeight="1">
      <c r="A125" s="91"/>
      <c r="B125" s="75" t="str">
        <f t="shared" si="1"/>
        <v/>
      </c>
      <c r="C125" s="75"/>
      <c r="D125" s="75"/>
      <c r="E125" s="75"/>
      <c r="F125" s="75"/>
      <c r="G125" s="92"/>
      <c r="H125" s="92"/>
      <c r="I125" s="101"/>
      <c r="J125" s="102"/>
      <c r="K125" s="81"/>
      <c r="L125" s="81"/>
      <c r="M125" s="81" t="str">
        <f t="shared" si="2"/>
        <v/>
      </c>
      <c r="N125" s="83"/>
      <c r="O125" s="86"/>
      <c r="P125" s="86"/>
      <c r="Q125" s="70"/>
      <c r="R125" s="70"/>
      <c r="S125" s="70"/>
      <c r="T125" s="16"/>
      <c r="U125" s="16"/>
      <c r="V125" s="16"/>
      <c r="W125" s="16"/>
      <c r="X125" s="16"/>
      <c r="Y125" s="16"/>
    </row>
    <row r="126" spans="1:25" ht="41.25" customHeight="1">
      <c r="A126" s="91"/>
      <c r="B126" s="75" t="str">
        <f t="shared" si="1"/>
        <v/>
      </c>
      <c r="C126" s="75"/>
      <c r="D126" s="75"/>
      <c r="E126" s="75"/>
      <c r="F126" s="75"/>
      <c r="G126" s="92"/>
      <c r="H126" s="92"/>
      <c r="I126" s="101"/>
      <c r="J126" s="102"/>
      <c r="K126" s="81"/>
      <c r="L126" s="81"/>
      <c r="M126" s="81" t="str">
        <f t="shared" si="2"/>
        <v/>
      </c>
      <c r="N126" s="83"/>
      <c r="O126" s="86"/>
      <c r="P126" s="86"/>
      <c r="Q126" s="70"/>
      <c r="R126" s="70"/>
      <c r="S126" s="70"/>
      <c r="T126" s="16"/>
      <c r="U126" s="16"/>
      <c r="V126" s="16"/>
      <c r="W126" s="16"/>
      <c r="X126" s="16"/>
      <c r="Y126" s="16"/>
    </row>
    <row r="127" spans="1:25" ht="41.25" customHeight="1">
      <c r="A127" s="91"/>
      <c r="B127" s="75" t="str">
        <f t="shared" si="1"/>
        <v/>
      </c>
      <c r="C127" s="75"/>
      <c r="D127" s="75"/>
      <c r="E127" s="75"/>
      <c r="F127" s="75"/>
      <c r="G127" s="92"/>
      <c r="H127" s="92"/>
      <c r="I127" s="101"/>
      <c r="J127" s="102"/>
      <c r="K127" s="81"/>
      <c r="L127" s="81"/>
      <c r="M127" s="81" t="str">
        <f t="shared" si="2"/>
        <v/>
      </c>
      <c r="N127" s="83"/>
      <c r="O127" s="86"/>
      <c r="P127" s="86"/>
      <c r="Q127" s="70"/>
      <c r="R127" s="70"/>
      <c r="S127" s="70"/>
      <c r="T127" s="16"/>
      <c r="U127" s="16"/>
      <c r="V127" s="16"/>
      <c r="W127" s="16"/>
      <c r="X127" s="16"/>
      <c r="Y127" s="16"/>
    </row>
    <row r="128" spans="1:25" ht="41.25" customHeight="1">
      <c r="A128" s="91"/>
      <c r="B128" s="75" t="str">
        <f t="shared" si="1"/>
        <v/>
      </c>
      <c r="C128" s="75"/>
      <c r="D128" s="75"/>
      <c r="E128" s="75"/>
      <c r="F128" s="75"/>
      <c r="G128" s="92"/>
      <c r="H128" s="92"/>
      <c r="I128" s="101"/>
      <c r="J128" s="102"/>
      <c r="K128" s="81"/>
      <c r="L128" s="81"/>
      <c r="M128" s="81" t="str">
        <f t="shared" si="2"/>
        <v/>
      </c>
      <c r="N128" s="83"/>
      <c r="O128" s="86"/>
      <c r="P128" s="86"/>
      <c r="Q128" s="70"/>
      <c r="R128" s="70"/>
      <c r="S128" s="70"/>
      <c r="T128" s="16"/>
      <c r="U128" s="16"/>
      <c r="V128" s="16"/>
      <c r="W128" s="16"/>
      <c r="X128" s="16"/>
      <c r="Y128" s="16"/>
    </row>
    <row r="129" spans="1:25" ht="41.25" customHeight="1">
      <c r="A129" s="91"/>
      <c r="B129" s="75" t="str">
        <f t="shared" si="1"/>
        <v/>
      </c>
      <c r="C129" s="75"/>
      <c r="D129" s="75"/>
      <c r="E129" s="75"/>
      <c r="F129" s="75"/>
      <c r="G129" s="92"/>
      <c r="H129" s="92"/>
      <c r="I129" s="101"/>
      <c r="J129" s="102"/>
      <c r="K129" s="81"/>
      <c r="L129" s="81"/>
      <c r="M129" s="81" t="str">
        <f t="shared" si="2"/>
        <v/>
      </c>
      <c r="N129" s="83"/>
      <c r="O129" s="86"/>
      <c r="P129" s="86"/>
      <c r="Q129" s="70"/>
      <c r="R129" s="70"/>
      <c r="S129" s="70"/>
      <c r="T129" s="16"/>
      <c r="U129" s="16"/>
      <c r="V129" s="16"/>
      <c r="W129" s="16"/>
      <c r="X129" s="16"/>
      <c r="Y129" s="16"/>
    </row>
    <row r="130" spans="1:25" ht="41.25" customHeight="1">
      <c r="A130" s="91"/>
      <c r="B130" s="75" t="str">
        <f t="shared" si="1"/>
        <v/>
      </c>
      <c r="C130" s="75"/>
      <c r="D130" s="75"/>
      <c r="E130" s="75"/>
      <c r="F130" s="75"/>
      <c r="G130" s="92"/>
      <c r="H130" s="92"/>
      <c r="I130" s="101"/>
      <c r="J130" s="102"/>
      <c r="K130" s="81"/>
      <c r="L130" s="81"/>
      <c r="M130" s="81" t="str">
        <f t="shared" si="2"/>
        <v/>
      </c>
      <c r="N130" s="83"/>
      <c r="O130" s="86"/>
      <c r="P130" s="86"/>
      <c r="Q130" s="70"/>
      <c r="R130" s="70"/>
      <c r="S130" s="70"/>
      <c r="T130" s="16"/>
      <c r="U130" s="16"/>
      <c r="V130" s="16"/>
      <c r="W130" s="16"/>
      <c r="X130" s="16"/>
      <c r="Y130" s="16"/>
    </row>
    <row r="131" spans="1:25" ht="41.25" customHeight="1">
      <c r="A131" s="91"/>
      <c r="B131" s="75" t="str">
        <f t="shared" si="1"/>
        <v/>
      </c>
      <c r="C131" s="75"/>
      <c r="D131" s="75"/>
      <c r="E131" s="75"/>
      <c r="F131" s="75"/>
      <c r="G131" s="92"/>
      <c r="H131" s="92"/>
      <c r="I131" s="101"/>
      <c r="J131" s="102"/>
      <c r="K131" s="81"/>
      <c r="L131" s="81"/>
      <c r="M131" s="81" t="str">
        <f t="shared" si="2"/>
        <v/>
      </c>
      <c r="N131" s="83"/>
      <c r="O131" s="86"/>
      <c r="P131" s="86"/>
      <c r="Q131" s="70"/>
      <c r="R131" s="70"/>
      <c r="S131" s="70"/>
      <c r="T131" s="16"/>
      <c r="U131" s="16"/>
      <c r="V131" s="16"/>
      <c r="W131" s="16"/>
      <c r="X131" s="16"/>
      <c r="Y131" s="16"/>
    </row>
    <row r="132" spans="1:25" ht="41.25" customHeight="1">
      <c r="A132" s="91"/>
      <c r="B132" s="75" t="str">
        <f t="shared" si="1"/>
        <v/>
      </c>
      <c r="C132" s="75"/>
      <c r="D132" s="75"/>
      <c r="E132" s="75"/>
      <c r="F132" s="75"/>
      <c r="G132" s="92"/>
      <c r="H132" s="92"/>
      <c r="I132" s="101"/>
      <c r="J132" s="102"/>
      <c r="K132" s="81"/>
      <c r="L132" s="81"/>
      <c r="M132" s="81" t="str">
        <f t="shared" si="2"/>
        <v/>
      </c>
      <c r="N132" s="83"/>
      <c r="O132" s="86"/>
      <c r="P132" s="86"/>
      <c r="Q132" s="70"/>
      <c r="R132" s="70"/>
      <c r="S132" s="70"/>
      <c r="T132" s="16"/>
      <c r="U132" s="16"/>
      <c r="V132" s="16"/>
      <c r="W132" s="16"/>
      <c r="X132" s="16"/>
      <c r="Y132" s="16"/>
    </row>
    <row r="133" spans="1:25" ht="41.25" customHeight="1">
      <c r="A133" s="91"/>
      <c r="B133" s="75" t="str">
        <f t="shared" si="1"/>
        <v/>
      </c>
      <c r="C133" s="75"/>
      <c r="D133" s="75"/>
      <c r="E133" s="75"/>
      <c r="F133" s="75"/>
      <c r="G133" s="92"/>
      <c r="H133" s="92"/>
      <c r="I133" s="101"/>
      <c r="J133" s="102"/>
      <c r="K133" s="81"/>
      <c r="L133" s="81"/>
      <c r="M133" s="81" t="str">
        <f t="shared" si="2"/>
        <v/>
      </c>
      <c r="N133" s="83"/>
      <c r="O133" s="86"/>
      <c r="P133" s="86"/>
      <c r="Q133" s="70"/>
      <c r="R133" s="70"/>
      <c r="S133" s="70"/>
      <c r="T133" s="16"/>
      <c r="U133" s="16"/>
      <c r="V133" s="16"/>
      <c r="W133" s="16"/>
      <c r="X133" s="16"/>
      <c r="Y133" s="16"/>
    </row>
    <row r="134" spans="1:25" ht="41.25" customHeight="1">
      <c r="A134" s="91"/>
      <c r="B134" s="75" t="str">
        <f t="shared" si="1"/>
        <v/>
      </c>
      <c r="C134" s="75"/>
      <c r="D134" s="75"/>
      <c r="E134" s="75"/>
      <c r="F134" s="75"/>
      <c r="G134" s="92"/>
      <c r="H134" s="92"/>
      <c r="I134" s="101"/>
      <c r="J134" s="102"/>
      <c r="K134" s="81"/>
      <c r="L134" s="81"/>
      <c r="M134" s="81" t="str">
        <f t="shared" si="2"/>
        <v/>
      </c>
      <c r="N134" s="83"/>
      <c r="O134" s="86"/>
      <c r="P134" s="86"/>
      <c r="Q134" s="70"/>
      <c r="R134" s="70"/>
      <c r="S134" s="70"/>
      <c r="T134" s="16"/>
      <c r="U134" s="16"/>
      <c r="V134" s="16"/>
      <c r="W134" s="16"/>
      <c r="X134" s="16"/>
      <c r="Y134" s="16"/>
    </row>
    <row r="135" spans="1:25" ht="41.25" customHeight="1">
      <c r="A135" s="91"/>
      <c r="B135" s="75" t="str">
        <f t="shared" si="1"/>
        <v/>
      </c>
      <c r="C135" s="75"/>
      <c r="D135" s="75"/>
      <c r="E135" s="75"/>
      <c r="F135" s="75"/>
      <c r="G135" s="92"/>
      <c r="H135" s="92"/>
      <c r="I135" s="101"/>
      <c r="J135" s="102"/>
      <c r="K135" s="81"/>
      <c r="L135" s="81"/>
      <c r="M135" s="81" t="str">
        <f t="shared" si="2"/>
        <v/>
      </c>
      <c r="N135" s="83"/>
      <c r="O135" s="86"/>
      <c r="P135" s="86"/>
      <c r="Q135" s="70"/>
      <c r="R135" s="70"/>
      <c r="S135" s="70"/>
      <c r="T135" s="16"/>
      <c r="U135" s="16"/>
      <c r="V135" s="16"/>
      <c r="W135" s="16"/>
      <c r="X135" s="16"/>
      <c r="Y135" s="16"/>
    </row>
    <row r="136" spans="1:25" ht="41.25" customHeight="1">
      <c r="A136" s="91"/>
      <c r="B136" s="75" t="str">
        <f t="shared" si="1"/>
        <v/>
      </c>
      <c r="C136" s="75"/>
      <c r="D136" s="75"/>
      <c r="E136" s="75"/>
      <c r="F136" s="75"/>
      <c r="G136" s="92"/>
      <c r="H136" s="92"/>
      <c r="I136" s="101"/>
      <c r="J136" s="102"/>
      <c r="K136" s="81"/>
      <c r="L136" s="81"/>
      <c r="M136" s="81" t="str">
        <f t="shared" si="2"/>
        <v/>
      </c>
      <c r="N136" s="83"/>
      <c r="O136" s="86"/>
      <c r="P136" s="86"/>
      <c r="Q136" s="70"/>
      <c r="R136" s="70"/>
      <c r="S136" s="70"/>
      <c r="T136" s="16"/>
      <c r="U136" s="16"/>
      <c r="V136" s="16"/>
      <c r="W136" s="16"/>
      <c r="X136" s="16"/>
      <c r="Y136" s="16"/>
    </row>
    <row r="137" spans="1:25" ht="41.25" customHeight="1">
      <c r="A137" s="91"/>
      <c r="B137" s="75" t="str">
        <f t="shared" si="1"/>
        <v/>
      </c>
      <c r="C137" s="75"/>
      <c r="D137" s="75"/>
      <c r="E137" s="75"/>
      <c r="F137" s="75"/>
      <c r="G137" s="92"/>
      <c r="H137" s="92"/>
      <c r="I137" s="101"/>
      <c r="J137" s="102"/>
      <c r="K137" s="81"/>
      <c r="L137" s="81"/>
      <c r="M137" s="81" t="str">
        <f t="shared" si="2"/>
        <v/>
      </c>
      <c r="N137" s="83"/>
      <c r="O137" s="86"/>
      <c r="P137" s="86"/>
      <c r="Q137" s="70"/>
      <c r="R137" s="70"/>
      <c r="S137" s="70"/>
      <c r="T137" s="16"/>
      <c r="U137" s="16"/>
      <c r="V137" s="16"/>
      <c r="W137" s="16"/>
      <c r="X137" s="16"/>
      <c r="Y137" s="16"/>
    </row>
    <row r="138" spans="1:25" ht="41.25" customHeight="1">
      <c r="A138" s="91"/>
      <c r="B138" s="75" t="str">
        <f t="shared" si="1"/>
        <v/>
      </c>
      <c r="C138" s="75"/>
      <c r="D138" s="75"/>
      <c r="E138" s="75"/>
      <c r="F138" s="75"/>
      <c r="G138" s="92"/>
      <c r="H138" s="92"/>
      <c r="I138" s="101"/>
      <c r="J138" s="102"/>
      <c r="K138" s="81"/>
      <c r="L138" s="81"/>
      <c r="M138" s="81" t="str">
        <f t="shared" si="2"/>
        <v/>
      </c>
      <c r="N138" s="83"/>
      <c r="O138" s="86"/>
      <c r="P138" s="86"/>
      <c r="Q138" s="70"/>
      <c r="R138" s="70"/>
      <c r="S138" s="70"/>
      <c r="T138" s="16"/>
      <c r="U138" s="16"/>
      <c r="V138" s="16"/>
      <c r="W138" s="16"/>
      <c r="X138" s="16"/>
      <c r="Y138" s="16"/>
    </row>
    <row r="139" spans="1:25" ht="41.25" customHeight="1">
      <c r="A139" s="91"/>
      <c r="B139" s="75" t="str">
        <f t="shared" si="1"/>
        <v/>
      </c>
      <c r="C139" s="75"/>
      <c r="D139" s="75"/>
      <c r="E139" s="75"/>
      <c r="F139" s="75"/>
      <c r="G139" s="92"/>
      <c r="H139" s="92"/>
      <c r="I139" s="101"/>
      <c r="J139" s="102"/>
      <c r="K139" s="81"/>
      <c r="L139" s="81"/>
      <c r="M139" s="81" t="str">
        <f t="shared" si="2"/>
        <v/>
      </c>
      <c r="N139" s="83"/>
      <c r="O139" s="86"/>
      <c r="P139" s="86"/>
      <c r="Q139" s="70"/>
      <c r="R139" s="70"/>
      <c r="S139" s="70"/>
      <c r="T139" s="16"/>
      <c r="U139" s="16"/>
      <c r="V139" s="16"/>
      <c r="W139" s="16"/>
      <c r="X139" s="16"/>
      <c r="Y139" s="16"/>
    </row>
    <row r="140" spans="1:25" ht="41.25" customHeight="1">
      <c r="A140" s="91"/>
      <c r="B140" s="75" t="str">
        <f t="shared" si="1"/>
        <v/>
      </c>
      <c r="C140" s="75"/>
      <c r="D140" s="75"/>
      <c r="E140" s="75"/>
      <c r="F140" s="75"/>
      <c r="G140" s="92"/>
      <c r="H140" s="92"/>
      <c r="I140" s="101"/>
      <c r="J140" s="102"/>
      <c r="K140" s="81"/>
      <c r="L140" s="81"/>
      <c r="M140" s="81" t="str">
        <f t="shared" si="2"/>
        <v/>
      </c>
      <c r="N140" s="83"/>
      <c r="O140" s="86"/>
      <c r="P140" s="86"/>
      <c r="Q140" s="70"/>
      <c r="R140" s="70"/>
      <c r="S140" s="70"/>
      <c r="T140" s="16"/>
      <c r="U140" s="16"/>
      <c r="V140" s="16"/>
      <c r="W140" s="16"/>
      <c r="X140" s="16"/>
      <c r="Y140" s="16"/>
    </row>
    <row r="141" spans="1:25" ht="41.25" customHeight="1">
      <c r="A141" s="91"/>
      <c r="B141" s="75" t="str">
        <f t="shared" si="1"/>
        <v/>
      </c>
      <c r="C141" s="75"/>
      <c r="D141" s="75"/>
      <c r="E141" s="75"/>
      <c r="F141" s="75"/>
      <c r="G141" s="92"/>
      <c r="H141" s="92"/>
      <c r="I141" s="101"/>
      <c r="J141" s="102"/>
      <c r="K141" s="81"/>
      <c r="L141" s="81"/>
      <c r="M141" s="81" t="str">
        <f t="shared" si="2"/>
        <v/>
      </c>
      <c r="N141" s="83"/>
      <c r="O141" s="86"/>
      <c r="P141" s="86"/>
      <c r="Q141" s="70"/>
      <c r="R141" s="70"/>
      <c r="S141" s="70"/>
      <c r="T141" s="16"/>
      <c r="U141" s="16"/>
      <c r="V141" s="16"/>
      <c r="W141" s="16"/>
      <c r="X141" s="16"/>
      <c r="Y141" s="16"/>
    </row>
    <row r="142" spans="1:25" ht="41.25" customHeight="1">
      <c r="A142" s="91"/>
      <c r="B142" s="75" t="str">
        <f t="shared" si="1"/>
        <v/>
      </c>
      <c r="C142" s="75"/>
      <c r="D142" s="75"/>
      <c r="E142" s="75"/>
      <c r="F142" s="75"/>
      <c r="G142" s="92"/>
      <c r="H142" s="92"/>
      <c r="I142" s="101"/>
      <c r="J142" s="102"/>
      <c r="K142" s="81"/>
      <c r="L142" s="81"/>
      <c r="M142" s="81" t="str">
        <f t="shared" si="2"/>
        <v/>
      </c>
      <c r="N142" s="83"/>
      <c r="O142" s="86"/>
      <c r="P142" s="86"/>
      <c r="Q142" s="70"/>
      <c r="R142" s="70"/>
      <c r="S142" s="70"/>
      <c r="T142" s="16"/>
      <c r="U142" s="16"/>
      <c r="V142" s="16"/>
      <c r="W142" s="16"/>
      <c r="X142" s="16"/>
      <c r="Y142" s="16"/>
    </row>
    <row r="143" spans="1:25" ht="41.25" customHeight="1">
      <c r="A143" s="91"/>
      <c r="B143" s="75" t="str">
        <f t="shared" si="1"/>
        <v/>
      </c>
      <c r="C143" s="75"/>
      <c r="D143" s="75"/>
      <c r="E143" s="75"/>
      <c r="F143" s="75"/>
      <c r="G143" s="92"/>
      <c r="H143" s="92"/>
      <c r="I143" s="101"/>
      <c r="J143" s="102"/>
      <c r="K143" s="81"/>
      <c r="L143" s="81"/>
      <c r="M143" s="81" t="str">
        <f t="shared" si="2"/>
        <v/>
      </c>
      <c r="N143" s="83"/>
      <c r="O143" s="86"/>
      <c r="P143" s="86"/>
      <c r="Q143" s="70"/>
      <c r="R143" s="70"/>
      <c r="S143" s="70"/>
      <c r="T143" s="16"/>
      <c r="U143" s="16"/>
      <c r="V143" s="16"/>
      <c r="W143" s="16"/>
      <c r="X143" s="16"/>
      <c r="Y143" s="16"/>
    </row>
    <row r="144" spans="1:25" ht="41.25" customHeight="1">
      <c r="A144" s="91"/>
      <c r="B144" s="75" t="str">
        <f t="shared" si="1"/>
        <v/>
      </c>
      <c r="C144" s="75"/>
      <c r="D144" s="75"/>
      <c r="E144" s="75"/>
      <c r="F144" s="75"/>
      <c r="G144" s="92"/>
      <c r="H144" s="92"/>
      <c r="I144" s="101"/>
      <c r="J144" s="102"/>
      <c r="K144" s="81"/>
      <c r="L144" s="81"/>
      <c r="M144" s="81" t="str">
        <f t="shared" si="2"/>
        <v/>
      </c>
      <c r="N144" s="83"/>
      <c r="O144" s="86"/>
      <c r="P144" s="86"/>
      <c r="Q144" s="70"/>
      <c r="R144" s="70"/>
      <c r="S144" s="70"/>
      <c r="T144" s="16"/>
      <c r="U144" s="16"/>
      <c r="V144" s="16"/>
      <c r="W144" s="16"/>
      <c r="X144" s="16"/>
      <c r="Y144" s="16"/>
    </row>
    <row r="145" spans="1:25" ht="41.25" customHeight="1">
      <c r="A145" s="91"/>
      <c r="B145" s="75" t="str">
        <f t="shared" si="1"/>
        <v/>
      </c>
      <c r="C145" s="75"/>
      <c r="D145" s="75"/>
      <c r="E145" s="75"/>
      <c r="F145" s="75"/>
      <c r="G145" s="92"/>
      <c r="H145" s="92"/>
      <c r="I145" s="101"/>
      <c r="J145" s="102"/>
      <c r="K145" s="81"/>
      <c r="L145" s="81"/>
      <c r="M145" s="81" t="str">
        <f t="shared" si="2"/>
        <v/>
      </c>
      <c r="N145" s="83"/>
      <c r="O145" s="86"/>
      <c r="P145" s="86"/>
      <c r="Q145" s="70"/>
      <c r="R145" s="70"/>
      <c r="S145" s="70"/>
      <c r="T145" s="16"/>
      <c r="U145" s="16"/>
      <c r="V145" s="16"/>
      <c r="W145" s="16"/>
      <c r="X145" s="16"/>
      <c r="Y145" s="16"/>
    </row>
    <row r="146" spans="1:25" ht="41.25" customHeight="1">
      <c r="A146" s="91"/>
      <c r="B146" s="75" t="str">
        <f t="shared" si="1"/>
        <v/>
      </c>
      <c r="C146" s="75"/>
      <c r="D146" s="75"/>
      <c r="E146" s="75"/>
      <c r="F146" s="75"/>
      <c r="G146" s="92"/>
      <c r="H146" s="92"/>
      <c r="I146" s="101"/>
      <c r="J146" s="102"/>
      <c r="K146" s="81"/>
      <c r="L146" s="81"/>
      <c r="M146" s="81" t="str">
        <f t="shared" si="2"/>
        <v/>
      </c>
      <c r="N146" s="83"/>
      <c r="O146" s="86"/>
      <c r="P146" s="86"/>
      <c r="Q146" s="70"/>
      <c r="R146" s="70"/>
      <c r="S146" s="70"/>
      <c r="T146" s="16"/>
      <c r="U146" s="16"/>
      <c r="V146" s="16"/>
      <c r="W146" s="16"/>
      <c r="X146" s="16"/>
      <c r="Y146" s="16"/>
    </row>
    <row r="147" spans="1:25" ht="41.25" customHeight="1">
      <c r="A147" s="91"/>
      <c r="B147" s="75" t="str">
        <f t="shared" si="1"/>
        <v/>
      </c>
      <c r="C147" s="75"/>
      <c r="D147" s="75"/>
      <c r="E147" s="75"/>
      <c r="F147" s="75"/>
      <c r="G147" s="92"/>
      <c r="H147" s="92"/>
      <c r="I147" s="101"/>
      <c r="J147" s="102"/>
      <c r="K147" s="81"/>
      <c r="L147" s="81"/>
      <c r="M147" s="81" t="str">
        <f t="shared" si="2"/>
        <v/>
      </c>
      <c r="N147" s="83"/>
      <c r="O147" s="86"/>
      <c r="P147" s="86"/>
      <c r="Q147" s="70"/>
      <c r="R147" s="70"/>
      <c r="S147" s="70"/>
      <c r="T147" s="16"/>
      <c r="U147" s="16"/>
      <c r="V147" s="16"/>
      <c r="W147" s="16"/>
      <c r="X147" s="16"/>
      <c r="Y147" s="16"/>
    </row>
    <row r="148" spans="1:25" ht="41.25" customHeight="1">
      <c r="A148" s="91"/>
      <c r="B148" s="75" t="str">
        <f t="shared" si="1"/>
        <v/>
      </c>
      <c r="C148" s="75"/>
      <c r="D148" s="75"/>
      <c r="E148" s="75"/>
      <c r="F148" s="75"/>
      <c r="G148" s="92"/>
      <c r="H148" s="92"/>
      <c r="I148" s="101"/>
      <c r="J148" s="102"/>
      <c r="K148" s="81"/>
      <c r="L148" s="81"/>
      <c r="M148" s="81" t="str">
        <f t="shared" si="2"/>
        <v/>
      </c>
      <c r="N148" s="83"/>
      <c r="O148" s="86"/>
      <c r="P148" s="86"/>
      <c r="Q148" s="70"/>
      <c r="R148" s="70"/>
      <c r="S148" s="70"/>
      <c r="T148" s="16"/>
      <c r="U148" s="16"/>
      <c r="V148" s="16"/>
      <c r="W148" s="16"/>
      <c r="X148" s="16"/>
      <c r="Y148" s="16"/>
    </row>
    <row r="149" spans="1:25" ht="41.25" customHeight="1">
      <c r="A149" s="91"/>
      <c r="B149" s="75" t="str">
        <f t="shared" si="1"/>
        <v/>
      </c>
      <c r="C149" s="75"/>
      <c r="D149" s="75"/>
      <c r="E149" s="75"/>
      <c r="F149" s="75"/>
      <c r="G149" s="92"/>
      <c r="H149" s="92"/>
      <c r="I149" s="101"/>
      <c r="J149" s="102"/>
      <c r="K149" s="81"/>
      <c r="L149" s="81"/>
      <c r="M149" s="81" t="str">
        <f t="shared" si="2"/>
        <v/>
      </c>
      <c r="N149" s="83"/>
      <c r="O149" s="86"/>
      <c r="P149" s="86"/>
      <c r="Q149" s="70"/>
      <c r="R149" s="70"/>
      <c r="S149" s="70"/>
      <c r="T149" s="16"/>
      <c r="U149" s="16"/>
      <c r="V149" s="16"/>
      <c r="W149" s="16"/>
      <c r="X149" s="16"/>
      <c r="Y149" s="16"/>
    </row>
    <row r="150" spans="1:25" ht="41.25" customHeight="1">
      <c r="A150" s="91"/>
      <c r="B150" s="75" t="str">
        <f t="shared" si="1"/>
        <v/>
      </c>
      <c r="C150" s="75"/>
      <c r="D150" s="75"/>
      <c r="E150" s="75"/>
      <c r="F150" s="75"/>
      <c r="G150" s="92"/>
      <c r="H150" s="92"/>
      <c r="I150" s="101"/>
      <c r="J150" s="102"/>
      <c r="K150" s="81"/>
      <c r="L150" s="81"/>
      <c r="M150" s="81" t="str">
        <f t="shared" si="2"/>
        <v/>
      </c>
      <c r="N150" s="83"/>
      <c r="O150" s="86"/>
      <c r="P150" s="86"/>
      <c r="Q150" s="70"/>
      <c r="R150" s="70"/>
      <c r="S150" s="70"/>
      <c r="T150" s="16"/>
      <c r="U150" s="16"/>
      <c r="V150" s="16"/>
      <c r="W150" s="16"/>
      <c r="X150" s="16"/>
      <c r="Y150" s="16"/>
    </row>
    <row r="151" spans="1:25" ht="41.25" customHeight="1">
      <c r="A151" s="91"/>
      <c r="B151" s="75" t="str">
        <f t="shared" si="1"/>
        <v/>
      </c>
      <c r="C151" s="75"/>
      <c r="D151" s="75"/>
      <c r="E151" s="75"/>
      <c r="F151" s="75"/>
      <c r="G151" s="92"/>
      <c r="H151" s="92"/>
      <c r="I151" s="101"/>
      <c r="J151" s="102"/>
      <c r="K151" s="81"/>
      <c r="L151" s="81"/>
      <c r="M151" s="81" t="str">
        <f t="shared" si="2"/>
        <v/>
      </c>
      <c r="N151" s="83"/>
      <c r="O151" s="86"/>
      <c r="P151" s="86"/>
      <c r="Q151" s="70"/>
      <c r="R151" s="70"/>
      <c r="S151" s="70"/>
      <c r="T151" s="16"/>
      <c r="U151" s="16"/>
      <c r="V151" s="16"/>
      <c r="W151" s="16"/>
      <c r="X151" s="16"/>
      <c r="Y151" s="16"/>
    </row>
    <row r="152" spans="1:25" ht="41.25" customHeight="1">
      <c r="A152" s="91"/>
      <c r="B152" s="75" t="str">
        <f t="shared" si="1"/>
        <v/>
      </c>
      <c r="C152" s="75"/>
      <c r="D152" s="75"/>
      <c r="E152" s="75"/>
      <c r="F152" s="75"/>
      <c r="G152" s="92"/>
      <c r="H152" s="92"/>
      <c r="I152" s="101"/>
      <c r="J152" s="102"/>
      <c r="K152" s="81"/>
      <c r="L152" s="81"/>
      <c r="M152" s="81" t="str">
        <f t="shared" si="2"/>
        <v/>
      </c>
      <c r="N152" s="83"/>
      <c r="O152" s="86"/>
      <c r="P152" s="86"/>
      <c r="Q152" s="70"/>
      <c r="R152" s="70"/>
      <c r="S152" s="70"/>
      <c r="T152" s="16"/>
      <c r="U152" s="16"/>
      <c r="V152" s="16"/>
      <c r="W152" s="16"/>
      <c r="X152" s="16"/>
      <c r="Y152" s="16"/>
    </row>
    <row r="153" spans="1:25" ht="41.25" customHeight="1">
      <c r="A153" s="91"/>
      <c r="B153" s="75" t="str">
        <f t="shared" si="1"/>
        <v/>
      </c>
      <c r="C153" s="75"/>
      <c r="D153" s="75"/>
      <c r="E153" s="75"/>
      <c r="F153" s="75"/>
      <c r="G153" s="92"/>
      <c r="H153" s="92"/>
      <c r="I153" s="101"/>
      <c r="J153" s="102"/>
      <c r="K153" s="81"/>
      <c r="L153" s="81"/>
      <c r="M153" s="81" t="str">
        <f t="shared" si="2"/>
        <v/>
      </c>
      <c r="N153" s="83"/>
      <c r="O153" s="86"/>
      <c r="P153" s="86"/>
      <c r="Q153" s="70"/>
      <c r="R153" s="70"/>
      <c r="S153" s="70"/>
      <c r="T153" s="16"/>
      <c r="U153" s="16"/>
      <c r="V153" s="16"/>
      <c r="W153" s="16"/>
      <c r="X153" s="16"/>
      <c r="Y153" s="16"/>
    </row>
    <row r="154" spans="1:25" ht="41.25" customHeight="1">
      <c r="A154" s="91"/>
      <c r="B154" s="75" t="str">
        <f t="shared" si="1"/>
        <v/>
      </c>
      <c r="C154" s="75"/>
      <c r="D154" s="75"/>
      <c r="E154" s="75"/>
      <c r="F154" s="75"/>
      <c r="G154" s="92"/>
      <c r="H154" s="92"/>
      <c r="I154" s="101"/>
      <c r="J154" s="102"/>
      <c r="K154" s="81"/>
      <c r="L154" s="81"/>
      <c r="M154" s="81" t="str">
        <f t="shared" si="2"/>
        <v/>
      </c>
      <c r="N154" s="83"/>
      <c r="O154" s="86"/>
      <c r="P154" s="86"/>
      <c r="Q154" s="70"/>
      <c r="R154" s="70"/>
      <c r="S154" s="70"/>
      <c r="T154" s="16"/>
      <c r="U154" s="16"/>
      <c r="V154" s="16"/>
      <c r="W154" s="16"/>
      <c r="X154" s="16"/>
      <c r="Y154" s="16"/>
    </row>
    <row r="155" spans="1:25" ht="41.25" customHeight="1">
      <c r="A155" s="91"/>
      <c r="B155" s="75" t="str">
        <f t="shared" si="1"/>
        <v/>
      </c>
      <c r="C155" s="75"/>
      <c r="D155" s="75"/>
      <c r="E155" s="75"/>
      <c r="F155" s="75"/>
      <c r="G155" s="92"/>
      <c r="H155" s="92"/>
      <c r="I155" s="101"/>
      <c r="J155" s="102"/>
      <c r="K155" s="81"/>
      <c r="L155" s="81"/>
      <c r="M155" s="81" t="str">
        <f t="shared" si="2"/>
        <v/>
      </c>
      <c r="N155" s="83"/>
      <c r="O155" s="86"/>
      <c r="P155" s="86"/>
      <c r="Q155" s="70"/>
      <c r="R155" s="70"/>
      <c r="S155" s="70"/>
      <c r="T155" s="16"/>
      <c r="U155" s="16"/>
      <c r="V155" s="16"/>
      <c r="W155" s="16"/>
      <c r="X155" s="16"/>
      <c r="Y155" s="16"/>
    </row>
    <row r="156" spans="1:25" ht="41.25" customHeight="1">
      <c r="A156" s="91"/>
      <c r="B156" s="75" t="str">
        <f t="shared" si="1"/>
        <v/>
      </c>
      <c r="C156" s="75"/>
      <c r="D156" s="75"/>
      <c r="E156" s="75"/>
      <c r="F156" s="75"/>
      <c r="G156" s="92"/>
      <c r="H156" s="92"/>
      <c r="I156" s="101"/>
      <c r="J156" s="102"/>
      <c r="K156" s="81"/>
      <c r="L156" s="81"/>
      <c r="M156" s="81" t="str">
        <f t="shared" si="2"/>
        <v/>
      </c>
      <c r="N156" s="83"/>
      <c r="O156" s="86"/>
      <c r="P156" s="86"/>
      <c r="Q156" s="70"/>
      <c r="R156" s="70"/>
      <c r="S156" s="70"/>
      <c r="T156" s="16"/>
      <c r="U156" s="16"/>
      <c r="V156" s="16"/>
      <c r="W156" s="16"/>
      <c r="X156" s="16"/>
      <c r="Y156" s="16"/>
    </row>
    <row r="157" spans="1:25" ht="41.25" customHeight="1">
      <c r="A157" s="91"/>
      <c r="B157" s="75" t="str">
        <f t="shared" si="1"/>
        <v/>
      </c>
      <c r="C157" s="75"/>
      <c r="D157" s="75"/>
      <c r="E157" s="75"/>
      <c r="F157" s="75"/>
      <c r="G157" s="92"/>
      <c r="H157" s="92"/>
      <c r="I157" s="101"/>
      <c r="J157" s="102"/>
      <c r="K157" s="81"/>
      <c r="L157" s="81"/>
      <c r="M157" s="81" t="str">
        <f t="shared" si="2"/>
        <v/>
      </c>
      <c r="N157" s="83"/>
      <c r="O157" s="86"/>
      <c r="P157" s="86"/>
      <c r="Q157" s="70"/>
      <c r="R157" s="70"/>
      <c r="S157" s="70"/>
      <c r="T157" s="16"/>
      <c r="U157" s="16"/>
      <c r="V157" s="16"/>
      <c r="W157" s="16"/>
      <c r="X157" s="16"/>
      <c r="Y157" s="16"/>
    </row>
    <row r="158" spans="1:25" ht="41.25" customHeight="1">
      <c r="A158" s="91"/>
      <c r="B158" s="75" t="str">
        <f t="shared" si="1"/>
        <v/>
      </c>
      <c r="C158" s="75"/>
      <c r="D158" s="75"/>
      <c r="E158" s="75"/>
      <c r="F158" s="75"/>
      <c r="G158" s="92"/>
      <c r="H158" s="92"/>
      <c r="I158" s="101"/>
      <c r="J158" s="102"/>
      <c r="K158" s="81"/>
      <c r="L158" s="81"/>
      <c r="M158" s="81" t="str">
        <f t="shared" si="2"/>
        <v/>
      </c>
      <c r="N158" s="83"/>
      <c r="O158" s="86"/>
      <c r="P158" s="86"/>
      <c r="Q158" s="70"/>
      <c r="R158" s="70"/>
      <c r="S158" s="70"/>
      <c r="T158" s="16"/>
      <c r="U158" s="16"/>
      <c r="V158" s="16"/>
      <c r="W158" s="16"/>
      <c r="X158" s="16"/>
      <c r="Y158" s="16"/>
    </row>
    <row r="159" spans="1:25" ht="41.25" customHeight="1">
      <c r="A159" s="91"/>
      <c r="B159" s="75" t="str">
        <f t="shared" si="1"/>
        <v/>
      </c>
      <c r="C159" s="75"/>
      <c r="D159" s="75"/>
      <c r="E159" s="75"/>
      <c r="F159" s="75"/>
      <c r="G159" s="92"/>
      <c r="H159" s="92"/>
      <c r="I159" s="101"/>
      <c r="J159" s="102"/>
      <c r="K159" s="81"/>
      <c r="L159" s="81"/>
      <c r="M159" s="81" t="str">
        <f t="shared" si="2"/>
        <v/>
      </c>
      <c r="N159" s="83"/>
      <c r="O159" s="86"/>
      <c r="P159" s="86"/>
      <c r="Q159" s="70"/>
      <c r="R159" s="70"/>
      <c r="S159" s="70"/>
      <c r="T159" s="16"/>
      <c r="U159" s="16"/>
      <c r="V159" s="16"/>
      <c r="W159" s="16"/>
      <c r="X159" s="16"/>
      <c r="Y159" s="16"/>
    </row>
    <row r="160" spans="1:25" ht="41.25" customHeight="1">
      <c r="A160" s="91"/>
      <c r="B160" s="75" t="str">
        <f t="shared" si="1"/>
        <v/>
      </c>
      <c r="C160" s="75"/>
      <c r="D160" s="75"/>
      <c r="E160" s="75"/>
      <c r="F160" s="75"/>
      <c r="G160" s="92"/>
      <c r="H160" s="92"/>
      <c r="I160" s="101"/>
      <c r="J160" s="102"/>
      <c r="K160" s="81"/>
      <c r="L160" s="81"/>
      <c r="M160" s="81" t="str">
        <f t="shared" si="2"/>
        <v/>
      </c>
      <c r="N160" s="83"/>
      <c r="O160" s="86"/>
      <c r="P160" s="86"/>
      <c r="Q160" s="70"/>
      <c r="R160" s="70"/>
      <c r="S160" s="70"/>
      <c r="T160" s="16"/>
      <c r="U160" s="16"/>
      <c r="V160" s="16"/>
      <c r="W160" s="16"/>
      <c r="X160" s="16"/>
      <c r="Y160" s="16"/>
    </row>
    <row r="161" spans="1:25" ht="41.25" customHeight="1">
      <c r="A161" s="91"/>
      <c r="B161" s="75" t="str">
        <f t="shared" si="1"/>
        <v/>
      </c>
      <c r="C161" s="75"/>
      <c r="D161" s="75"/>
      <c r="E161" s="75"/>
      <c r="F161" s="75"/>
      <c r="G161" s="92"/>
      <c r="H161" s="92"/>
      <c r="I161" s="101"/>
      <c r="J161" s="102"/>
      <c r="K161" s="81"/>
      <c r="L161" s="81"/>
      <c r="M161" s="81" t="str">
        <f t="shared" si="2"/>
        <v/>
      </c>
      <c r="N161" s="83"/>
      <c r="O161" s="86"/>
      <c r="P161" s="86"/>
      <c r="Q161" s="70"/>
      <c r="R161" s="70"/>
      <c r="S161" s="70"/>
      <c r="T161" s="16"/>
      <c r="U161" s="16"/>
      <c r="V161" s="16"/>
      <c r="W161" s="16"/>
      <c r="X161" s="16"/>
      <c r="Y161" s="16"/>
    </row>
    <row r="162" spans="1:25" ht="41.25" customHeight="1">
      <c r="A162" s="91"/>
      <c r="B162" s="75" t="str">
        <f t="shared" si="1"/>
        <v/>
      </c>
      <c r="C162" s="75"/>
      <c r="D162" s="75"/>
      <c r="E162" s="75"/>
      <c r="F162" s="75"/>
      <c r="G162" s="92"/>
      <c r="H162" s="92"/>
      <c r="I162" s="101"/>
      <c r="J162" s="102"/>
      <c r="K162" s="81"/>
      <c r="L162" s="81"/>
      <c r="M162" s="81" t="str">
        <f t="shared" si="2"/>
        <v/>
      </c>
      <c r="N162" s="83"/>
      <c r="O162" s="86"/>
      <c r="P162" s="86"/>
      <c r="Q162" s="70"/>
      <c r="R162" s="70"/>
      <c r="S162" s="70"/>
      <c r="T162" s="16"/>
      <c r="U162" s="16"/>
      <c r="V162" s="16"/>
      <c r="W162" s="16"/>
      <c r="X162" s="16"/>
      <c r="Y162" s="16"/>
    </row>
    <row r="163" spans="1:25" ht="41.25" customHeight="1">
      <c r="A163" s="91"/>
      <c r="B163" s="75" t="str">
        <f t="shared" si="1"/>
        <v/>
      </c>
      <c r="C163" s="75"/>
      <c r="D163" s="75"/>
      <c r="E163" s="75"/>
      <c r="F163" s="75"/>
      <c r="G163" s="92"/>
      <c r="H163" s="92"/>
      <c r="I163" s="101"/>
      <c r="J163" s="102"/>
      <c r="K163" s="81"/>
      <c r="L163" s="81"/>
      <c r="M163" s="81" t="str">
        <f t="shared" si="2"/>
        <v/>
      </c>
      <c r="N163" s="83"/>
      <c r="O163" s="86"/>
      <c r="P163" s="86"/>
      <c r="Q163" s="70"/>
      <c r="R163" s="70"/>
      <c r="S163" s="70"/>
      <c r="T163" s="16"/>
      <c r="U163" s="16"/>
      <c r="V163" s="16"/>
      <c r="W163" s="16"/>
      <c r="X163" s="16"/>
      <c r="Y163" s="16"/>
    </row>
    <row r="164" spans="1:25" ht="41.25" customHeight="1">
      <c r="A164" s="91"/>
      <c r="B164" s="75" t="str">
        <f t="shared" si="1"/>
        <v/>
      </c>
      <c r="C164" s="75"/>
      <c r="D164" s="75"/>
      <c r="E164" s="75"/>
      <c r="F164" s="75"/>
      <c r="G164" s="92"/>
      <c r="H164" s="92"/>
      <c r="I164" s="101"/>
      <c r="J164" s="102"/>
      <c r="K164" s="81"/>
      <c r="L164" s="81"/>
      <c r="M164" s="81" t="str">
        <f t="shared" si="2"/>
        <v/>
      </c>
      <c r="N164" s="83"/>
      <c r="O164" s="86"/>
      <c r="P164" s="86"/>
      <c r="Q164" s="70"/>
      <c r="R164" s="70"/>
      <c r="S164" s="70"/>
      <c r="T164" s="16"/>
      <c r="U164" s="16"/>
      <c r="V164" s="16"/>
      <c r="W164" s="16"/>
      <c r="X164" s="16"/>
      <c r="Y164" s="16"/>
    </row>
    <row r="165" spans="1:25" ht="41.25" customHeight="1">
      <c r="A165" s="91"/>
      <c r="B165" s="75" t="str">
        <f t="shared" si="1"/>
        <v/>
      </c>
      <c r="C165" s="75"/>
      <c r="D165" s="75"/>
      <c r="E165" s="75"/>
      <c r="F165" s="75"/>
      <c r="G165" s="92"/>
      <c r="H165" s="92"/>
      <c r="I165" s="101"/>
      <c r="J165" s="102"/>
      <c r="K165" s="81"/>
      <c r="L165" s="81"/>
      <c r="M165" s="81" t="str">
        <f t="shared" si="2"/>
        <v/>
      </c>
      <c r="N165" s="83"/>
      <c r="O165" s="86"/>
      <c r="P165" s="86"/>
      <c r="Q165" s="70"/>
      <c r="R165" s="70"/>
      <c r="S165" s="70"/>
      <c r="T165" s="16"/>
      <c r="U165" s="16"/>
      <c r="V165" s="16"/>
      <c r="W165" s="16"/>
      <c r="X165" s="16"/>
      <c r="Y165" s="16"/>
    </row>
    <row r="166" spans="1:25" ht="41.25" customHeight="1">
      <c r="A166" s="91"/>
      <c r="B166" s="75" t="str">
        <f t="shared" si="1"/>
        <v/>
      </c>
      <c r="C166" s="75"/>
      <c r="D166" s="75"/>
      <c r="E166" s="75"/>
      <c r="F166" s="75"/>
      <c r="G166" s="92"/>
      <c r="H166" s="92"/>
      <c r="I166" s="101"/>
      <c r="J166" s="102"/>
      <c r="K166" s="81"/>
      <c r="L166" s="81"/>
      <c r="M166" s="81" t="str">
        <f t="shared" si="2"/>
        <v/>
      </c>
      <c r="N166" s="83"/>
      <c r="O166" s="86"/>
      <c r="P166" s="86"/>
      <c r="Q166" s="70"/>
      <c r="R166" s="70"/>
      <c r="S166" s="70"/>
      <c r="T166" s="16"/>
      <c r="U166" s="16"/>
      <c r="V166" s="16"/>
      <c r="W166" s="16"/>
      <c r="X166" s="16"/>
      <c r="Y166" s="16"/>
    </row>
    <row r="167" spans="1:25" ht="41.25" customHeight="1">
      <c r="A167" s="91"/>
      <c r="B167" s="75" t="str">
        <f t="shared" si="1"/>
        <v/>
      </c>
      <c r="C167" s="75"/>
      <c r="D167" s="75"/>
      <c r="E167" s="75"/>
      <c r="F167" s="75"/>
      <c r="G167" s="92"/>
      <c r="H167" s="92"/>
      <c r="I167" s="101"/>
      <c r="J167" s="102"/>
      <c r="K167" s="81"/>
      <c r="L167" s="81"/>
      <c r="M167" s="81" t="str">
        <f t="shared" si="2"/>
        <v/>
      </c>
      <c r="N167" s="83"/>
      <c r="O167" s="86"/>
      <c r="P167" s="86"/>
      <c r="Q167" s="70"/>
      <c r="R167" s="70"/>
      <c r="S167" s="70"/>
      <c r="T167" s="16"/>
      <c r="U167" s="16"/>
      <c r="V167" s="16"/>
      <c r="W167" s="16"/>
      <c r="X167" s="16"/>
      <c r="Y167" s="16"/>
    </row>
    <row r="168" spans="1:25" ht="41.25" customHeight="1">
      <c r="A168" s="91"/>
      <c r="B168" s="75" t="str">
        <f t="shared" si="1"/>
        <v/>
      </c>
      <c r="C168" s="75"/>
      <c r="D168" s="75"/>
      <c r="E168" s="75"/>
      <c r="F168" s="75"/>
      <c r="G168" s="92"/>
      <c r="H168" s="92"/>
      <c r="I168" s="101"/>
      <c r="J168" s="102"/>
      <c r="K168" s="81"/>
      <c r="L168" s="81"/>
      <c r="M168" s="81" t="str">
        <f t="shared" si="2"/>
        <v/>
      </c>
      <c r="N168" s="83"/>
      <c r="O168" s="86"/>
      <c r="P168" s="86"/>
      <c r="Q168" s="70"/>
      <c r="R168" s="70"/>
      <c r="S168" s="70"/>
      <c r="T168" s="16"/>
      <c r="U168" s="16"/>
      <c r="V168" s="16"/>
      <c r="W168" s="16"/>
      <c r="X168" s="16"/>
      <c r="Y168" s="16"/>
    </row>
    <row r="169" spans="1:25" ht="41.25" customHeight="1">
      <c r="A169" s="91"/>
      <c r="B169" s="75" t="str">
        <f t="shared" si="1"/>
        <v/>
      </c>
      <c r="C169" s="75"/>
      <c r="D169" s="75"/>
      <c r="E169" s="75"/>
      <c r="F169" s="75"/>
      <c r="G169" s="92"/>
      <c r="H169" s="92"/>
      <c r="I169" s="101"/>
      <c r="J169" s="102"/>
      <c r="K169" s="81"/>
      <c r="L169" s="81"/>
      <c r="M169" s="81" t="str">
        <f t="shared" si="2"/>
        <v/>
      </c>
      <c r="N169" s="83"/>
      <c r="O169" s="86"/>
      <c r="P169" s="86"/>
      <c r="Q169" s="70"/>
      <c r="R169" s="70"/>
      <c r="S169" s="70"/>
      <c r="T169" s="16"/>
      <c r="U169" s="16"/>
      <c r="V169" s="16"/>
      <c r="W169" s="16"/>
      <c r="X169" s="16"/>
      <c r="Y169" s="16"/>
    </row>
    <row r="170" spans="1:25" ht="41.25" customHeight="1">
      <c r="A170" s="91"/>
      <c r="B170" s="75" t="str">
        <f t="shared" si="1"/>
        <v/>
      </c>
      <c r="C170" s="75"/>
      <c r="D170" s="75"/>
      <c r="E170" s="75"/>
      <c r="F170" s="75"/>
      <c r="G170" s="92"/>
      <c r="H170" s="92"/>
      <c r="I170" s="101"/>
      <c r="J170" s="102"/>
      <c r="K170" s="81"/>
      <c r="L170" s="81"/>
      <c r="M170" s="81" t="str">
        <f t="shared" si="2"/>
        <v/>
      </c>
      <c r="N170" s="83"/>
      <c r="O170" s="86"/>
      <c r="P170" s="86"/>
      <c r="Q170" s="70"/>
      <c r="R170" s="70"/>
      <c r="S170" s="70"/>
      <c r="T170" s="16"/>
      <c r="U170" s="16"/>
      <c r="V170" s="16"/>
      <c r="W170" s="16"/>
      <c r="X170" s="16"/>
      <c r="Y170" s="16"/>
    </row>
    <row r="171" spans="1:25" ht="41.25" customHeight="1">
      <c r="A171" s="91"/>
      <c r="B171" s="75" t="str">
        <f t="shared" si="1"/>
        <v/>
      </c>
      <c r="C171" s="75"/>
      <c r="D171" s="75"/>
      <c r="E171" s="75"/>
      <c r="F171" s="75"/>
      <c r="G171" s="92"/>
      <c r="H171" s="92"/>
      <c r="I171" s="101"/>
      <c r="J171" s="102"/>
      <c r="K171" s="81"/>
      <c r="L171" s="81"/>
      <c r="M171" s="81" t="str">
        <f t="shared" si="2"/>
        <v/>
      </c>
      <c r="N171" s="83"/>
      <c r="O171" s="86"/>
      <c r="P171" s="86"/>
      <c r="Q171" s="70"/>
      <c r="R171" s="70"/>
      <c r="S171" s="70"/>
      <c r="T171" s="16"/>
      <c r="U171" s="16"/>
      <c r="V171" s="16"/>
      <c r="W171" s="16"/>
      <c r="X171" s="16"/>
      <c r="Y171" s="16"/>
    </row>
    <row r="172" spans="1:25" ht="41.25" customHeight="1">
      <c r="A172" s="91"/>
      <c r="B172" s="75" t="str">
        <f t="shared" si="1"/>
        <v/>
      </c>
      <c r="C172" s="75"/>
      <c r="D172" s="75"/>
      <c r="E172" s="75"/>
      <c r="F172" s="75"/>
      <c r="G172" s="92"/>
      <c r="H172" s="92"/>
      <c r="I172" s="101"/>
      <c r="J172" s="102"/>
      <c r="K172" s="81"/>
      <c r="L172" s="81"/>
      <c r="M172" s="81" t="str">
        <f t="shared" si="2"/>
        <v/>
      </c>
      <c r="N172" s="83"/>
      <c r="O172" s="86"/>
      <c r="P172" s="86"/>
      <c r="Q172" s="70"/>
      <c r="R172" s="70"/>
      <c r="S172" s="70"/>
      <c r="T172" s="16"/>
      <c r="U172" s="16"/>
      <c r="V172" s="16"/>
      <c r="W172" s="16"/>
      <c r="X172" s="16"/>
      <c r="Y172" s="16"/>
    </row>
    <row r="173" spans="1:25" ht="41.25" customHeight="1">
      <c r="A173" s="91"/>
      <c r="B173" s="75" t="str">
        <f t="shared" si="1"/>
        <v/>
      </c>
      <c r="C173" s="75"/>
      <c r="D173" s="75"/>
      <c r="E173" s="75"/>
      <c r="F173" s="75"/>
      <c r="G173" s="92"/>
      <c r="H173" s="92"/>
      <c r="I173" s="101"/>
      <c r="J173" s="102"/>
      <c r="K173" s="81"/>
      <c r="L173" s="81"/>
      <c r="M173" s="81" t="str">
        <f t="shared" si="2"/>
        <v/>
      </c>
      <c r="N173" s="83"/>
      <c r="O173" s="86"/>
      <c r="P173" s="86"/>
      <c r="Q173" s="70"/>
      <c r="R173" s="70"/>
      <c r="S173" s="70"/>
      <c r="T173" s="16"/>
      <c r="U173" s="16"/>
      <c r="V173" s="16"/>
      <c r="W173" s="16"/>
      <c r="X173" s="16"/>
      <c r="Y173" s="16"/>
    </row>
    <row r="174" spans="1:25" ht="41.25" customHeight="1">
      <c r="A174" s="91"/>
      <c r="B174" s="75" t="str">
        <f t="shared" si="1"/>
        <v/>
      </c>
      <c r="C174" s="75"/>
      <c r="D174" s="75"/>
      <c r="E174" s="75"/>
      <c r="F174" s="75"/>
      <c r="G174" s="92"/>
      <c r="H174" s="92"/>
      <c r="I174" s="101"/>
      <c r="J174" s="102"/>
      <c r="K174" s="81"/>
      <c r="L174" s="81"/>
      <c r="M174" s="81" t="str">
        <f t="shared" si="2"/>
        <v/>
      </c>
      <c r="N174" s="83"/>
      <c r="O174" s="86"/>
      <c r="P174" s="86"/>
      <c r="Q174" s="70"/>
      <c r="R174" s="70"/>
      <c r="S174" s="70"/>
      <c r="T174" s="16"/>
      <c r="U174" s="16"/>
      <c r="V174" s="16"/>
      <c r="W174" s="16"/>
      <c r="X174" s="16"/>
      <c r="Y174" s="16"/>
    </row>
    <row r="175" spans="1:25" ht="41.25" customHeight="1">
      <c r="A175" s="91"/>
      <c r="B175" s="75" t="str">
        <f t="shared" si="1"/>
        <v/>
      </c>
      <c r="C175" s="75"/>
      <c r="D175" s="75"/>
      <c r="E175" s="75"/>
      <c r="F175" s="75"/>
      <c r="G175" s="92"/>
      <c r="H175" s="92"/>
      <c r="I175" s="101"/>
      <c r="J175" s="102"/>
      <c r="K175" s="81"/>
      <c r="L175" s="81"/>
      <c r="M175" s="81" t="str">
        <f t="shared" si="2"/>
        <v/>
      </c>
      <c r="N175" s="83"/>
      <c r="O175" s="86"/>
      <c r="P175" s="86"/>
      <c r="Q175" s="70"/>
      <c r="R175" s="70"/>
      <c r="S175" s="70"/>
      <c r="T175" s="16"/>
      <c r="U175" s="16"/>
      <c r="V175" s="16"/>
      <c r="W175" s="16"/>
      <c r="X175" s="16"/>
      <c r="Y175" s="16"/>
    </row>
    <row r="176" spans="1:25" ht="41.25" customHeight="1">
      <c r="A176" s="91"/>
      <c r="B176" s="75" t="str">
        <f t="shared" si="1"/>
        <v/>
      </c>
      <c r="C176" s="75"/>
      <c r="D176" s="75"/>
      <c r="E176" s="75"/>
      <c r="F176" s="75"/>
      <c r="G176" s="92"/>
      <c r="H176" s="92"/>
      <c r="I176" s="101"/>
      <c r="J176" s="102"/>
      <c r="K176" s="81"/>
      <c r="L176" s="81"/>
      <c r="M176" s="81" t="str">
        <f t="shared" si="2"/>
        <v/>
      </c>
      <c r="N176" s="83"/>
      <c r="O176" s="86"/>
      <c r="P176" s="86"/>
      <c r="Q176" s="70"/>
      <c r="R176" s="70"/>
      <c r="S176" s="70"/>
      <c r="T176" s="16"/>
      <c r="U176" s="16"/>
      <c r="V176" s="16"/>
      <c r="W176" s="16"/>
      <c r="X176" s="16"/>
      <c r="Y176" s="16"/>
    </row>
    <row r="177" spans="1:25" ht="41.25" customHeight="1">
      <c r="A177" s="91"/>
      <c r="B177" s="75" t="str">
        <f t="shared" si="1"/>
        <v/>
      </c>
      <c r="C177" s="75"/>
      <c r="D177" s="75"/>
      <c r="E177" s="75"/>
      <c r="F177" s="75"/>
      <c r="G177" s="92"/>
      <c r="H177" s="92"/>
      <c r="I177" s="101"/>
      <c r="J177" s="102"/>
      <c r="K177" s="81"/>
      <c r="L177" s="81"/>
      <c r="M177" s="81" t="str">
        <f t="shared" si="2"/>
        <v/>
      </c>
      <c r="N177" s="83"/>
      <c r="O177" s="86"/>
      <c r="P177" s="86"/>
      <c r="Q177" s="70"/>
      <c r="R177" s="70"/>
      <c r="S177" s="70"/>
      <c r="T177" s="16"/>
      <c r="U177" s="16"/>
      <c r="V177" s="16"/>
      <c r="W177" s="16"/>
      <c r="X177" s="16"/>
      <c r="Y177" s="16"/>
    </row>
    <row r="178" spans="1:25" ht="41.25" customHeight="1">
      <c r="A178" s="91"/>
      <c r="B178" s="75" t="str">
        <f t="shared" si="1"/>
        <v/>
      </c>
      <c r="C178" s="75"/>
      <c r="D178" s="75"/>
      <c r="E178" s="75"/>
      <c r="F178" s="75"/>
      <c r="G178" s="92"/>
      <c r="H178" s="92"/>
      <c r="I178" s="101"/>
      <c r="J178" s="102"/>
      <c r="K178" s="81"/>
      <c r="L178" s="81"/>
      <c r="M178" s="81" t="str">
        <f t="shared" si="2"/>
        <v/>
      </c>
      <c r="N178" s="83"/>
      <c r="O178" s="86"/>
      <c r="P178" s="86"/>
      <c r="Q178" s="70"/>
      <c r="R178" s="70"/>
      <c r="S178" s="70"/>
      <c r="T178" s="16"/>
      <c r="U178" s="16"/>
      <c r="V178" s="16"/>
      <c r="W178" s="16"/>
      <c r="X178" s="16"/>
      <c r="Y178" s="16"/>
    </row>
    <row r="179" spans="1:25" ht="41.25" customHeight="1">
      <c r="A179" s="91"/>
      <c r="B179" s="75" t="str">
        <f t="shared" si="1"/>
        <v/>
      </c>
      <c r="C179" s="75"/>
      <c r="D179" s="75"/>
      <c r="E179" s="75"/>
      <c r="F179" s="75"/>
      <c r="G179" s="92"/>
      <c r="H179" s="92"/>
      <c r="I179" s="101"/>
      <c r="J179" s="102"/>
      <c r="K179" s="81"/>
      <c r="L179" s="81"/>
      <c r="M179" s="81" t="str">
        <f t="shared" si="2"/>
        <v/>
      </c>
      <c r="N179" s="83"/>
      <c r="O179" s="86"/>
      <c r="P179" s="86"/>
      <c r="Q179" s="70"/>
      <c r="R179" s="70"/>
      <c r="S179" s="70"/>
      <c r="T179" s="16"/>
      <c r="U179" s="16"/>
      <c r="V179" s="16"/>
      <c r="W179" s="16"/>
      <c r="X179" s="16"/>
      <c r="Y179" s="16"/>
    </row>
    <row r="180" spans="1:25" ht="41.25" customHeight="1">
      <c r="A180" s="91"/>
      <c r="B180" s="75" t="str">
        <f t="shared" si="1"/>
        <v/>
      </c>
      <c r="C180" s="75"/>
      <c r="D180" s="75"/>
      <c r="E180" s="75"/>
      <c r="F180" s="75"/>
      <c r="G180" s="92"/>
      <c r="H180" s="92"/>
      <c r="I180" s="101"/>
      <c r="J180" s="102"/>
      <c r="K180" s="81"/>
      <c r="L180" s="81"/>
      <c r="M180" s="81" t="str">
        <f t="shared" si="2"/>
        <v/>
      </c>
      <c r="N180" s="83"/>
      <c r="O180" s="86"/>
      <c r="P180" s="86"/>
      <c r="Q180" s="70"/>
      <c r="R180" s="70"/>
      <c r="S180" s="70"/>
      <c r="T180" s="16"/>
      <c r="U180" s="16"/>
      <c r="V180" s="16"/>
      <c r="W180" s="16"/>
      <c r="X180" s="16"/>
      <c r="Y180" s="16"/>
    </row>
    <row r="181" spans="1:25" ht="41.25" customHeight="1">
      <c r="A181" s="91"/>
      <c r="B181" s="75" t="str">
        <f t="shared" si="1"/>
        <v/>
      </c>
      <c r="C181" s="75"/>
      <c r="D181" s="75"/>
      <c r="E181" s="75"/>
      <c r="F181" s="75"/>
      <c r="G181" s="92"/>
      <c r="H181" s="92"/>
      <c r="I181" s="101"/>
      <c r="J181" s="102"/>
      <c r="K181" s="81"/>
      <c r="L181" s="81"/>
      <c r="M181" s="81" t="str">
        <f t="shared" si="2"/>
        <v/>
      </c>
      <c r="N181" s="83"/>
      <c r="O181" s="86"/>
      <c r="P181" s="86"/>
      <c r="Q181" s="70"/>
      <c r="R181" s="70"/>
      <c r="S181" s="70"/>
      <c r="T181" s="16"/>
      <c r="U181" s="16"/>
      <c r="V181" s="16"/>
      <c r="W181" s="16"/>
      <c r="X181" s="16"/>
      <c r="Y181" s="16"/>
    </row>
    <row r="182" spans="1:25" ht="41.25" customHeight="1">
      <c r="A182" s="91"/>
      <c r="B182" s="75" t="str">
        <f t="shared" si="1"/>
        <v/>
      </c>
      <c r="C182" s="75"/>
      <c r="D182" s="75"/>
      <c r="E182" s="75"/>
      <c r="F182" s="75"/>
      <c r="G182" s="92"/>
      <c r="H182" s="92"/>
      <c r="I182" s="101"/>
      <c r="J182" s="102"/>
      <c r="K182" s="81"/>
      <c r="L182" s="81"/>
      <c r="M182" s="81" t="str">
        <f t="shared" si="2"/>
        <v/>
      </c>
      <c r="N182" s="83"/>
      <c r="O182" s="86"/>
      <c r="P182" s="86"/>
      <c r="Q182" s="70"/>
      <c r="R182" s="70"/>
      <c r="S182" s="70"/>
      <c r="T182" s="16"/>
      <c r="U182" s="16"/>
      <c r="V182" s="16"/>
      <c r="W182" s="16"/>
      <c r="X182" s="16"/>
      <c r="Y182" s="16"/>
    </row>
    <row r="183" spans="1:25" ht="41.25" customHeight="1">
      <c r="A183" s="91"/>
      <c r="B183" s="75" t="str">
        <f t="shared" si="1"/>
        <v/>
      </c>
      <c r="C183" s="75"/>
      <c r="D183" s="75"/>
      <c r="E183" s="75"/>
      <c r="F183" s="75"/>
      <c r="G183" s="92"/>
      <c r="H183" s="92"/>
      <c r="I183" s="101"/>
      <c r="J183" s="102"/>
      <c r="K183" s="81"/>
      <c r="L183" s="81"/>
      <c r="M183" s="81" t="str">
        <f t="shared" si="2"/>
        <v/>
      </c>
      <c r="N183" s="83"/>
      <c r="O183" s="86"/>
      <c r="P183" s="86"/>
      <c r="Q183" s="70"/>
      <c r="R183" s="70"/>
      <c r="S183" s="70"/>
      <c r="T183" s="16"/>
      <c r="U183" s="16"/>
      <c r="V183" s="16"/>
      <c r="W183" s="16"/>
      <c r="X183" s="16"/>
      <c r="Y183" s="16"/>
    </row>
    <row r="184" spans="1:25" ht="41.25" customHeight="1">
      <c r="A184" s="91"/>
      <c r="B184" s="75" t="str">
        <f t="shared" si="1"/>
        <v/>
      </c>
      <c r="C184" s="75"/>
      <c r="D184" s="75"/>
      <c r="E184" s="75"/>
      <c r="F184" s="75"/>
      <c r="G184" s="92"/>
      <c r="H184" s="92"/>
      <c r="I184" s="101"/>
      <c r="J184" s="102"/>
      <c r="K184" s="81"/>
      <c r="L184" s="81"/>
      <c r="M184" s="81" t="str">
        <f t="shared" si="2"/>
        <v/>
      </c>
      <c r="N184" s="83"/>
      <c r="O184" s="86"/>
      <c r="P184" s="86"/>
      <c r="Q184" s="70"/>
      <c r="R184" s="70"/>
      <c r="S184" s="70"/>
      <c r="T184" s="16"/>
      <c r="U184" s="16"/>
      <c r="V184" s="16"/>
      <c r="W184" s="16"/>
      <c r="X184" s="16"/>
      <c r="Y184" s="16"/>
    </row>
    <row r="185" spans="1:25" ht="41.25" customHeight="1">
      <c r="A185" s="91"/>
      <c r="B185" s="75" t="str">
        <f t="shared" si="1"/>
        <v/>
      </c>
      <c r="C185" s="75"/>
      <c r="D185" s="75"/>
      <c r="E185" s="75"/>
      <c r="F185" s="75"/>
      <c r="G185" s="92"/>
      <c r="H185" s="92"/>
      <c r="I185" s="101"/>
      <c r="J185" s="102"/>
      <c r="K185" s="81"/>
      <c r="L185" s="81"/>
      <c r="M185" s="81" t="str">
        <f t="shared" si="2"/>
        <v/>
      </c>
      <c r="N185" s="83"/>
      <c r="O185" s="86"/>
      <c r="P185" s="86"/>
      <c r="Q185" s="70"/>
      <c r="R185" s="70"/>
      <c r="S185" s="70"/>
      <c r="T185" s="16"/>
      <c r="U185" s="16"/>
      <c r="V185" s="16"/>
      <c r="W185" s="16"/>
      <c r="X185" s="16"/>
      <c r="Y185" s="16"/>
    </row>
    <row r="186" spans="1:25" ht="41.25" customHeight="1">
      <c r="A186" s="91"/>
      <c r="B186" s="75" t="str">
        <f t="shared" si="1"/>
        <v/>
      </c>
      <c r="C186" s="75"/>
      <c r="D186" s="75"/>
      <c r="E186" s="75"/>
      <c r="F186" s="75"/>
      <c r="G186" s="92"/>
      <c r="H186" s="92"/>
      <c r="I186" s="101"/>
      <c r="J186" s="102"/>
      <c r="K186" s="81"/>
      <c r="L186" s="81"/>
      <c r="M186" s="81" t="str">
        <f t="shared" si="2"/>
        <v/>
      </c>
      <c r="N186" s="83"/>
      <c r="O186" s="86"/>
      <c r="P186" s="86"/>
      <c r="Q186" s="70"/>
      <c r="R186" s="70"/>
      <c r="S186" s="70"/>
      <c r="T186" s="16"/>
      <c r="U186" s="16"/>
      <c r="V186" s="16"/>
      <c r="W186" s="16"/>
      <c r="X186" s="16"/>
      <c r="Y186" s="16"/>
    </row>
    <row r="187" spans="1:25" ht="41.25" customHeight="1">
      <c r="A187" s="91"/>
      <c r="B187" s="75" t="str">
        <f t="shared" si="1"/>
        <v/>
      </c>
      <c r="C187" s="75"/>
      <c r="D187" s="75"/>
      <c r="E187" s="75"/>
      <c r="F187" s="75"/>
      <c r="G187" s="92"/>
      <c r="H187" s="92"/>
      <c r="I187" s="101"/>
      <c r="J187" s="102"/>
      <c r="K187" s="81"/>
      <c r="L187" s="81"/>
      <c r="M187" s="81" t="str">
        <f t="shared" si="2"/>
        <v/>
      </c>
      <c r="N187" s="83"/>
      <c r="O187" s="86"/>
      <c r="P187" s="86"/>
      <c r="Q187" s="70"/>
      <c r="R187" s="70"/>
      <c r="S187" s="70"/>
      <c r="T187" s="16"/>
      <c r="U187" s="16"/>
      <c r="V187" s="16"/>
      <c r="W187" s="16"/>
      <c r="X187" s="16"/>
      <c r="Y187" s="16"/>
    </row>
    <row r="188" spans="1:25" ht="41.25" customHeight="1">
      <c r="A188" s="91"/>
      <c r="B188" s="75" t="str">
        <f t="shared" si="1"/>
        <v/>
      </c>
      <c r="C188" s="75"/>
      <c r="D188" s="75"/>
      <c r="E188" s="75"/>
      <c r="F188" s="75"/>
      <c r="G188" s="92"/>
      <c r="H188" s="92"/>
      <c r="I188" s="101"/>
      <c r="J188" s="102"/>
      <c r="K188" s="81"/>
      <c r="L188" s="81"/>
      <c r="M188" s="81" t="str">
        <f t="shared" si="2"/>
        <v/>
      </c>
      <c r="N188" s="83"/>
      <c r="O188" s="86"/>
      <c r="P188" s="86"/>
      <c r="Q188" s="70"/>
      <c r="R188" s="70"/>
      <c r="S188" s="70"/>
      <c r="T188" s="16"/>
      <c r="U188" s="16"/>
      <c r="V188" s="16"/>
      <c r="W188" s="16"/>
      <c r="X188" s="16"/>
      <c r="Y188" s="16"/>
    </row>
    <row r="189" spans="1:25" ht="41.25" customHeight="1">
      <c r="A189" s="91"/>
      <c r="B189" s="75" t="str">
        <f t="shared" si="1"/>
        <v/>
      </c>
      <c r="C189" s="75"/>
      <c r="D189" s="75"/>
      <c r="E189" s="75"/>
      <c r="F189" s="75"/>
      <c r="G189" s="92"/>
      <c r="H189" s="92"/>
      <c r="I189" s="101"/>
      <c r="J189" s="102"/>
      <c r="K189" s="81"/>
      <c r="L189" s="81"/>
      <c r="M189" s="81" t="str">
        <f t="shared" si="2"/>
        <v/>
      </c>
      <c r="N189" s="83"/>
      <c r="O189" s="86"/>
      <c r="P189" s="86"/>
      <c r="Q189" s="70"/>
      <c r="R189" s="70"/>
      <c r="S189" s="70"/>
      <c r="T189" s="16"/>
      <c r="U189" s="16"/>
      <c r="V189" s="16"/>
      <c r="W189" s="16"/>
      <c r="X189" s="16"/>
      <c r="Y189" s="16"/>
    </row>
    <row r="190" spans="1:25" ht="41.25" customHeight="1">
      <c r="A190" s="91"/>
      <c r="B190" s="75" t="str">
        <f t="shared" si="1"/>
        <v/>
      </c>
      <c r="C190" s="75"/>
      <c r="D190" s="75"/>
      <c r="E190" s="75"/>
      <c r="F190" s="75"/>
      <c r="G190" s="92"/>
      <c r="H190" s="92"/>
      <c r="I190" s="101"/>
      <c r="J190" s="102"/>
      <c r="K190" s="81"/>
      <c r="L190" s="81"/>
      <c r="M190" s="81" t="str">
        <f t="shared" si="2"/>
        <v/>
      </c>
      <c r="N190" s="83"/>
      <c r="O190" s="86"/>
      <c r="P190" s="86"/>
      <c r="Q190" s="70"/>
      <c r="R190" s="70"/>
      <c r="S190" s="70"/>
      <c r="T190" s="16"/>
      <c r="U190" s="16"/>
      <c r="V190" s="16"/>
      <c r="W190" s="16"/>
      <c r="X190" s="16"/>
      <c r="Y190" s="16"/>
    </row>
    <row r="191" spans="1:25" ht="41.25" customHeight="1">
      <c r="A191" s="91"/>
      <c r="B191" s="75" t="str">
        <f t="shared" si="1"/>
        <v/>
      </c>
      <c r="C191" s="75"/>
      <c r="D191" s="75"/>
      <c r="E191" s="75"/>
      <c r="F191" s="75"/>
      <c r="G191" s="92"/>
      <c r="H191" s="92"/>
      <c r="I191" s="101"/>
      <c r="J191" s="102"/>
      <c r="K191" s="81"/>
      <c r="L191" s="81"/>
      <c r="M191" s="81" t="str">
        <f t="shared" si="2"/>
        <v/>
      </c>
      <c r="N191" s="83"/>
      <c r="O191" s="86"/>
      <c r="P191" s="86"/>
      <c r="Q191" s="70"/>
      <c r="R191" s="70"/>
      <c r="S191" s="70"/>
      <c r="T191" s="16"/>
      <c r="U191" s="16"/>
      <c r="V191" s="16"/>
      <c r="W191" s="16"/>
      <c r="X191" s="16"/>
      <c r="Y191" s="16"/>
    </row>
    <row r="192" spans="1:25" ht="41.25" customHeight="1">
      <c r="A192" s="91"/>
      <c r="B192" s="75" t="str">
        <f t="shared" si="1"/>
        <v/>
      </c>
      <c r="C192" s="75"/>
      <c r="D192" s="75"/>
      <c r="E192" s="75"/>
      <c r="F192" s="75"/>
      <c r="G192" s="92"/>
      <c r="H192" s="92"/>
      <c r="I192" s="101"/>
      <c r="J192" s="102"/>
      <c r="K192" s="81"/>
      <c r="L192" s="81"/>
      <c r="M192" s="81" t="str">
        <f t="shared" si="2"/>
        <v/>
      </c>
      <c r="N192" s="83"/>
      <c r="O192" s="86"/>
      <c r="P192" s="86"/>
      <c r="Q192" s="70"/>
      <c r="R192" s="70"/>
      <c r="S192" s="70"/>
      <c r="T192" s="16"/>
      <c r="U192" s="16"/>
      <c r="V192" s="16"/>
      <c r="W192" s="16"/>
      <c r="X192" s="16"/>
      <c r="Y192" s="16"/>
    </row>
    <row r="193" spans="1:25" ht="41.25" customHeight="1">
      <c r="A193" s="91"/>
      <c r="B193" s="75" t="str">
        <f t="shared" si="1"/>
        <v/>
      </c>
      <c r="C193" s="75"/>
      <c r="D193" s="75"/>
      <c r="E193" s="75"/>
      <c r="F193" s="75"/>
      <c r="G193" s="92"/>
      <c r="H193" s="92"/>
      <c r="I193" s="101"/>
      <c r="J193" s="102"/>
      <c r="K193" s="81"/>
      <c r="L193" s="81"/>
      <c r="M193" s="81" t="str">
        <f t="shared" si="2"/>
        <v/>
      </c>
      <c r="N193" s="83"/>
      <c r="O193" s="86"/>
      <c r="P193" s="86"/>
      <c r="Q193" s="70"/>
      <c r="R193" s="70"/>
      <c r="S193" s="70"/>
      <c r="T193" s="16"/>
      <c r="U193" s="16"/>
      <c r="V193" s="16"/>
      <c r="W193" s="16"/>
      <c r="X193" s="16"/>
      <c r="Y193" s="16"/>
    </row>
    <row r="194" spans="1:25" ht="41.25" customHeight="1">
      <c r="A194" s="91"/>
      <c r="B194" s="75" t="str">
        <f t="shared" si="1"/>
        <v/>
      </c>
      <c r="C194" s="75"/>
      <c r="D194" s="75"/>
      <c r="E194" s="75"/>
      <c r="F194" s="75"/>
      <c r="G194" s="92"/>
      <c r="H194" s="92"/>
      <c r="I194" s="101"/>
      <c r="J194" s="102"/>
      <c r="K194" s="81"/>
      <c r="L194" s="81"/>
      <c r="M194" s="81" t="str">
        <f t="shared" si="2"/>
        <v/>
      </c>
      <c r="N194" s="83"/>
      <c r="O194" s="86"/>
      <c r="P194" s="86"/>
      <c r="Q194" s="70"/>
      <c r="R194" s="70"/>
      <c r="S194" s="70"/>
      <c r="T194" s="16"/>
      <c r="U194" s="16"/>
      <c r="V194" s="16"/>
      <c r="W194" s="16"/>
      <c r="X194" s="16"/>
      <c r="Y194" s="16"/>
    </row>
    <row r="195" spans="1:25" ht="41.25" customHeight="1">
      <c r="A195" s="91"/>
      <c r="B195" s="75" t="str">
        <f t="shared" si="1"/>
        <v/>
      </c>
      <c r="C195" s="75"/>
      <c r="D195" s="75"/>
      <c r="E195" s="75"/>
      <c r="F195" s="75"/>
      <c r="G195" s="92"/>
      <c r="H195" s="92"/>
      <c r="I195" s="101"/>
      <c r="J195" s="102"/>
      <c r="K195" s="81"/>
      <c r="L195" s="81"/>
      <c r="M195" s="81" t="str">
        <f t="shared" si="2"/>
        <v/>
      </c>
      <c r="N195" s="83"/>
      <c r="O195" s="86"/>
      <c r="P195" s="86"/>
      <c r="Q195" s="70"/>
      <c r="R195" s="70"/>
      <c r="S195" s="70"/>
      <c r="T195" s="16"/>
      <c r="U195" s="16"/>
      <c r="V195" s="16"/>
      <c r="W195" s="16"/>
      <c r="X195" s="16"/>
      <c r="Y195" s="16"/>
    </row>
    <row r="196" spans="1:25" ht="41.25" customHeight="1">
      <c r="A196" s="91"/>
      <c r="B196" s="75" t="str">
        <f t="shared" si="1"/>
        <v/>
      </c>
      <c r="C196" s="75"/>
      <c r="D196" s="75"/>
      <c r="E196" s="75"/>
      <c r="F196" s="75"/>
      <c r="G196" s="92"/>
      <c r="H196" s="92"/>
      <c r="I196" s="101"/>
      <c r="J196" s="102"/>
      <c r="K196" s="81"/>
      <c r="L196" s="81"/>
      <c r="M196" s="81" t="str">
        <f t="shared" si="2"/>
        <v/>
      </c>
      <c r="N196" s="83"/>
      <c r="O196" s="86"/>
      <c r="P196" s="86"/>
      <c r="Q196" s="70"/>
      <c r="R196" s="70"/>
      <c r="S196" s="70"/>
      <c r="T196" s="16"/>
      <c r="U196" s="16"/>
      <c r="V196" s="16"/>
      <c r="W196" s="16"/>
      <c r="X196" s="16"/>
      <c r="Y196" s="16"/>
    </row>
    <row r="197" spans="1:25" ht="41.25" customHeight="1">
      <c r="A197" s="91"/>
      <c r="B197" s="75" t="str">
        <f t="shared" si="1"/>
        <v/>
      </c>
      <c r="C197" s="75"/>
      <c r="D197" s="75"/>
      <c r="E197" s="75"/>
      <c r="F197" s="75"/>
      <c r="G197" s="92"/>
      <c r="H197" s="92"/>
      <c r="I197" s="101"/>
      <c r="J197" s="102"/>
      <c r="K197" s="81"/>
      <c r="L197" s="81"/>
      <c r="M197" s="81" t="str">
        <f t="shared" si="2"/>
        <v/>
      </c>
      <c r="N197" s="83"/>
      <c r="O197" s="86"/>
      <c r="P197" s="86"/>
      <c r="Q197" s="70"/>
      <c r="R197" s="70"/>
      <c r="S197" s="70"/>
      <c r="T197" s="16"/>
      <c r="U197" s="16"/>
      <c r="V197" s="16"/>
      <c r="W197" s="16"/>
      <c r="X197" s="16"/>
      <c r="Y197" s="16"/>
    </row>
    <row r="198" spans="1:25" ht="41.25" customHeight="1">
      <c r="A198" s="91"/>
      <c r="B198" s="75" t="str">
        <f t="shared" si="1"/>
        <v/>
      </c>
      <c r="C198" s="75"/>
      <c r="D198" s="75"/>
      <c r="E198" s="75"/>
      <c r="F198" s="75"/>
      <c r="G198" s="92"/>
      <c r="H198" s="92"/>
      <c r="I198" s="101"/>
      <c r="J198" s="102"/>
      <c r="K198" s="81"/>
      <c r="L198" s="81"/>
      <c r="M198" s="81" t="str">
        <f t="shared" si="2"/>
        <v/>
      </c>
      <c r="N198" s="83"/>
      <c r="O198" s="86"/>
      <c r="P198" s="86"/>
      <c r="Q198" s="70"/>
      <c r="R198" s="70"/>
      <c r="S198" s="70"/>
      <c r="T198" s="16"/>
      <c r="U198" s="16"/>
      <c r="V198" s="16"/>
      <c r="W198" s="16"/>
      <c r="X198" s="16"/>
      <c r="Y198" s="16"/>
    </row>
    <row r="199" spans="1:25" ht="41.25" customHeight="1">
      <c r="A199" s="91"/>
      <c r="B199" s="75" t="str">
        <f t="shared" si="1"/>
        <v/>
      </c>
      <c r="C199" s="75"/>
      <c r="D199" s="75"/>
      <c r="E199" s="75"/>
      <c r="F199" s="75"/>
      <c r="G199" s="92"/>
      <c r="H199" s="92"/>
      <c r="I199" s="101"/>
      <c r="J199" s="102"/>
      <c r="K199" s="81"/>
      <c r="L199" s="81"/>
      <c r="M199" s="81" t="str">
        <f t="shared" si="2"/>
        <v/>
      </c>
      <c r="N199" s="83"/>
      <c r="O199" s="86"/>
      <c r="P199" s="86"/>
      <c r="Q199" s="70"/>
      <c r="R199" s="70"/>
      <c r="S199" s="70"/>
      <c r="T199" s="16"/>
      <c r="U199" s="16"/>
      <c r="V199" s="16"/>
      <c r="W199" s="16"/>
      <c r="X199" s="16"/>
      <c r="Y199" s="16"/>
    </row>
    <row r="200" spans="1:25" ht="41.25" customHeight="1">
      <c r="A200" s="91"/>
      <c r="B200" s="75" t="str">
        <f t="shared" si="1"/>
        <v/>
      </c>
      <c r="C200" s="75"/>
      <c r="D200" s="75"/>
      <c r="E200" s="75"/>
      <c r="F200" s="75"/>
      <c r="G200" s="92"/>
      <c r="H200" s="92"/>
      <c r="I200" s="101"/>
      <c r="J200" s="102"/>
      <c r="K200" s="81"/>
      <c r="L200" s="81"/>
      <c r="M200" s="81" t="str">
        <f t="shared" si="2"/>
        <v/>
      </c>
      <c r="N200" s="83"/>
      <c r="O200" s="86"/>
      <c r="P200" s="86"/>
      <c r="Q200" s="70"/>
      <c r="R200" s="70"/>
      <c r="S200" s="70"/>
      <c r="T200" s="16"/>
      <c r="U200" s="16"/>
      <c r="V200" s="16"/>
      <c r="W200" s="16"/>
      <c r="X200" s="16"/>
      <c r="Y200" s="16"/>
    </row>
    <row r="201" spans="1:25" ht="41.25" customHeight="1">
      <c r="A201" s="91"/>
      <c r="B201" s="75" t="str">
        <f t="shared" si="1"/>
        <v/>
      </c>
      <c r="C201" s="75"/>
      <c r="D201" s="75"/>
      <c r="E201" s="75"/>
      <c r="F201" s="75"/>
      <c r="G201" s="92"/>
      <c r="H201" s="92"/>
      <c r="I201" s="101"/>
      <c r="J201" s="102"/>
      <c r="K201" s="81"/>
      <c r="L201" s="81"/>
      <c r="M201" s="81" t="str">
        <f t="shared" si="2"/>
        <v/>
      </c>
      <c r="N201" s="83"/>
      <c r="O201" s="86"/>
      <c r="P201" s="86"/>
      <c r="Q201" s="70"/>
      <c r="R201" s="70"/>
      <c r="S201" s="70"/>
      <c r="T201" s="16"/>
      <c r="U201" s="16"/>
      <c r="V201" s="16"/>
      <c r="W201" s="16"/>
      <c r="X201" s="16"/>
      <c r="Y201" s="16"/>
    </row>
    <row r="202" spans="1:25" ht="41.25" customHeight="1">
      <c r="A202" s="91"/>
      <c r="B202" s="75" t="str">
        <f t="shared" si="1"/>
        <v/>
      </c>
      <c r="C202" s="75"/>
      <c r="D202" s="75"/>
      <c r="E202" s="75"/>
      <c r="F202" s="75"/>
      <c r="G202" s="92"/>
      <c r="H202" s="92"/>
      <c r="I202" s="101"/>
      <c r="J202" s="102"/>
      <c r="K202" s="81"/>
      <c r="L202" s="81"/>
      <c r="M202" s="81" t="str">
        <f t="shared" si="2"/>
        <v/>
      </c>
      <c r="N202" s="83"/>
      <c r="O202" s="86"/>
      <c r="P202" s="86"/>
      <c r="Q202" s="70"/>
      <c r="R202" s="70"/>
      <c r="S202" s="70"/>
      <c r="T202" s="16"/>
      <c r="U202" s="16"/>
      <c r="V202" s="16"/>
      <c r="W202" s="16"/>
      <c r="X202" s="16"/>
      <c r="Y202" s="16"/>
    </row>
    <row r="203" spans="1:25" ht="41.25" customHeight="1">
      <c r="A203" s="91"/>
      <c r="B203" s="75" t="str">
        <f t="shared" si="1"/>
        <v/>
      </c>
      <c r="C203" s="75"/>
      <c r="D203" s="75"/>
      <c r="E203" s="75"/>
      <c r="F203" s="75"/>
      <c r="G203" s="92"/>
      <c r="H203" s="92"/>
      <c r="I203" s="101"/>
      <c r="J203" s="102"/>
      <c r="K203" s="81"/>
      <c r="L203" s="81"/>
      <c r="M203" s="81" t="str">
        <f t="shared" si="2"/>
        <v/>
      </c>
      <c r="N203" s="83"/>
      <c r="O203" s="86"/>
      <c r="P203" s="86"/>
      <c r="Q203" s="70"/>
      <c r="R203" s="70"/>
      <c r="S203" s="70"/>
      <c r="T203" s="16"/>
      <c r="U203" s="16"/>
      <c r="V203" s="16"/>
      <c r="W203" s="16"/>
      <c r="X203" s="16"/>
      <c r="Y203" s="16"/>
    </row>
    <row r="204" spans="1:25" ht="41.25" customHeight="1">
      <c r="A204" s="91"/>
      <c r="B204" s="75" t="str">
        <f t="shared" si="1"/>
        <v/>
      </c>
      <c r="C204" s="75"/>
      <c r="D204" s="75"/>
      <c r="E204" s="75"/>
      <c r="F204" s="75"/>
      <c r="G204" s="92"/>
      <c r="H204" s="92"/>
      <c r="I204" s="101"/>
      <c r="J204" s="102"/>
      <c r="K204" s="81"/>
      <c r="L204" s="81"/>
      <c r="M204" s="81" t="str">
        <f t="shared" si="2"/>
        <v/>
      </c>
      <c r="N204" s="83"/>
      <c r="O204" s="86"/>
      <c r="P204" s="86"/>
      <c r="Q204" s="70"/>
      <c r="R204" s="70"/>
      <c r="S204" s="70"/>
      <c r="T204" s="16"/>
      <c r="U204" s="16"/>
      <c r="V204" s="16"/>
      <c r="W204" s="16"/>
      <c r="X204" s="16"/>
      <c r="Y204" s="16"/>
    </row>
    <row r="205" spans="1:25" ht="41.25" customHeight="1">
      <c r="A205" s="91"/>
      <c r="B205" s="75" t="str">
        <f t="shared" si="1"/>
        <v/>
      </c>
      <c r="C205" s="75"/>
      <c r="D205" s="75"/>
      <c r="E205" s="75"/>
      <c r="F205" s="75"/>
      <c r="G205" s="92"/>
      <c r="H205" s="92"/>
      <c r="I205" s="101"/>
      <c r="J205" s="102"/>
      <c r="K205" s="81"/>
      <c r="L205" s="81"/>
      <c r="M205" s="81" t="str">
        <f t="shared" si="2"/>
        <v/>
      </c>
      <c r="N205" s="83"/>
      <c r="O205" s="86"/>
      <c r="P205" s="86"/>
      <c r="Q205" s="70"/>
      <c r="R205" s="70"/>
      <c r="S205" s="70"/>
      <c r="T205" s="16"/>
      <c r="U205" s="16"/>
      <c r="V205" s="16"/>
      <c r="W205" s="16"/>
      <c r="X205" s="16"/>
      <c r="Y205" s="16"/>
    </row>
    <row r="206" spans="1:25" ht="41.25" customHeight="1">
      <c r="A206" s="91"/>
      <c r="B206" s="75" t="str">
        <f t="shared" si="1"/>
        <v/>
      </c>
      <c r="C206" s="75"/>
      <c r="D206" s="75"/>
      <c r="E206" s="75"/>
      <c r="F206" s="75"/>
      <c r="G206" s="92"/>
      <c r="H206" s="92"/>
      <c r="I206" s="101"/>
      <c r="J206" s="102"/>
      <c r="K206" s="81"/>
      <c r="L206" s="81"/>
      <c r="M206" s="81" t="str">
        <f t="shared" si="2"/>
        <v/>
      </c>
      <c r="N206" s="83"/>
      <c r="O206" s="86"/>
      <c r="P206" s="86"/>
      <c r="Q206" s="70"/>
      <c r="R206" s="70"/>
      <c r="S206" s="70"/>
      <c r="T206" s="16"/>
      <c r="U206" s="16"/>
      <c r="V206" s="16"/>
      <c r="W206" s="16"/>
      <c r="X206" s="16"/>
      <c r="Y206" s="16"/>
    </row>
    <row r="207" spans="1:25" ht="41.25" customHeight="1">
      <c r="A207" s="91"/>
      <c r="B207" s="75" t="str">
        <f t="shared" si="1"/>
        <v/>
      </c>
      <c r="C207" s="75"/>
      <c r="D207" s="75"/>
      <c r="E207" s="75"/>
      <c r="F207" s="75"/>
      <c r="G207" s="92"/>
      <c r="H207" s="92"/>
      <c r="I207" s="101"/>
      <c r="J207" s="102"/>
      <c r="K207" s="81"/>
      <c r="L207" s="81"/>
      <c r="M207" s="81" t="str">
        <f t="shared" si="2"/>
        <v/>
      </c>
      <c r="N207" s="83"/>
      <c r="O207" s="86"/>
      <c r="P207" s="86"/>
      <c r="Q207" s="70"/>
      <c r="R207" s="70"/>
      <c r="S207" s="70"/>
      <c r="T207" s="16"/>
      <c r="U207" s="16"/>
      <c r="V207" s="16"/>
      <c r="W207" s="16"/>
      <c r="X207" s="16"/>
      <c r="Y207" s="16"/>
    </row>
    <row r="208" spans="1:25" ht="41.25" customHeight="1">
      <c r="A208" s="91"/>
      <c r="B208" s="75" t="str">
        <f t="shared" si="1"/>
        <v/>
      </c>
      <c r="C208" s="75"/>
      <c r="D208" s="75"/>
      <c r="E208" s="75"/>
      <c r="F208" s="75"/>
      <c r="G208" s="92"/>
      <c r="H208" s="92"/>
      <c r="I208" s="101"/>
      <c r="J208" s="102"/>
      <c r="K208" s="81"/>
      <c r="L208" s="81"/>
      <c r="M208" s="81" t="str">
        <f t="shared" si="2"/>
        <v/>
      </c>
      <c r="N208" s="83"/>
      <c r="O208" s="86"/>
      <c r="P208" s="86"/>
      <c r="Q208" s="70"/>
      <c r="R208" s="70"/>
      <c r="S208" s="70"/>
      <c r="T208" s="16"/>
      <c r="U208" s="16"/>
      <c r="V208" s="16"/>
      <c r="W208" s="16"/>
      <c r="X208" s="16"/>
      <c r="Y208" s="16"/>
    </row>
    <row r="209" spans="1:25" ht="41.25" customHeight="1">
      <c r="A209" s="91"/>
      <c r="B209" s="75" t="str">
        <f t="shared" si="1"/>
        <v/>
      </c>
      <c r="C209" s="75"/>
      <c r="D209" s="75"/>
      <c r="E209" s="75"/>
      <c r="F209" s="75"/>
      <c r="G209" s="92"/>
      <c r="H209" s="92"/>
      <c r="I209" s="101"/>
      <c r="J209" s="102"/>
      <c r="K209" s="81"/>
      <c r="L209" s="81"/>
      <c r="M209" s="81" t="str">
        <f t="shared" si="2"/>
        <v/>
      </c>
      <c r="N209" s="83"/>
      <c r="O209" s="86"/>
      <c r="P209" s="86"/>
      <c r="Q209" s="70"/>
      <c r="R209" s="70"/>
      <c r="S209" s="70"/>
      <c r="T209" s="16"/>
      <c r="U209" s="16"/>
      <c r="V209" s="16"/>
      <c r="W209" s="16"/>
      <c r="X209" s="16"/>
      <c r="Y209" s="16"/>
    </row>
    <row r="210" spans="1:25" ht="41.25" customHeight="1">
      <c r="A210" s="91"/>
      <c r="B210" s="75" t="str">
        <f t="shared" si="1"/>
        <v/>
      </c>
      <c r="C210" s="75"/>
      <c r="D210" s="75"/>
      <c r="E210" s="75"/>
      <c r="F210" s="75"/>
      <c r="G210" s="92"/>
      <c r="H210" s="92"/>
      <c r="I210" s="101"/>
      <c r="J210" s="102"/>
      <c r="K210" s="81"/>
      <c r="L210" s="81"/>
      <c r="M210" s="81" t="str">
        <f t="shared" si="2"/>
        <v/>
      </c>
      <c r="N210" s="83"/>
      <c r="O210" s="86"/>
      <c r="P210" s="86"/>
      <c r="Q210" s="70"/>
      <c r="R210" s="70"/>
      <c r="S210" s="70"/>
      <c r="T210" s="16"/>
      <c r="U210" s="16"/>
      <c r="V210" s="16"/>
      <c r="W210" s="16"/>
      <c r="X210" s="16"/>
      <c r="Y210" s="16"/>
    </row>
    <row r="211" spans="1:25" ht="41.25" customHeight="1">
      <c r="A211" s="91"/>
      <c r="B211" s="75" t="str">
        <f t="shared" si="1"/>
        <v/>
      </c>
      <c r="C211" s="75"/>
      <c r="D211" s="75"/>
      <c r="E211" s="75"/>
      <c r="F211" s="75"/>
      <c r="G211" s="92"/>
      <c r="H211" s="92"/>
      <c r="I211" s="101"/>
      <c r="J211" s="102"/>
      <c r="K211" s="81"/>
      <c r="L211" s="81"/>
      <c r="M211" s="81" t="str">
        <f t="shared" si="2"/>
        <v/>
      </c>
      <c r="N211" s="83"/>
      <c r="O211" s="86"/>
      <c r="P211" s="86"/>
      <c r="Q211" s="70"/>
      <c r="R211" s="70"/>
      <c r="S211" s="70"/>
      <c r="T211" s="16"/>
      <c r="U211" s="16"/>
      <c r="V211" s="16"/>
      <c r="W211" s="16"/>
      <c r="X211" s="16"/>
      <c r="Y211" s="16"/>
    </row>
    <row r="212" spans="1:25" ht="41.25" customHeight="1">
      <c r="A212" s="91"/>
      <c r="B212" s="75" t="str">
        <f t="shared" si="1"/>
        <v/>
      </c>
      <c r="C212" s="75"/>
      <c r="D212" s="75"/>
      <c r="E212" s="75"/>
      <c r="F212" s="75"/>
      <c r="G212" s="92"/>
      <c r="H212" s="92"/>
      <c r="I212" s="101"/>
      <c r="J212" s="102"/>
      <c r="K212" s="81"/>
      <c r="L212" s="81"/>
      <c r="M212" s="81" t="str">
        <f t="shared" si="2"/>
        <v/>
      </c>
      <c r="N212" s="83"/>
      <c r="O212" s="86"/>
      <c r="P212" s="86"/>
      <c r="Q212" s="70"/>
      <c r="R212" s="70"/>
      <c r="S212" s="70"/>
      <c r="T212" s="16"/>
      <c r="U212" s="16"/>
      <c r="V212" s="16"/>
      <c r="W212" s="16"/>
      <c r="X212" s="16"/>
      <c r="Y212" s="16"/>
    </row>
    <row r="213" spans="1:25" ht="41.25" customHeight="1">
      <c r="A213" s="91"/>
      <c r="B213" s="75" t="str">
        <f t="shared" si="1"/>
        <v/>
      </c>
      <c r="C213" s="75"/>
      <c r="D213" s="75"/>
      <c r="E213" s="75"/>
      <c r="F213" s="75"/>
      <c r="G213" s="92"/>
      <c r="H213" s="92"/>
      <c r="I213" s="101"/>
      <c r="J213" s="102"/>
      <c r="K213" s="81"/>
      <c r="L213" s="81"/>
      <c r="M213" s="81" t="str">
        <f t="shared" si="2"/>
        <v/>
      </c>
      <c r="N213" s="83"/>
      <c r="O213" s="86"/>
      <c r="P213" s="86"/>
      <c r="Q213" s="70"/>
      <c r="R213" s="70"/>
      <c r="S213" s="70"/>
      <c r="T213" s="16"/>
      <c r="U213" s="16"/>
      <c r="V213" s="16"/>
      <c r="W213" s="16"/>
      <c r="X213" s="16"/>
      <c r="Y213" s="16"/>
    </row>
    <row r="214" spans="1:25" ht="41.25" customHeight="1">
      <c r="A214" s="91"/>
      <c r="B214" s="75" t="str">
        <f t="shared" si="1"/>
        <v/>
      </c>
      <c r="C214" s="75"/>
      <c r="D214" s="75"/>
      <c r="E214" s="75"/>
      <c r="F214" s="75"/>
      <c r="G214" s="92"/>
      <c r="H214" s="92"/>
      <c r="I214" s="101"/>
      <c r="J214" s="102"/>
      <c r="K214" s="81"/>
      <c r="L214" s="81"/>
      <c r="M214" s="81" t="str">
        <f t="shared" si="2"/>
        <v/>
      </c>
      <c r="N214" s="83"/>
      <c r="O214" s="86"/>
      <c r="P214" s="86"/>
      <c r="Q214" s="70"/>
      <c r="R214" s="70"/>
      <c r="S214" s="70"/>
      <c r="T214" s="16"/>
      <c r="U214" s="16"/>
      <c r="V214" s="16"/>
      <c r="W214" s="16"/>
      <c r="X214" s="16"/>
      <c r="Y214" s="16"/>
    </row>
    <row r="215" spans="1:25" ht="41.25" customHeight="1">
      <c r="A215" s="91"/>
      <c r="B215" s="75" t="str">
        <f t="shared" si="1"/>
        <v/>
      </c>
      <c r="C215" s="75"/>
      <c r="D215" s="75"/>
      <c r="E215" s="75"/>
      <c r="F215" s="75"/>
      <c r="G215" s="92"/>
      <c r="H215" s="92"/>
      <c r="I215" s="101"/>
      <c r="J215" s="102"/>
      <c r="K215" s="81"/>
      <c r="L215" s="81"/>
      <c r="M215" s="81" t="str">
        <f t="shared" si="2"/>
        <v/>
      </c>
      <c r="N215" s="83"/>
      <c r="O215" s="86"/>
      <c r="P215" s="86"/>
      <c r="Q215" s="70"/>
      <c r="R215" s="70"/>
      <c r="S215" s="70"/>
      <c r="T215" s="16"/>
      <c r="U215" s="16"/>
      <c r="V215" s="16"/>
      <c r="W215" s="16"/>
      <c r="X215" s="16"/>
      <c r="Y215" s="16"/>
    </row>
    <row r="216" spans="1:25" ht="41.25" customHeight="1">
      <c r="A216" s="91"/>
      <c r="B216" s="75" t="str">
        <f t="shared" si="1"/>
        <v/>
      </c>
      <c r="C216" s="75"/>
      <c r="D216" s="75"/>
      <c r="E216" s="75"/>
      <c r="F216" s="75"/>
      <c r="G216" s="92"/>
      <c r="H216" s="92"/>
      <c r="I216" s="101"/>
      <c r="J216" s="102"/>
      <c r="K216" s="81"/>
      <c r="L216" s="81"/>
      <c r="M216" s="81" t="str">
        <f t="shared" si="2"/>
        <v/>
      </c>
      <c r="N216" s="83"/>
      <c r="O216" s="86"/>
      <c r="P216" s="86"/>
      <c r="Q216" s="70"/>
      <c r="R216" s="70"/>
      <c r="S216" s="70"/>
      <c r="T216" s="16"/>
      <c r="U216" s="16"/>
      <c r="V216" s="16"/>
      <c r="W216" s="16"/>
      <c r="X216" s="16"/>
      <c r="Y216" s="16"/>
    </row>
    <row r="217" spans="1:25" ht="41.25" customHeight="1">
      <c r="A217" s="91"/>
      <c r="B217" s="75" t="str">
        <f t="shared" si="1"/>
        <v/>
      </c>
      <c r="C217" s="75"/>
      <c r="D217" s="75"/>
      <c r="E217" s="75"/>
      <c r="F217" s="75"/>
      <c r="G217" s="92"/>
      <c r="H217" s="92"/>
      <c r="I217" s="101"/>
      <c r="J217" s="102"/>
      <c r="K217" s="81"/>
      <c r="L217" s="81"/>
      <c r="M217" s="81" t="str">
        <f t="shared" si="2"/>
        <v/>
      </c>
      <c r="N217" s="83"/>
      <c r="O217" s="86"/>
      <c r="P217" s="86"/>
      <c r="Q217" s="70"/>
      <c r="R217" s="70"/>
      <c r="S217" s="70"/>
      <c r="T217" s="16"/>
      <c r="U217" s="16"/>
      <c r="V217" s="16"/>
      <c r="W217" s="16"/>
      <c r="X217" s="16"/>
      <c r="Y217" s="16"/>
    </row>
    <row r="218" spans="1:25" ht="41.25" customHeight="1">
      <c r="A218" s="91"/>
      <c r="B218" s="75" t="str">
        <f t="shared" si="1"/>
        <v/>
      </c>
      <c r="C218" s="75"/>
      <c r="D218" s="75"/>
      <c r="E218" s="75"/>
      <c r="F218" s="75"/>
      <c r="G218" s="92"/>
      <c r="H218" s="92"/>
      <c r="I218" s="101"/>
      <c r="J218" s="102"/>
      <c r="K218" s="81"/>
      <c r="L218" s="81"/>
      <c r="M218" s="81" t="str">
        <f t="shared" si="2"/>
        <v/>
      </c>
      <c r="N218" s="83"/>
      <c r="O218" s="86"/>
      <c r="P218" s="86"/>
      <c r="Q218" s="70"/>
      <c r="R218" s="70"/>
      <c r="S218" s="70"/>
      <c r="T218" s="16"/>
      <c r="U218" s="16"/>
      <c r="V218" s="16"/>
      <c r="W218" s="16"/>
      <c r="X218" s="16"/>
      <c r="Y218" s="16"/>
    </row>
    <row r="219" spans="1:25" ht="41.25" customHeight="1">
      <c r="A219" s="91"/>
      <c r="B219" s="75" t="str">
        <f t="shared" si="1"/>
        <v/>
      </c>
      <c r="C219" s="75"/>
      <c r="D219" s="75"/>
      <c r="E219" s="75"/>
      <c r="F219" s="75"/>
      <c r="G219" s="92"/>
      <c r="H219" s="92"/>
      <c r="I219" s="101"/>
      <c r="J219" s="102"/>
      <c r="K219" s="81"/>
      <c r="L219" s="81"/>
      <c r="M219" s="81" t="str">
        <f t="shared" si="2"/>
        <v/>
      </c>
      <c r="N219" s="83"/>
      <c r="O219" s="86"/>
      <c r="P219" s="86"/>
      <c r="Q219" s="70"/>
      <c r="R219" s="70"/>
      <c r="S219" s="70"/>
      <c r="T219" s="16"/>
      <c r="U219" s="16"/>
      <c r="V219" s="16"/>
      <c r="W219" s="16"/>
      <c r="X219" s="16"/>
      <c r="Y219" s="16"/>
    </row>
    <row r="220" spans="1:25" ht="41.25" customHeight="1">
      <c r="A220" s="91"/>
      <c r="B220" s="75" t="str">
        <f t="shared" si="1"/>
        <v/>
      </c>
      <c r="C220" s="75"/>
      <c r="D220" s="75"/>
      <c r="E220" s="75"/>
      <c r="F220" s="75"/>
      <c r="G220" s="92"/>
      <c r="H220" s="92"/>
      <c r="I220" s="101"/>
      <c r="J220" s="102"/>
      <c r="K220" s="81"/>
      <c r="L220" s="81"/>
      <c r="M220" s="81" t="str">
        <f t="shared" si="2"/>
        <v/>
      </c>
      <c r="N220" s="83"/>
      <c r="O220" s="86"/>
      <c r="P220" s="86"/>
      <c r="Q220" s="70"/>
      <c r="R220" s="70"/>
      <c r="S220" s="70"/>
      <c r="T220" s="16"/>
      <c r="U220" s="16"/>
      <c r="V220" s="16"/>
      <c r="W220" s="16"/>
      <c r="X220" s="16"/>
      <c r="Y220" s="16"/>
    </row>
    <row r="221" spans="1:25" ht="41.25" customHeight="1">
      <c r="A221" s="91"/>
      <c r="B221" s="75" t="str">
        <f t="shared" si="1"/>
        <v/>
      </c>
      <c r="C221" s="75"/>
      <c r="D221" s="75"/>
      <c r="E221" s="75"/>
      <c r="F221" s="75"/>
      <c r="G221" s="92"/>
      <c r="H221" s="92"/>
      <c r="I221" s="101"/>
      <c r="J221" s="102"/>
      <c r="K221" s="81"/>
      <c r="L221" s="81"/>
      <c r="M221" s="81" t="str">
        <f t="shared" si="2"/>
        <v/>
      </c>
      <c r="N221" s="83"/>
      <c r="O221" s="86"/>
      <c r="P221" s="86"/>
      <c r="Q221" s="70"/>
      <c r="R221" s="70"/>
      <c r="S221" s="70"/>
      <c r="T221" s="16"/>
      <c r="U221" s="16"/>
      <c r="V221" s="16"/>
      <c r="W221" s="16"/>
      <c r="X221" s="16"/>
      <c r="Y221" s="16"/>
    </row>
    <row r="222" spans="1:25" ht="41.25" customHeight="1">
      <c r="A222" s="91"/>
      <c r="B222" s="75" t="str">
        <f t="shared" si="1"/>
        <v/>
      </c>
      <c r="C222" s="75"/>
      <c r="D222" s="75"/>
      <c r="E222" s="75"/>
      <c r="F222" s="75"/>
      <c r="G222" s="92"/>
      <c r="H222" s="92"/>
      <c r="I222" s="101"/>
      <c r="J222" s="102"/>
      <c r="K222" s="81"/>
      <c r="L222" s="81"/>
      <c r="M222" s="81" t="str">
        <f t="shared" si="2"/>
        <v/>
      </c>
      <c r="N222" s="83"/>
      <c r="O222" s="86"/>
      <c r="P222" s="86"/>
      <c r="Q222" s="70"/>
      <c r="R222" s="70"/>
      <c r="S222" s="70"/>
      <c r="T222" s="16"/>
      <c r="U222" s="16"/>
      <c r="V222" s="16"/>
      <c r="W222" s="16"/>
      <c r="X222" s="16"/>
      <c r="Y222" s="16"/>
    </row>
    <row r="223" spans="1:25" ht="41.25" customHeight="1">
      <c r="A223" s="91"/>
      <c r="B223" s="75" t="str">
        <f t="shared" si="1"/>
        <v/>
      </c>
      <c r="C223" s="75"/>
      <c r="D223" s="75"/>
      <c r="E223" s="75"/>
      <c r="F223" s="75"/>
      <c r="G223" s="92"/>
      <c r="H223" s="92"/>
      <c r="I223" s="101"/>
      <c r="J223" s="102"/>
      <c r="K223" s="81"/>
      <c r="L223" s="81"/>
      <c r="M223" s="81" t="str">
        <f t="shared" si="2"/>
        <v/>
      </c>
      <c r="N223" s="83"/>
      <c r="O223" s="86"/>
      <c r="P223" s="86"/>
      <c r="Q223" s="70"/>
      <c r="R223" s="70"/>
      <c r="S223" s="70"/>
      <c r="T223" s="16"/>
      <c r="U223" s="16"/>
      <c r="V223" s="16"/>
      <c r="W223" s="16"/>
      <c r="X223" s="16"/>
      <c r="Y223" s="16"/>
    </row>
    <row r="224" spans="1:25" ht="41.25" customHeight="1">
      <c r="A224" s="91"/>
      <c r="B224" s="75" t="str">
        <f t="shared" si="1"/>
        <v/>
      </c>
      <c r="C224" s="75"/>
      <c r="D224" s="75"/>
      <c r="E224" s="75"/>
      <c r="F224" s="75"/>
      <c r="G224" s="92"/>
      <c r="H224" s="92"/>
      <c r="I224" s="101"/>
      <c r="J224" s="102"/>
      <c r="K224" s="81"/>
      <c r="L224" s="81"/>
      <c r="M224" s="81" t="str">
        <f t="shared" si="2"/>
        <v/>
      </c>
      <c r="N224" s="83"/>
      <c r="O224" s="86"/>
      <c r="P224" s="86"/>
      <c r="Q224" s="70"/>
      <c r="R224" s="70"/>
      <c r="S224" s="70"/>
      <c r="T224" s="16"/>
      <c r="U224" s="16"/>
      <c r="V224" s="16"/>
      <c r="W224" s="16"/>
      <c r="X224" s="16"/>
      <c r="Y224" s="16"/>
    </row>
    <row r="225" spans="1:25" ht="41.25" customHeight="1">
      <c r="A225" s="91"/>
      <c r="B225" s="75" t="str">
        <f t="shared" si="1"/>
        <v/>
      </c>
      <c r="C225" s="75"/>
      <c r="D225" s="75"/>
      <c r="E225" s="75"/>
      <c r="F225" s="75"/>
      <c r="G225" s="92"/>
      <c r="H225" s="92"/>
      <c r="I225" s="101"/>
      <c r="J225" s="102"/>
      <c r="K225" s="81"/>
      <c r="L225" s="81"/>
      <c r="M225" s="81" t="str">
        <f t="shared" si="2"/>
        <v/>
      </c>
      <c r="N225" s="83"/>
      <c r="O225" s="86"/>
      <c r="P225" s="86"/>
      <c r="Q225" s="70"/>
      <c r="R225" s="70"/>
      <c r="S225" s="70"/>
      <c r="T225" s="16"/>
      <c r="U225" s="16"/>
      <c r="V225" s="16"/>
      <c r="W225" s="16"/>
      <c r="X225" s="16"/>
      <c r="Y225" s="16"/>
    </row>
    <row r="226" spans="1:25" ht="41.25" customHeight="1">
      <c r="A226" s="91"/>
      <c r="B226" s="75" t="str">
        <f t="shared" si="1"/>
        <v/>
      </c>
      <c r="C226" s="75"/>
      <c r="D226" s="75"/>
      <c r="E226" s="75"/>
      <c r="F226" s="75"/>
      <c r="G226" s="92"/>
      <c r="H226" s="92"/>
      <c r="I226" s="101"/>
      <c r="J226" s="102"/>
      <c r="K226" s="81"/>
      <c r="L226" s="81"/>
      <c r="M226" s="81" t="str">
        <f t="shared" si="2"/>
        <v/>
      </c>
      <c r="N226" s="83"/>
      <c r="O226" s="86"/>
      <c r="P226" s="86"/>
      <c r="Q226" s="70"/>
      <c r="R226" s="70"/>
      <c r="S226" s="70"/>
      <c r="T226" s="16"/>
      <c r="U226" s="16"/>
      <c r="V226" s="16"/>
      <c r="W226" s="16"/>
      <c r="X226" s="16"/>
      <c r="Y226" s="16"/>
    </row>
    <row r="227" spans="1:25" ht="41.25" customHeight="1">
      <c r="A227" s="91"/>
      <c r="B227" s="75" t="str">
        <f t="shared" si="1"/>
        <v/>
      </c>
      <c r="C227" s="75"/>
      <c r="D227" s="75"/>
      <c r="E227" s="75"/>
      <c r="F227" s="75"/>
      <c r="G227" s="92"/>
      <c r="H227" s="92"/>
      <c r="I227" s="101"/>
      <c r="J227" s="102"/>
      <c r="K227" s="81"/>
      <c r="L227" s="81"/>
      <c r="M227" s="81" t="str">
        <f t="shared" si="2"/>
        <v/>
      </c>
      <c r="N227" s="83"/>
      <c r="O227" s="86"/>
      <c r="P227" s="86"/>
      <c r="Q227" s="70"/>
      <c r="R227" s="70"/>
      <c r="S227" s="70"/>
      <c r="T227" s="16"/>
      <c r="U227" s="16"/>
      <c r="V227" s="16"/>
      <c r="W227" s="16"/>
      <c r="X227" s="16"/>
      <c r="Y227" s="16"/>
    </row>
    <row r="228" spans="1:25" ht="41.25" customHeight="1">
      <c r="A228" s="91"/>
      <c r="B228" s="75" t="str">
        <f t="shared" si="1"/>
        <v/>
      </c>
      <c r="C228" s="75"/>
      <c r="D228" s="75"/>
      <c r="E228" s="75"/>
      <c r="F228" s="75"/>
      <c r="G228" s="92"/>
      <c r="H228" s="92"/>
      <c r="I228" s="101"/>
      <c r="J228" s="102"/>
      <c r="K228" s="81"/>
      <c r="L228" s="81"/>
      <c r="M228" s="81" t="str">
        <f t="shared" si="2"/>
        <v/>
      </c>
      <c r="N228" s="83"/>
      <c r="O228" s="86"/>
      <c r="P228" s="86"/>
      <c r="Q228" s="70"/>
      <c r="R228" s="70"/>
      <c r="S228" s="70"/>
      <c r="T228" s="16"/>
      <c r="U228" s="16"/>
      <c r="V228" s="16"/>
      <c r="W228" s="16"/>
      <c r="X228" s="16"/>
      <c r="Y228" s="16"/>
    </row>
    <row r="229" spans="1:25" ht="41.25" customHeight="1">
      <c r="A229" s="91"/>
      <c r="B229" s="75" t="str">
        <f t="shared" si="1"/>
        <v/>
      </c>
      <c r="C229" s="75"/>
      <c r="D229" s="75"/>
      <c r="E229" s="75"/>
      <c r="F229" s="75"/>
      <c r="G229" s="92"/>
      <c r="H229" s="92"/>
      <c r="I229" s="101"/>
      <c r="J229" s="102"/>
      <c r="K229" s="81"/>
      <c r="L229" s="81"/>
      <c r="M229" s="81" t="str">
        <f t="shared" si="2"/>
        <v/>
      </c>
      <c r="N229" s="83"/>
      <c r="O229" s="86"/>
      <c r="P229" s="86"/>
      <c r="Q229" s="70"/>
      <c r="R229" s="70"/>
      <c r="S229" s="70"/>
      <c r="T229" s="16"/>
      <c r="U229" s="16"/>
      <c r="V229" s="16"/>
      <c r="W229" s="16"/>
      <c r="X229" s="16"/>
      <c r="Y229" s="16"/>
    </row>
    <row r="230" spans="1:25" ht="41.25" customHeight="1">
      <c r="A230" s="91"/>
      <c r="B230" s="75" t="str">
        <f t="shared" si="1"/>
        <v/>
      </c>
      <c r="C230" s="75"/>
      <c r="D230" s="75"/>
      <c r="E230" s="75"/>
      <c r="F230" s="75"/>
      <c r="G230" s="92"/>
      <c r="H230" s="92"/>
      <c r="I230" s="101"/>
      <c r="J230" s="102"/>
      <c r="K230" s="81"/>
      <c r="L230" s="81"/>
      <c r="M230" s="81" t="str">
        <f t="shared" si="2"/>
        <v/>
      </c>
      <c r="N230" s="83"/>
      <c r="O230" s="86"/>
      <c r="P230" s="86"/>
      <c r="Q230" s="70"/>
      <c r="R230" s="70"/>
      <c r="S230" s="70"/>
      <c r="T230" s="16"/>
      <c r="U230" s="16"/>
      <c r="V230" s="16"/>
      <c r="W230" s="16"/>
      <c r="X230" s="16"/>
      <c r="Y230" s="16"/>
    </row>
    <row r="231" spans="1:25" ht="41.25" customHeight="1">
      <c r="A231" s="91"/>
      <c r="B231" s="75" t="str">
        <f t="shared" si="1"/>
        <v/>
      </c>
      <c r="C231" s="75"/>
      <c r="D231" s="75"/>
      <c r="E231" s="75"/>
      <c r="F231" s="75"/>
      <c r="G231" s="92"/>
      <c r="H231" s="92"/>
      <c r="I231" s="101"/>
      <c r="J231" s="102"/>
      <c r="K231" s="81"/>
      <c r="L231" s="81"/>
      <c r="M231" s="81" t="str">
        <f t="shared" si="2"/>
        <v/>
      </c>
      <c r="N231" s="83"/>
      <c r="O231" s="86"/>
      <c r="P231" s="86"/>
      <c r="Q231" s="70"/>
      <c r="R231" s="70"/>
      <c r="S231" s="70"/>
      <c r="T231" s="16"/>
      <c r="U231" s="16"/>
      <c r="V231" s="16"/>
      <c r="W231" s="16"/>
      <c r="X231" s="16"/>
      <c r="Y231" s="16"/>
    </row>
    <row r="232" spans="1:25" ht="41.25" customHeight="1">
      <c r="A232" s="91"/>
      <c r="B232" s="75" t="str">
        <f t="shared" si="1"/>
        <v/>
      </c>
      <c r="C232" s="75"/>
      <c r="D232" s="75"/>
      <c r="E232" s="75"/>
      <c r="F232" s="75"/>
      <c r="G232" s="92"/>
      <c r="H232" s="92"/>
      <c r="I232" s="101"/>
      <c r="J232" s="102"/>
      <c r="K232" s="81"/>
      <c r="L232" s="81"/>
      <c r="M232" s="81" t="str">
        <f t="shared" si="2"/>
        <v/>
      </c>
      <c r="N232" s="83"/>
      <c r="O232" s="86"/>
      <c r="P232" s="86"/>
      <c r="Q232" s="70"/>
      <c r="R232" s="70"/>
      <c r="S232" s="70"/>
      <c r="T232" s="16"/>
      <c r="U232" s="16"/>
      <c r="V232" s="16"/>
      <c r="W232" s="16"/>
      <c r="X232" s="16"/>
      <c r="Y232" s="16"/>
    </row>
    <row r="233" spans="1:25" ht="41.25" customHeight="1">
      <c r="A233" s="94"/>
      <c r="B233" s="95" t="str">
        <f t="shared" si="1"/>
        <v/>
      </c>
      <c r="C233" s="95"/>
      <c r="D233" s="95"/>
      <c r="E233" s="95"/>
      <c r="F233" s="95"/>
      <c r="G233" s="96"/>
      <c r="H233" s="96"/>
      <c r="I233" s="103"/>
      <c r="J233" s="104"/>
      <c r="K233" s="97"/>
      <c r="L233" s="97"/>
      <c r="M233" s="97" t="str">
        <f t="shared" si="2"/>
        <v/>
      </c>
      <c r="N233" s="98"/>
      <c r="O233" s="99"/>
      <c r="P233" s="99"/>
      <c r="Q233" s="70"/>
      <c r="R233" s="70"/>
      <c r="S233" s="70"/>
      <c r="T233" s="16"/>
      <c r="U233" s="16"/>
      <c r="V233" s="16"/>
      <c r="W233" s="16"/>
      <c r="X233" s="16"/>
      <c r="Y233" s="16"/>
    </row>
    <row r="234" spans="1:25" ht="12" customHeight="1">
      <c r="A234" s="22"/>
      <c r="B234" s="89"/>
      <c r="C234" s="89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ht="12" customHeight="1">
      <c r="A235" s="22"/>
      <c r="B235" s="89"/>
      <c r="C235" s="89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ht="12" customHeight="1">
      <c r="A236" s="22"/>
      <c r="B236" s="89"/>
      <c r="C236" s="89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ht="12" customHeight="1">
      <c r="A237" s="22"/>
      <c r="B237" s="89"/>
      <c r="C237" s="89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ht="12" customHeight="1">
      <c r="A238" s="22"/>
      <c r="B238" s="89"/>
      <c r="C238" s="89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ht="12" customHeight="1">
      <c r="A239" s="22"/>
      <c r="B239" s="89"/>
      <c r="C239" s="89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ht="12" customHeight="1">
      <c r="A240" s="22"/>
      <c r="B240" s="89"/>
      <c r="C240" s="89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ht="12" customHeight="1">
      <c r="A241" s="22"/>
      <c r="B241" s="89"/>
      <c r="C241" s="89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ht="12" customHeight="1">
      <c r="A242" s="22"/>
      <c r="B242" s="89"/>
      <c r="C242" s="89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ht="12" customHeight="1">
      <c r="A243" s="22"/>
      <c r="B243" s="89"/>
      <c r="C243" s="89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ht="12" customHeight="1">
      <c r="A244" s="22"/>
      <c r="B244" s="89"/>
      <c r="C244" s="89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ht="12" customHeight="1">
      <c r="A245" s="22"/>
      <c r="B245" s="89"/>
      <c r="C245" s="89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ht="12" customHeight="1">
      <c r="A246" s="22"/>
      <c r="B246" s="89"/>
      <c r="C246" s="89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ht="12" customHeight="1">
      <c r="A247" s="22"/>
      <c r="B247" s="89"/>
      <c r="C247" s="89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ht="12" customHeight="1">
      <c r="A248" s="22"/>
      <c r="B248" s="89"/>
      <c r="C248" s="89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ht="12" customHeight="1">
      <c r="A249" s="22"/>
      <c r="B249" s="89"/>
      <c r="C249" s="89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ht="12" customHeight="1">
      <c r="A250" s="22"/>
      <c r="B250" s="89"/>
      <c r="C250" s="89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ht="12" customHeight="1">
      <c r="A251" s="22"/>
      <c r="B251" s="89"/>
      <c r="C251" s="89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ht="12" customHeight="1">
      <c r="A252" s="22"/>
      <c r="B252" s="89"/>
      <c r="C252" s="89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ht="12" customHeight="1">
      <c r="A253" s="22"/>
      <c r="B253" s="89"/>
      <c r="C253" s="89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ht="12" customHeight="1">
      <c r="A254" s="22"/>
      <c r="B254" s="89"/>
      <c r="C254" s="89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ht="12" customHeight="1">
      <c r="A255" s="22"/>
      <c r="B255" s="89"/>
      <c r="C255" s="89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ht="12" customHeight="1">
      <c r="A256" s="22"/>
      <c r="B256" s="89"/>
      <c r="C256" s="89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ht="12" customHeight="1">
      <c r="A257" s="22"/>
      <c r="B257" s="89"/>
      <c r="C257" s="89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ht="12" customHeight="1">
      <c r="A258" s="22"/>
      <c r="B258" s="89"/>
      <c r="C258" s="89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ht="12" customHeight="1">
      <c r="A259" s="22"/>
      <c r="B259" s="89"/>
      <c r="C259" s="89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ht="12" customHeight="1">
      <c r="A260" s="22"/>
      <c r="B260" s="89"/>
      <c r="C260" s="89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ht="12" customHeight="1">
      <c r="A261" s="22"/>
      <c r="B261" s="89"/>
      <c r="C261" s="89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ht="12" customHeight="1">
      <c r="A262" s="22"/>
      <c r="B262" s="89"/>
      <c r="C262" s="89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ht="12" customHeight="1">
      <c r="A263" s="22"/>
      <c r="B263" s="89"/>
      <c r="C263" s="89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ht="12" customHeight="1">
      <c r="A264" s="22"/>
      <c r="B264" s="89"/>
      <c r="C264" s="8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ht="12" customHeight="1">
      <c r="A265" s="22"/>
      <c r="B265" s="89"/>
      <c r="C265" s="89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ht="12" customHeight="1">
      <c r="A266" s="22"/>
      <c r="B266" s="89"/>
      <c r="C266" s="89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ht="12" customHeight="1">
      <c r="A267" s="22"/>
      <c r="B267" s="89"/>
      <c r="C267" s="89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ht="12" customHeight="1">
      <c r="A268" s="22"/>
      <c r="B268" s="89"/>
      <c r="C268" s="89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ht="12" customHeight="1">
      <c r="A269" s="22"/>
      <c r="B269" s="89"/>
      <c r="C269" s="89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ht="12" customHeight="1">
      <c r="A270" s="22"/>
      <c r="B270" s="89"/>
      <c r="C270" s="89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ht="12" customHeight="1">
      <c r="A271" s="22"/>
      <c r="B271" s="89"/>
      <c r="C271" s="89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ht="12" customHeight="1">
      <c r="A272" s="22"/>
      <c r="B272" s="89"/>
      <c r="C272" s="89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ht="12" customHeight="1">
      <c r="A273" s="22"/>
      <c r="B273" s="89"/>
      <c r="C273" s="89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ht="12" customHeight="1">
      <c r="A274" s="22"/>
      <c r="B274" s="89"/>
      <c r="C274" s="89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ht="12" customHeight="1">
      <c r="A275" s="22"/>
      <c r="B275" s="89"/>
      <c r="C275" s="89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ht="12" customHeight="1">
      <c r="A276" s="22"/>
      <c r="B276" s="89"/>
      <c r="C276" s="89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ht="12" customHeight="1">
      <c r="A277" s="22"/>
      <c r="B277" s="89"/>
      <c r="C277" s="89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ht="12" customHeight="1">
      <c r="A278" s="22"/>
      <c r="B278" s="89"/>
      <c r="C278" s="89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ht="12" customHeight="1">
      <c r="A279" s="22"/>
      <c r="B279" s="89"/>
      <c r="C279" s="8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ht="12" customHeight="1">
      <c r="A280" s="22"/>
      <c r="B280" s="89"/>
      <c r="C280" s="89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ht="12" customHeight="1">
      <c r="A281" s="22"/>
      <c r="B281" s="89"/>
      <c r="C281" s="89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ht="12" customHeight="1">
      <c r="A282" s="22"/>
      <c r="B282" s="89"/>
      <c r="C282" s="89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ht="12" customHeight="1">
      <c r="A283" s="22"/>
      <c r="B283" s="89"/>
      <c r="C283" s="89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ht="12" customHeight="1">
      <c r="A284" s="22"/>
      <c r="B284" s="89"/>
      <c r="C284" s="89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ht="12" customHeight="1">
      <c r="A285" s="22"/>
      <c r="B285" s="89"/>
      <c r="C285" s="89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ht="12" customHeight="1">
      <c r="A286" s="22"/>
      <c r="B286" s="89"/>
      <c r="C286" s="8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ht="12" customHeight="1">
      <c r="A287" s="22"/>
      <c r="B287" s="89"/>
      <c r="C287" s="89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ht="12" customHeight="1">
      <c r="A288" s="22"/>
      <c r="B288" s="89"/>
      <c r="C288" s="89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ht="12" customHeight="1">
      <c r="A289" s="22"/>
      <c r="B289" s="89"/>
      <c r="C289" s="89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ht="12" customHeight="1">
      <c r="A290" s="22"/>
      <c r="B290" s="89"/>
      <c r="C290" s="89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ht="12" customHeight="1">
      <c r="A291" s="22"/>
      <c r="B291" s="89"/>
      <c r="C291" s="89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ht="12" customHeight="1">
      <c r="A292" s="22"/>
      <c r="B292" s="89"/>
      <c r="C292" s="89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ht="12" customHeight="1">
      <c r="A293" s="22"/>
      <c r="B293" s="89"/>
      <c r="C293" s="89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ht="12" customHeight="1">
      <c r="A294" s="22"/>
      <c r="B294" s="89"/>
      <c r="C294" s="89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ht="12" customHeight="1">
      <c r="A295" s="22"/>
      <c r="B295" s="89"/>
      <c r="C295" s="89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ht="12" customHeight="1">
      <c r="A296" s="22"/>
      <c r="B296" s="89"/>
      <c r="C296" s="89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ht="12" customHeight="1">
      <c r="A297" s="22"/>
      <c r="B297" s="89"/>
      <c r="C297" s="89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ht="12" customHeight="1">
      <c r="A298" s="22"/>
      <c r="B298" s="89"/>
      <c r="C298" s="89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ht="12" customHeight="1">
      <c r="A299" s="22"/>
      <c r="B299" s="89"/>
      <c r="C299" s="89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ht="12" customHeight="1">
      <c r="A300" s="22"/>
      <c r="B300" s="89"/>
      <c r="C300" s="89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ht="12" customHeight="1">
      <c r="A301" s="22"/>
      <c r="B301" s="89"/>
      <c r="C301" s="89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ht="12" customHeight="1">
      <c r="A302" s="22"/>
      <c r="B302" s="89"/>
      <c r="C302" s="89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ht="12" customHeight="1">
      <c r="A303" s="22"/>
      <c r="B303" s="89"/>
      <c r="C303" s="89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ht="12" customHeight="1">
      <c r="A304" s="22"/>
      <c r="B304" s="89"/>
      <c r="C304" s="89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ht="12" customHeight="1">
      <c r="A305" s="22"/>
      <c r="B305" s="89"/>
      <c r="C305" s="89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ht="12" customHeight="1">
      <c r="A306" s="22"/>
      <c r="B306" s="89"/>
      <c r="C306" s="89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ht="12" customHeight="1">
      <c r="A307" s="22"/>
      <c r="B307" s="89"/>
      <c r="C307" s="89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ht="12" customHeight="1">
      <c r="A308" s="22"/>
      <c r="B308" s="89"/>
      <c r="C308" s="89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ht="12" customHeight="1">
      <c r="A309" s="22"/>
      <c r="B309" s="89"/>
      <c r="C309" s="89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ht="12" customHeight="1">
      <c r="A310" s="22"/>
      <c r="B310" s="89"/>
      <c r="C310" s="89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ht="12" customHeight="1">
      <c r="A311" s="22"/>
      <c r="B311" s="89"/>
      <c r="C311" s="89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ht="12" customHeight="1">
      <c r="A312" s="22"/>
      <c r="B312" s="89"/>
      <c r="C312" s="89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ht="12" customHeight="1">
      <c r="A313" s="22"/>
      <c r="B313" s="89"/>
      <c r="C313" s="89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ht="12" customHeight="1">
      <c r="A314" s="22"/>
      <c r="B314" s="89"/>
      <c r="C314" s="89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ht="12" customHeight="1">
      <c r="A315" s="22"/>
      <c r="B315" s="89"/>
      <c r="C315" s="89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ht="12" customHeight="1">
      <c r="A316" s="22"/>
      <c r="B316" s="89"/>
      <c r="C316" s="89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ht="12" customHeight="1">
      <c r="A317" s="22"/>
      <c r="B317" s="89"/>
      <c r="C317" s="89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ht="12" customHeight="1">
      <c r="A318" s="22"/>
      <c r="B318" s="89"/>
      <c r="C318" s="89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ht="12" customHeight="1">
      <c r="A319" s="22"/>
      <c r="B319" s="89"/>
      <c r="C319" s="89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ht="12" customHeight="1">
      <c r="A320" s="22"/>
      <c r="B320" s="89"/>
      <c r="C320" s="89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 ht="12" customHeight="1">
      <c r="A321" s="22"/>
      <c r="B321" s="89"/>
      <c r="C321" s="89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 ht="12" customHeight="1">
      <c r="A322" s="22"/>
      <c r="B322" s="89"/>
      <c r="C322" s="89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 ht="12" customHeight="1">
      <c r="A323" s="22"/>
      <c r="B323" s="89"/>
      <c r="C323" s="89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 ht="12" customHeight="1">
      <c r="A324" s="22"/>
      <c r="B324" s="89"/>
      <c r="C324" s="89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 ht="12" customHeight="1">
      <c r="A325" s="22"/>
      <c r="B325" s="89"/>
      <c r="C325" s="89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 ht="12" customHeight="1">
      <c r="A326" s="22"/>
      <c r="B326" s="89"/>
      <c r="C326" s="89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 ht="12" customHeight="1">
      <c r="A327" s="22"/>
      <c r="B327" s="89"/>
      <c r="C327" s="89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 ht="12" customHeight="1">
      <c r="A328" s="22"/>
      <c r="B328" s="89"/>
      <c r="C328" s="89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 ht="12" customHeight="1">
      <c r="A329" s="22"/>
      <c r="B329" s="89"/>
      <c r="C329" s="89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 ht="12" customHeight="1">
      <c r="A330" s="22"/>
      <c r="B330" s="89"/>
      <c r="C330" s="89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 ht="12" customHeight="1">
      <c r="A331" s="22"/>
      <c r="B331" s="89"/>
      <c r="C331" s="89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 ht="12" customHeight="1">
      <c r="A332" s="22"/>
      <c r="B332" s="89"/>
      <c r="C332" s="89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 ht="12" customHeight="1">
      <c r="A333" s="22"/>
      <c r="B333" s="89"/>
      <c r="C333" s="89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 ht="12" customHeight="1">
      <c r="A334" s="22"/>
      <c r="B334" s="89"/>
      <c r="C334" s="89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 ht="12" customHeight="1">
      <c r="A335" s="22"/>
      <c r="B335" s="89"/>
      <c r="C335" s="89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 ht="12" customHeight="1">
      <c r="A336" s="22"/>
      <c r="B336" s="89"/>
      <c r="C336" s="89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 ht="12" customHeight="1">
      <c r="A337" s="22"/>
      <c r="B337" s="89"/>
      <c r="C337" s="89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 ht="12" customHeight="1">
      <c r="A338" s="22"/>
      <c r="B338" s="89"/>
      <c r="C338" s="89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 ht="12" customHeight="1">
      <c r="A339" s="22"/>
      <c r="B339" s="89"/>
      <c r="C339" s="89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 ht="12" customHeight="1">
      <c r="A340" s="22"/>
      <c r="B340" s="89"/>
      <c r="C340" s="89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 ht="12" customHeight="1">
      <c r="A341" s="22"/>
      <c r="B341" s="89"/>
      <c r="C341" s="89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 ht="12" customHeight="1">
      <c r="A342" s="22"/>
      <c r="B342" s="89"/>
      <c r="C342" s="89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 ht="12" customHeight="1">
      <c r="A343" s="22"/>
      <c r="B343" s="89"/>
      <c r="C343" s="89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 ht="12" customHeight="1">
      <c r="A344" s="22"/>
      <c r="B344" s="89"/>
      <c r="C344" s="89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 ht="12" customHeight="1">
      <c r="A345" s="22"/>
      <c r="B345" s="89"/>
      <c r="C345" s="89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 ht="12" customHeight="1">
      <c r="A346" s="22"/>
      <c r="B346" s="89"/>
      <c r="C346" s="89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 ht="12" customHeight="1">
      <c r="A347" s="22"/>
      <c r="B347" s="89"/>
      <c r="C347" s="89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 ht="12" customHeight="1">
      <c r="A348" s="22"/>
      <c r="B348" s="89"/>
      <c r="C348" s="89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 ht="12" customHeight="1">
      <c r="A349" s="22"/>
      <c r="B349" s="89"/>
      <c r="C349" s="89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 ht="12" customHeight="1">
      <c r="A350" s="22"/>
      <c r="B350" s="89"/>
      <c r="C350" s="89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 ht="12" customHeight="1">
      <c r="A351" s="22"/>
      <c r="B351" s="89"/>
      <c r="C351" s="89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 ht="12" customHeight="1">
      <c r="A352" s="22"/>
      <c r="B352" s="89"/>
      <c r="C352" s="89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 ht="12" customHeight="1">
      <c r="A353" s="22"/>
      <c r="B353" s="89"/>
      <c r="C353" s="89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 ht="12" customHeight="1">
      <c r="A354" s="22"/>
      <c r="B354" s="89"/>
      <c r="C354" s="89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 ht="12" customHeight="1">
      <c r="A355" s="22"/>
      <c r="B355" s="89"/>
      <c r="C355" s="89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 ht="12" customHeight="1">
      <c r="A356" s="22"/>
      <c r="B356" s="89"/>
      <c r="C356" s="89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 ht="12" customHeight="1">
      <c r="A357" s="22"/>
      <c r="B357" s="89"/>
      <c r="C357" s="89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 ht="12" customHeight="1">
      <c r="A358" s="22"/>
      <c r="B358" s="89"/>
      <c r="C358" s="89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 ht="12" customHeight="1">
      <c r="A359" s="22"/>
      <c r="B359" s="89"/>
      <c r="C359" s="89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 ht="12" customHeight="1">
      <c r="A360" s="22"/>
      <c r="B360" s="89"/>
      <c r="C360" s="89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 ht="12" customHeight="1">
      <c r="A361" s="22"/>
      <c r="B361" s="89"/>
      <c r="C361" s="89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 ht="12" customHeight="1">
      <c r="A362" s="22"/>
      <c r="B362" s="89"/>
      <c r="C362" s="89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 ht="12" customHeight="1">
      <c r="A363" s="22"/>
      <c r="B363" s="89"/>
      <c r="C363" s="89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 ht="12" customHeight="1">
      <c r="A364" s="22"/>
      <c r="B364" s="89"/>
      <c r="C364" s="89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 ht="12" customHeight="1">
      <c r="A365" s="22"/>
      <c r="B365" s="89"/>
      <c r="C365" s="89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 ht="12" customHeight="1">
      <c r="A366" s="22"/>
      <c r="B366" s="89"/>
      <c r="C366" s="89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 ht="12" customHeight="1">
      <c r="A367" s="22"/>
      <c r="B367" s="89"/>
      <c r="C367" s="89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 ht="12" customHeight="1">
      <c r="A368" s="22"/>
      <c r="B368" s="89"/>
      <c r="C368" s="89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 ht="12" customHeight="1">
      <c r="A369" s="22"/>
      <c r="B369" s="89"/>
      <c r="C369" s="89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 ht="12" customHeight="1">
      <c r="A370" s="22"/>
      <c r="B370" s="89"/>
      <c r="C370" s="89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 ht="12" customHeight="1">
      <c r="A371" s="22"/>
      <c r="B371" s="89"/>
      <c r="C371" s="89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 ht="12" customHeight="1">
      <c r="A372" s="22"/>
      <c r="B372" s="89"/>
      <c r="C372" s="89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 ht="12" customHeight="1">
      <c r="A373" s="22"/>
      <c r="B373" s="89"/>
      <c r="C373" s="89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 ht="12" customHeight="1">
      <c r="A374" s="22"/>
      <c r="B374" s="89"/>
      <c r="C374" s="89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 ht="12" customHeight="1">
      <c r="A375" s="22"/>
      <c r="B375" s="89"/>
      <c r="C375" s="89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 ht="12" customHeight="1">
      <c r="A376" s="22"/>
      <c r="B376" s="89"/>
      <c r="C376" s="89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 ht="12" customHeight="1">
      <c r="A377" s="22"/>
      <c r="B377" s="89"/>
      <c r="C377" s="89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 ht="12" customHeight="1">
      <c r="A378" s="22"/>
      <c r="B378" s="89"/>
      <c r="C378" s="89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 ht="12" customHeight="1">
      <c r="A379" s="22"/>
      <c r="B379" s="89"/>
      <c r="C379" s="89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 ht="12" customHeight="1">
      <c r="A380" s="22"/>
      <c r="B380" s="89"/>
      <c r="C380" s="89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 ht="12" customHeight="1">
      <c r="A381" s="22"/>
      <c r="B381" s="89"/>
      <c r="C381" s="89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 ht="12" customHeight="1">
      <c r="A382" s="22"/>
      <c r="B382" s="89"/>
      <c r="C382" s="89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 ht="12" customHeight="1">
      <c r="A383" s="22"/>
      <c r="B383" s="89"/>
      <c r="C383" s="89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 ht="12" customHeight="1">
      <c r="A384" s="22"/>
      <c r="B384" s="89"/>
      <c r="C384" s="89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 ht="12" customHeight="1">
      <c r="A385" s="22"/>
      <c r="B385" s="89"/>
      <c r="C385" s="89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 ht="12" customHeight="1">
      <c r="A386" s="22"/>
      <c r="B386" s="89"/>
      <c r="C386" s="89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 ht="12" customHeight="1">
      <c r="A387" s="22"/>
      <c r="B387" s="89"/>
      <c r="C387" s="89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 ht="12" customHeight="1">
      <c r="A388" s="22"/>
      <c r="B388" s="89"/>
      <c r="C388" s="89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 ht="12" customHeight="1">
      <c r="A389" s="22"/>
      <c r="B389" s="89"/>
      <c r="C389" s="89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 ht="12" customHeight="1">
      <c r="A390" s="22"/>
      <c r="B390" s="89"/>
      <c r="C390" s="89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 ht="12" customHeight="1">
      <c r="A391" s="22"/>
      <c r="B391" s="89"/>
      <c r="C391" s="89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 ht="12" customHeight="1">
      <c r="A392" s="22"/>
      <c r="B392" s="89"/>
      <c r="C392" s="89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 ht="12" customHeight="1">
      <c r="A393" s="22"/>
      <c r="B393" s="89"/>
      <c r="C393" s="89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 ht="12" customHeight="1">
      <c r="A394" s="22"/>
      <c r="B394" s="89"/>
      <c r="C394" s="89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 ht="12" customHeight="1">
      <c r="A395" s="22"/>
      <c r="B395" s="89"/>
      <c r="C395" s="89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 ht="12" customHeight="1">
      <c r="A396" s="22"/>
      <c r="B396" s="89"/>
      <c r="C396" s="89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 ht="12" customHeight="1">
      <c r="A397" s="22"/>
      <c r="B397" s="89"/>
      <c r="C397" s="89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 ht="12" customHeight="1">
      <c r="A398" s="22"/>
      <c r="B398" s="89"/>
      <c r="C398" s="89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 ht="12" customHeight="1">
      <c r="A399" s="22"/>
      <c r="B399" s="89"/>
      <c r="C399" s="89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 ht="12" customHeight="1">
      <c r="A400" s="22"/>
      <c r="B400" s="89"/>
      <c r="C400" s="89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 ht="12" customHeight="1">
      <c r="A401" s="22"/>
      <c r="B401" s="89"/>
      <c r="C401" s="89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 ht="12" customHeight="1">
      <c r="A402" s="22"/>
      <c r="B402" s="89"/>
      <c r="C402" s="89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 ht="12" customHeight="1">
      <c r="A403" s="22"/>
      <c r="B403" s="89"/>
      <c r="C403" s="89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 ht="12" customHeight="1">
      <c r="A404" s="22"/>
      <c r="B404" s="89"/>
      <c r="C404" s="89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 ht="12" customHeight="1">
      <c r="A405" s="22"/>
      <c r="B405" s="89"/>
      <c r="C405" s="89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 ht="12" customHeight="1">
      <c r="A406" s="22"/>
      <c r="B406" s="89"/>
      <c r="C406" s="89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 ht="12" customHeight="1">
      <c r="A407" s="22"/>
      <c r="B407" s="89"/>
      <c r="C407" s="89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 ht="12" customHeight="1">
      <c r="A408" s="22"/>
      <c r="B408" s="89"/>
      <c r="C408" s="89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 ht="12" customHeight="1">
      <c r="A409" s="22"/>
      <c r="B409" s="89"/>
      <c r="C409" s="89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 ht="12" customHeight="1">
      <c r="A410" s="22"/>
      <c r="B410" s="89"/>
      <c r="C410" s="89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 ht="12" customHeight="1">
      <c r="A411" s="22"/>
      <c r="B411" s="89"/>
      <c r="C411" s="89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 ht="12" customHeight="1">
      <c r="A412" s="22"/>
      <c r="B412" s="89"/>
      <c r="C412" s="89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 ht="12" customHeight="1">
      <c r="A413" s="22"/>
      <c r="B413" s="89"/>
      <c r="C413" s="89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 ht="12" customHeight="1">
      <c r="A414" s="22"/>
      <c r="B414" s="89"/>
      <c r="C414" s="89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 ht="12" customHeight="1">
      <c r="A415" s="22"/>
      <c r="B415" s="89"/>
      <c r="C415" s="89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 ht="12" customHeight="1">
      <c r="A416" s="22"/>
      <c r="B416" s="89"/>
      <c r="C416" s="89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 ht="12" customHeight="1">
      <c r="A417" s="22"/>
      <c r="B417" s="89"/>
      <c r="C417" s="89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 ht="12" customHeight="1">
      <c r="A418" s="22"/>
      <c r="B418" s="89"/>
      <c r="C418" s="89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 ht="12" customHeight="1">
      <c r="A419" s="22"/>
      <c r="B419" s="89"/>
      <c r="C419" s="89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 ht="12" customHeight="1">
      <c r="A420" s="22"/>
      <c r="B420" s="89"/>
      <c r="C420" s="89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 ht="12" customHeight="1">
      <c r="A421" s="22"/>
      <c r="B421" s="89"/>
      <c r="C421" s="89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 ht="12" customHeight="1">
      <c r="A422" s="22"/>
      <c r="B422" s="89"/>
      <c r="C422" s="89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 ht="12" customHeight="1">
      <c r="A423" s="22"/>
      <c r="B423" s="89"/>
      <c r="C423" s="89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 ht="12" customHeight="1">
      <c r="A424" s="22"/>
      <c r="B424" s="89"/>
      <c r="C424" s="89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 ht="12" customHeight="1">
      <c r="A425" s="22"/>
      <c r="B425" s="89"/>
      <c r="C425" s="89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 ht="12" customHeight="1">
      <c r="A426" s="22"/>
      <c r="B426" s="89"/>
      <c r="C426" s="89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 ht="12" customHeight="1">
      <c r="A427" s="22"/>
      <c r="B427" s="89"/>
      <c r="C427" s="89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 ht="12" customHeight="1">
      <c r="A428" s="22"/>
      <c r="B428" s="89"/>
      <c r="C428" s="89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 ht="12" customHeight="1">
      <c r="A429" s="22"/>
      <c r="B429" s="89"/>
      <c r="C429" s="89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 ht="12" customHeight="1">
      <c r="A430" s="22"/>
      <c r="B430" s="89"/>
      <c r="C430" s="89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 ht="12" customHeight="1">
      <c r="A431" s="22"/>
      <c r="B431" s="89"/>
      <c r="C431" s="89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 ht="12" customHeight="1">
      <c r="A432" s="22"/>
      <c r="B432" s="89"/>
      <c r="C432" s="89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 ht="12" customHeight="1">
      <c r="A433" s="22"/>
      <c r="B433" s="89"/>
      <c r="C433" s="89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 ht="12" customHeight="1">
      <c r="A434" s="22"/>
      <c r="B434" s="89"/>
      <c r="C434" s="89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 ht="12" customHeight="1">
      <c r="A435" s="22"/>
      <c r="B435" s="89"/>
      <c r="C435" s="89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 ht="12" customHeight="1">
      <c r="A436" s="22"/>
      <c r="B436" s="89"/>
      <c r="C436" s="89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 ht="12" customHeight="1">
      <c r="A437" s="22"/>
      <c r="B437" s="89"/>
      <c r="C437" s="89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 ht="12" customHeight="1">
      <c r="A438" s="22"/>
      <c r="B438" s="89"/>
      <c r="C438" s="89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 ht="12" customHeight="1">
      <c r="A439" s="22"/>
      <c r="B439" s="89"/>
      <c r="C439" s="89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 ht="12" customHeight="1">
      <c r="A440" s="22"/>
      <c r="B440" s="89"/>
      <c r="C440" s="89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 ht="12" customHeight="1">
      <c r="A441" s="22"/>
      <c r="B441" s="89"/>
      <c r="C441" s="89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 ht="12" customHeight="1">
      <c r="A442" s="22"/>
      <c r="B442" s="89"/>
      <c r="C442" s="89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 ht="12" customHeight="1">
      <c r="A443" s="22"/>
      <c r="B443" s="89"/>
      <c r="C443" s="89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 ht="12" customHeight="1">
      <c r="A444" s="22"/>
      <c r="B444" s="89"/>
      <c r="C444" s="89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 ht="12" customHeight="1">
      <c r="A445" s="22"/>
      <c r="B445" s="89"/>
      <c r="C445" s="89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 ht="12" customHeight="1">
      <c r="A446" s="22"/>
      <c r="B446" s="89"/>
      <c r="C446" s="89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 ht="12" customHeight="1">
      <c r="A447" s="22"/>
      <c r="B447" s="89"/>
      <c r="C447" s="89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 ht="12" customHeight="1">
      <c r="A448" s="22"/>
      <c r="B448" s="89"/>
      <c r="C448" s="89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 ht="12" customHeight="1">
      <c r="A449" s="22"/>
      <c r="B449" s="89"/>
      <c r="C449" s="89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 ht="12" customHeight="1">
      <c r="A450" s="22"/>
      <c r="B450" s="89"/>
      <c r="C450" s="89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 ht="12" customHeight="1">
      <c r="A451" s="22"/>
      <c r="B451" s="89"/>
      <c r="C451" s="89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 ht="12" customHeight="1">
      <c r="A452" s="22"/>
      <c r="B452" s="89"/>
      <c r="C452" s="89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 ht="12" customHeight="1">
      <c r="A453" s="22"/>
      <c r="B453" s="89"/>
      <c r="C453" s="89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 ht="12" customHeight="1">
      <c r="A454" s="22"/>
      <c r="B454" s="89"/>
      <c r="C454" s="89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 ht="12" customHeight="1">
      <c r="A455" s="22"/>
      <c r="B455" s="89"/>
      <c r="C455" s="89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 ht="12" customHeight="1">
      <c r="A456" s="22"/>
      <c r="B456" s="89"/>
      <c r="C456" s="89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 ht="12" customHeight="1">
      <c r="A457" s="22"/>
      <c r="B457" s="89"/>
      <c r="C457" s="89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 ht="12" customHeight="1">
      <c r="A458" s="22"/>
      <c r="B458" s="89"/>
      <c r="C458" s="89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 ht="12" customHeight="1">
      <c r="A459" s="22"/>
      <c r="B459" s="89"/>
      <c r="C459" s="89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 ht="12" customHeight="1">
      <c r="A460" s="22"/>
      <c r="B460" s="89"/>
      <c r="C460" s="89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 ht="12" customHeight="1">
      <c r="A461" s="22"/>
      <c r="B461" s="89"/>
      <c r="C461" s="89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 ht="12" customHeight="1">
      <c r="A462" s="22"/>
      <c r="B462" s="89"/>
      <c r="C462" s="89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 ht="12" customHeight="1">
      <c r="A463" s="22"/>
      <c r="B463" s="89"/>
      <c r="C463" s="89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 ht="12" customHeight="1">
      <c r="A464" s="22"/>
      <c r="B464" s="89"/>
      <c r="C464" s="89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 ht="12" customHeight="1">
      <c r="A465" s="22"/>
      <c r="B465" s="89"/>
      <c r="C465" s="89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 ht="12" customHeight="1">
      <c r="A466" s="22"/>
      <c r="B466" s="89"/>
      <c r="C466" s="89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 ht="12" customHeight="1">
      <c r="A467" s="22"/>
      <c r="B467" s="89"/>
      <c r="C467" s="89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 ht="12" customHeight="1">
      <c r="A468" s="22"/>
      <c r="B468" s="89"/>
      <c r="C468" s="89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 ht="12" customHeight="1">
      <c r="A469" s="22"/>
      <c r="B469" s="89"/>
      <c r="C469" s="89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 ht="12" customHeight="1">
      <c r="A470" s="22"/>
      <c r="B470" s="89"/>
      <c r="C470" s="89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 ht="12" customHeight="1">
      <c r="A471" s="22"/>
      <c r="B471" s="89"/>
      <c r="C471" s="89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 ht="12" customHeight="1">
      <c r="A472" s="22"/>
      <c r="B472" s="89"/>
      <c r="C472" s="89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 ht="12" customHeight="1">
      <c r="A473" s="22"/>
      <c r="B473" s="89"/>
      <c r="C473" s="89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 ht="12" customHeight="1">
      <c r="A474" s="22"/>
      <c r="B474" s="89"/>
      <c r="C474" s="89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 ht="12" customHeight="1">
      <c r="A475" s="22"/>
      <c r="B475" s="89"/>
      <c r="C475" s="89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 ht="12" customHeight="1">
      <c r="A476" s="22"/>
      <c r="B476" s="89"/>
      <c r="C476" s="89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 ht="12" customHeight="1">
      <c r="A477" s="22"/>
      <c r="B477" s="89"/>
      <c r="C477" s="89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 ht="12" customHeight="1">
      <c r="A478" s="22"/>
      <c r="B478" s="89"/>
      <c r="C478" s="89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 ht="12" customHeight="1">
      <c r="A479" s="22"/>
      <c r="B479" s="89"/>
      <c r="C479" s="89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 ht="12" customHeight="1">
      <c r="A480" s="22"/>
      <c r="B480" s="89"/>
      <c r="C480" s="89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 ht="12" customHeight="1">
      <c r="A481" s="22"/>
      <c r="B481" s="89"/>
      <c r="C481" s="89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 ht="12" customHeight="1">
      <c r="A482" s="22"/>
      <c r="B482" s="89"/>
      <c r="C482" s="89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 ht="12" customHeight="1">
      <c r="A483" s="22"/>
      <c r="B483" s="89"/>
      <c r="C483" s="89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 ht="12" customHeight="1">
      <c r="A484" s="22"/>
      <c r="B484" s="89"/>
      <c r="C484" s="89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 ht="12" customHeight="1">
      <c r="A485" s="22"/>
      <c r="B485" s="89"/>
      <c r="C485" s="89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 ht="12" customHeight="1">
      <c r="A486" s="22"/>
      <c r="B486" s="89"/>
      <c r="C486" s="89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 ht="12" customHeight="1">
      <c r="A487" s="22"/>
      <c r="B487" s="89"/>
      <c r="C487" s="89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 ht="12" customHeight="1">
      <c r="A488" s="22"/>
      <c r="B488" s="89"/>
      <c r="C488" s="89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 ht="12" customHeight="1">
      <c r="A489" s="22"/>
      <c r="B489" s="89"/>
      <c r="C489" s="89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 ht="12" customHeight="1">
      <c r="A490" s="22"/>
      <c r="B490" s="89"/>
      <c r="C490" s="89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 ht="12" customHeight="1">
      <c r="A491" s="22"/>
      <c r="B491" s="89"/>
      <c r="C491" s="89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 ht="12" customHeight="1">
      <c r="A492" s="22"/>
      <c r="B492" s="89"/>
      <c r="C492" s="89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 ht="12" customHeight="1">
      <c r="A493" s="22"/>
      <c r="B493" s="89"/>
      <c r="C493" s="89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 ht="12" customHeight="1">
      <c r="A494" s="22"/>
      <c r="B494" s="89"/>
      <c r="C494" s="89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ht="12" customHeight="1">
      <c r="A495" s="22"/>
      <c r="B495" s="89"/>
      <c r="C495" s="89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 ht="12" customHeight="1">
      <c r="A496" s="22"/>
      <c r="B496" s="89"/>
      <c r="C496" s="89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 ht="12" customHeight="1">
      <c r="A497" s="22"/>
      <c r="B497" s="89"/>
      <c r="C497" s="89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 ht="12" customHeight="1">
      <c r="A498" s="22"/>
      <c r="B498" s="89"/>
      <c r="C498" s="89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 ht="12" customHeight="1">
      <c r="A499" s="22"/>
      <c r="B499" s="89"/>
      <c r="C499" s="89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 ht="12" customHeight="1">
      <c r="A500" s="22"/>
      <c r="B500" s="89"/>
      <c r="C500" s="89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 ht="12" customHeight="1">
      <c r="A501" s="22"/>
      <c r="B501" s="89"/>
      <c r="C501" s="89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 ht="12" customHeight="1">
      <c r="A502" s="22"/>
      <c r="B502" s="89"/>
      <c r="C502" s="89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 ht="12" customHeight="1">
      <c r="A503" s="22"/>
      <c r="B503" s="89"/>
      <c r="C503" s="89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 ht="12" customHeight="1">
      <c r="A504" s="22"/>
      <c r="B504" s="89"/>
      <c r="C504" s="89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 ht="12" customHeight="1">
      <c r="A505" s="22"/>
      <c r="B505" s="89"/>
      <c r="C505" s="89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 ht="12" customHeight="1">
      <c r="A506" s="22"/>
      <c r="B506" s="89"/>
      <c r="C506" s="89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 ht="12" customHeight="1">
      <c r="A507" s="22"/>
      <c r="B507" s="89"/>
      <c r="C507" s="89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 ht="12" customHeight="1">
      <c r="A508" s="22"/>
      <c r="B508" s="89"/>
      <c r="C508" s="89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ht="12" customHeight="1">
      <c r="A509" s="22"/>
      <c r="B509" s="89"/>
      <c r="C509" s="89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 ht="12" customHeight="1">
      <c r="A510" s="22"/>
      <c r="B510" s="89"/>
      <c r="C510" s="89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 ht="12" customHeight="1">
      <c r="A511" s="22"/>
      <c r="B511" s="89"/>
      <c r="C511" s="89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 ht="12" customHeight="1">
      <c r="A512" s="22"/>
      <c r="B512" s="89"/>
      <c r="C512" s="89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 ht="12" customHeight="1">
      <c r="A513" s="22"/>
      <c r="B513" s="89"/>
      <c r="C513" s="89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 ht="12" customHeight="1">
      <c r="A514" s="22"/>
      <c r="B514" s="89"/>
      <c r="C514" s="89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 ht="12" customHeight="1">
      <c r="A515" s="22"/>
      <c r="B515" s="89"/>
      <c r="C515" s="89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 ht="12" customHeight="1">
      <c r="A516" s="22"/>
      <c r="B516" s="89"/>
      <c r="C516" s="89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 ht="12" customHeight="1">
      <c r="A517" s="22"/>
      <c r="B517" s="89"/>
      <c r="C517" s="89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 ht="12" customHeight="1">
      <c r="A518" s="22"/>
      <c r="B518" s="89"/>
      <c r="C518" s="89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 ht="12" customHeight="1">
      <c r="A519" s="22"/>
      <c r="B519" s="89"/>
      <c r="C519" s="89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 ht="12" customHeight="1">
      <c r="A520" s="22"/>
      <c r="B520" s="89"/>
      <c r="C520" s="89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 ht="12" customHeight="1">
      <c r="A521" s="22"/>
      <c r="B521" s="89"/>
      <c r="C521" s="89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 ht="12" customHeight="1">
      <c r="A522" s="22"/>
      <c r="B522" s="89"/>
      <c r="C522" s="89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 ht="12" customHeight="1">
      <c r="A523" s="22"/>
      <c r="B523" s="89"/>
      <c r="C523" s="89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 ht="12" customHeight="1">
      <c r="A524" s="22"/>
      <c r="B524" s="89"/>
      <c r="C524" s="89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 ht="12" customHeight="1">
      <c r="A525" s="22"/>
      <c r="B525" s="89"/>
      <c r="C525" s="89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 ht="12" customHeight="1">
      <c r="A526" s="22"/>
      <c r="B526" s="89"/>
      <c r="C526" s="89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 ht="12" customHeight="1">
      <c r="A527" s="22"/>
      <c r="B527" s="89"/>
      <c r="C527" s="89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 ht="12" customHeight="1">
      <c r="A528" s="22"/>
      <c r="B528" s="89"/>
      <c r="C528" s="89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 ht="12" customHeight="1">
      <c r="A529" s="22"/>
      <c r="B529" s="89"/>
      <c r="C529" s="89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 ht="12" customHeight="1">
      <c r="A530" s="22"/>
      <c r="B530" s="89"/>
      <c r="C530" s="89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 ht="12" customHeight="1">
      <c r="A531" s="22"/>
      <c r="B531" s="89"/>
      <c r="C531" s="89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 ht="12" customHeight="1">
      <c r="A532" s="22"/>
      <c r="B532" s="89"/>
      <c r="C532" s="89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 ht="12" customHeight="1">
      <c r="A533" s="22"/>
      <c r="B533" s="89"/>
      <c r="C533" s="89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 ht="12" customHeight="1">
      <c r="A534" s="22"/>
      <c r="B534" s="89"/>
      <c r="C534" s="89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 ht="12" customHeight="1">
      <c r="A535" s="22"/>
      <c r="B535" s="89"/>
      <c r="C535" s="89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ht="12" customHeight="1">
      <c r="A536" s="22"/>
      <c r="B536" s="89"/>
      <c r="C536" s="89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 ht="12" customHeight="1">
      <c r="A537" s="22"/>
      <c r="B537" s="89"/>
      <c r="C537" s="89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 ht="12" customHeight="1">
      <c r="A538" s="22"/>
      <c r="B538" s="89"/>
      <c r="C538" s="89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 ht="12" customHeight="1">
      <c r="A539" s="22"/>
      <c r="B539" s="89"/>
      <c r="C539" s="89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 ht="12" customHeight="1">
      <c r="A540" s="22"/>
      <c r="B540" s="89"/>
      <c r="C540" s="89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 ht="12" customHeight="1">
      <c r="A541" s="22"/>
      <c r="B541" s="89"/>
      <c r="C541" s="89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 ht="12" customHeight="1">
      <c r="A542" s="22"/>
      <c r="B542" s="89"/>
      <c r="C542" s="89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 ht="12" customHeight="1">
      <c r="A543" s="22"/>
      <c r="B543" s="89"/>
      <c r="C543" s="89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 ht="12" customHeight="1">
      <c r="A544" s="22"/>
      <c r="B544" s="89"/>
      <c r="C544" s="89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 ht="12" customHeight="1">
      <c r="A545" s="22"/>
      <c r="B545" s="89"/>
      <c r="C545" s="89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 ht="12" customHeight="1">
      <c r="A546" s="22"/>
      <c r="B546" s="89"/>
      <c r="C546" s="89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 ht="12" customHeight="1">
      <c r="A547" s="22"/>
      <c r="B547" s="89"/>
      <c r="C547" s="89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 ht="12" customHeight="1">
      <c r="A548" s="22"/>
      <c r="B548" s="89"/>
      <c r="C548" s="89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 ht="12" customHeight="1">
      <c r="A549" s="22"/>
      <c r="B549" s="89"/>
      <c r="C549" s="89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 ht="12" customHeight="1">
      <c r="A550" s="22"/>
      <c r="B550" s="89"/>
      <c r="C550" s="89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 ht="12" customHeight="1">
      <c r="A551" s="22"/>
      <c r="B551" s="89"/>
      <c r="C551" s="89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 ht="12" customHeight="1">
      <c r="A552" s="22"/>
      <c r="B552" s="89"/>
      <c r="C552" s="89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 ht="12" customHeight="1">
      <c r="A553" s="22"/>
      <c r="B553" s="89"/>
      <c r="C553" s="89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 ht="12" customHeight="1">
      <c r="A554" s="22"/>
      <c r="B554" s="89"/>
      <c r="C554" s="89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 ht="12" customHeight="1">
      <c r="A555" s="22"/>
      <c r="B555" s="89"/>
      <c r="C555" s="89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 ht="12" customHeight="1">
      <c r="A556" s="22"/>
      <c r="B556" s="89"/>
      <c r="C556" s="89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 ht="12" customHeight="1">
      <c r="A557" s="22"/>
      <c r="B557" s="89"/>
      <c r="C557" s="89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 ht="12" customHeight="1">
      <c r="A558" s="22"/>
      <c r="B558" s="89"/>
      <c r="C558" s="89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 ht="12" customHeight="1">
      <c r="A559" s="22"/>
      <c r="B559" s="89"/>
      <c r="C559" s="89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 ht="12" customHeight="1">
      <c r="A560" s="22"/>
      <c r="B560" s="89"/>
      <c r="C560" s="89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 ht="12" customHeight="1">
      <c r="A561" s="22"/>
      <c r="B561" s="89"/>
      <c r="C561" s="89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 ht="12" customHeight="1">
      <c r="A562" s="22"/>
      <c r="B562" s="89"/>
      <c r="C562" s="89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 ht="12" customHeight="1">
      <c r="A563" s="22"/>
      <c r="B563" s="89"/>
      <c r="C563" s="89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 ht="12" customHeight="1">
      <c r="A564" s="22"/>
      <c r="B564" s="89"/>
      <c r="C564" s="89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 ht="12" customHeight="1">
      <c r="A565" s="22"/>
      <c r="B565" s="89"/>
      <c r="C565" s="89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 ht="12" customHeight="1">
      <c r="A566" s="22"/>
      <c r="B566" s="89"/>
      <c r="C566" s="89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 ht="12" customHeight="1">
      <c r="A567" s="22"/>
      <c r="B567" s="89"/>
      <c r="C567" s="89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 ht="12" customHeight="1">
      <c r="A568" s="22"/>
      <c r="B568" s="89"/>
      <c r="C568" s="89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 ht="12" customHeight="1">
      <c r="A569" s="22"/>
      <c r="B569" s="89"/>
      <c r="C569" s="89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 ht="12" customHeight="1">
      <c r="A570" s="22"/>
      <c r="B570" s="89"/>
      <c r="C570" s="89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 ht="12" customHeight="1">
      <c r="A571" s="22"/>
      <c r="B571" s="89"/>
      <c r="C571" s="89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 ht="12" customHeight="1">
      <c r="A572" s="22"/>
      <c r="B572" s="89"/>
      <c r="C572" s="89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 ht="12" customHeight="1">
      <c r="A573" s="22"/>
      <c r="B573" s="89"/>
      <c r="C573" s="89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 ht="12" customHeight="1">
      <c r="A574" s="22"/>
      <c r="B574" s="89"/>
      <c r="C574" s="89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 ht="12" customHeight="1">
      <c r="A575" s="22"/>
      <c r="B575" s="89"/>
      <c r="C575" s="89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 ht="12" customHeight="1">
      <c r="A576" s="22"/>
      <c r="B576" s="89"/>
      <c r="C576" s="89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ht="12" customHeight="1">
      <c r="A577" s="22"/>
      <c r="B577" s="89"/>
      <c r="C577" s="89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 ht="12" customHeight="1">
      <c r="A578" s="22"/>
      <c r="B578" s="89"/>
      <c r="C578" s="89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 ht="12" customHeight="1">
      <c r="A579" s="22"/>
      <c r="B579" s="89"/>
      <c r="C579" s="89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 ht="12" customHeight="1">
      <c r="A580" s="22"/>
      <c r="B580" s="89"/>
      <c r="C580" s="89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 ht="12" customHeight="1">
      <c r="A581" s="22"/>
      <c r="B581" s="89"/>
      <c r="C581" s="89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 ht="12" customHeight="1">
      <c r="A582" s="22"/>
      <c r="B582" s="89"/>
      <c r="C582" s="89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 ht="12" customHeight="1">
      <c r="A583" s="22"/>
      <c r="B583" s="89"/>
      <c r="C583" s="89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 ht="12" customHeight="1">
      <c r="A584" s="22"/>
      <c r="B584" s="89"/>
      <c r="C584" s="89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 ht="12" customHeight="1">
      <c r="A585" s="22"/>
      <c r="B585" s="89"/>
      <c r="C585" s="89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 ht="12" customHeight="1">
      <c r="A586" s="22"/>
      <c r="B586" s="89"/>
      <c r="C586" s="89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 ht="12" customHeight="1">
      <c r="A587" s="22"/>
      <c r="B587" s="89"/>
      <c r="C587" s="89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 ht="12" customHeight="1">
      <c r="A588" s="22"/>
      <c r="B588" s="89"/>
      <c r="C588" s="89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 ht="12" customHeight="1">
      <c r="A589" s="22"/>
      <c r="B589" s="89"/>
      <c r="C589" s="89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 ht="12" customHeight="1">
      <c r="A590" s="22"/>
      <c r="B590" s="89"/>
      <c r="C590" s="89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 ht="12" customHeight="1">
      <c r="A591" s="22"/>
      <c r="B591" s="89"/>
      <c r="C591" s="89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 ht="12" customHeight="1">
      <c r="A592" s="22"/>
      <c r="B592" s="89"/>
      <c r="C592" s="89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 ht="12" customHeight="1">
      <c r="A593" s="22"/>
      <c r="B593" s="89"/>
      <c r="C593" s="89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 ht="12" customHeight="1">
      <c r="A594" s="22"/>
      <c r="B594" s="89"/>
      <c r="C594" s="89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 ht="12" customHeight="1">
      <c r="A595" s="22"/>
      <c r="B595" s="89"/>
      <c r="C595" s="89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 ht="12" customHeight="1">
      <c r="A596" s="22"/>
      <c r="B596" s="89"/>
      <c r="C596" s="89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 ht="12" customHeight="1">
      <c r="A597" s="22"/>
      <c r="B597" s="89"/>
      <c r="C597" s="89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 ht="12" customHeight="1">
      <c r="A598" s="22"/>
      <c r="B598" s="89"/>
      <c r="C598" s="89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 ht="12" customHeight="1">
      <c r="A599" s="22"/>
      <c r="B599" s="89"/>
      <c r="C599" s="89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 ht="12" customHeight="1">
      <c r="A600" s="22"/>
      <c r="B600" s="89"/>
      <c r="C600" s="89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 ht="12" customHeight="1">
      <c r="A601" s="22"/>
      <c r="B601" s="89"/>
      <c r="C601" s="89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 ht="12" customHeight="1">
      <c r="A602" s="22"/>
      <c r="B602" s="89"/>
      <c r="C602" s="89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 ht="12" customHeight="1">
      <c r="A603" s="22"/>
      <c r="B603" s="89"/>
      <c r="C603" s="89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 ht="12" customHeight="1">
      <c r="A604" s="22"/>
      <c r="B604" s="89"/>
      <c r="C604" s="89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 ht="12" customHeight="1">
      <c r="A605" s="22"/>
      <c r="B605" s="89"/>
      <c r="C605" s="89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 ht="12" customHeight="1">
      <c r="A606" s="22"/>
      <c r="B606" s="89"/>
      <c r="C606" s="89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 ht="12" customHeight="1">
      <c r="A607" s="22"/>
      <c r="B607" s="89"/>
      <c r="C607" s="89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 ht="12" customHeight="1">
      <c r="A608" s="22"/>
      <c r="B608" s="89"/>
      <c r="C608" s="89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 ht="12" customHeight="1">
      <c r="A609" s="22"/>
      <c r="B609" s="89"/>
      <c r="C609" s="89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 ht="12" customHeight="1">
      <c r="A610" s="22"/>
      <c r="B610" s="89"/>
      <c r="C610" s="89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 ht="12" customHeight="1">
      <c r="A611" s="22"/>
      <c r="B611" s="89"/>
      <c r="C611" s="89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 ht="12" customHeight="1">
      <c r="A612" s="22"/>
      <c r="B612" s="89"/>
      <c r="C612" s="89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 ht="12" customHeight="1">
      <c r="A613" s="22"/>
      <c r="B613" s="89"/>
      <c r="C613" s="89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 ht="12" customHeight="1">
      <c r="A614" s="22"/>
      <c r="B614" s="89"/>
      <c r="C614" s="89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 ht="12" customHeight="1">
      <c r="A615" s="22"/>
      <c r="B615" s="89"/>
      <c r="C615" s="89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 ht="12" customHeight="1">
      <c r="A616" s="22"/>
      <c r="B616" s="89"/>
      <c r="C616" s="89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 ht="12" customHeight="1">
      <c r="A617" s="22"/>
      <c r="B617" s="89"/>
      <c r="C617" s="89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 ht="12" customHeight="1">
      <c r="A618" s="22"/>
      <c r="B618" s="89"/>
      <c r="C618" s="89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 ht="12" customHeight="1">
      <c r="A619" s="22"/>
      <c r="B619" s="89"/>
      <c r="C619" s="89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 ht="12" customHeight="1">
      <c r="A620" s="22"/>
      <c r="B620" s="89"/>
      <c r="C620" s="89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 ht="12" customHeight="1">
      <c r="A621" s="22"/>
      <c r="B621" s="89"/>
      <c r="C621" s="89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 ht="12" customHeight="1">
      <c r="A622" s="22"/>
      <c r="B622" s="89"/>
      <c r="C622" s="89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 ht="12" customHeight="1">
      <c r="A623" s="22"/>
      <c r="B623" s="89"/>
      <c r="C623" s="89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 ht="12" customHeight="1">
      <c r="A624" s="22"/>
      <c r="B624" s="89"/>
      <c r="C624" s="89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 ht="12" customHeight="1">
      <c r="A625" s="22"/>
      <c r="B625" s="89"/>
      <c r="C625" s="89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 ht="12" customHeight="1">
      <c r="A626" s="22"/>
      <c r="B626" s="89"/>
      <c r="C626" s="89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 ht="12" customHeight="1">
      <c r="A627" s="22"/>
      <c r="B627" s="89"/>
      <c r="C627" s="89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 ht="12" customHeight="1">
      <c r="A628" s="22"/>
      <c r="B628" s="89"/>
      <c r="C628" s="89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 ht="12" customHeight="1">
      <c r="A629" s="22"/>
      <c r="B629" s="89"/>
      <c r="C629" s="89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 ht="12" customHeight="1">
      <c r="A630" s="22"/>
      <c r="B630" s="89"/>
      <c r="C630" s="89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 ht="12" customHeight="1">
      <c r="A631" s="22"/>
      <c r="B631" s="89"/>
      <c r="C631" s="89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 ht="12" customHeight="1">
      <c r="A632" s="22"/>
      <c r="B632" s="89"/>
      <c r="C632" s="89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 ht="12" customHeight="1">
      <c r="A633" s="22"/>
      <c r="B633" s="89"/>
      <c r="C633" s="89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 ht="12" customHeight="1">
      <c r="A634" s="22"/>
      <c r="B634" s="89"/>
      <c r="C634" s="89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 ht="12" customHeight="1">
      <c r="A635" s="22"/>
      <c r="B635" s="89"/>
      <c r="C635" s="89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 ht="12" customHeight="1">
      <c r="A636" s="22"/>
      <c r="B636" s="89"/>
      <c r="C636" s="89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 ht="12" customHeight="1">
      <c r="A637" s="22"/>
      <c r="B637" s="89"/>
      <c r="C637" s="89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 ht="12" customHeight="1">
      <c r="A638" s="22"/>
      <c r="B638" s="89"/>
      <c r="C638" s="89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 ht="12" customHeight="1">
      <c r="A639" s="22"/>
      <c r="B639" s="89"/>
      <c r="C639" s="89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 ht="12" customHeight="1">
      <c r="A640" s="22"/>
      <c r="B640" s="89"/>
      <c r="C640" s="89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 ht="12" customHeight="1">
      <c r="A641" s="22"/>
      <c r="B641" s="89"/>
      <c r="C641" s="89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 ht="12" customHeight="1">
      <c r="A642" s="22"/>
      <c r="B642" s="89"/>
      <c r="C642" s="89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 ht="12" customHeight="1">
      <c r="A643" s="22"/>
      <c r="B643" s="89"/>
      <c r="C643" s="89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 ht="12" customHeight="1">
      <c r="A644" s="22"/>
      <c r="B644" s="89"/>
      <c r="C644" s="89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 ht="12" customHeight="1">
      <c r="A645" s="22"/>
      <c r="B645" s="89"/>
      <c r="C645" s="89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 ht="12" customHeight="1">
      <c r="A646" s="22"/>
      <c r="B646" s="89"/>
      <c r="C646" s="89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 ht="12" customHeight="1">
      <c r="A647" s="22"/>
      <c r="B647" s="89"/>
      <c r="C647" s="89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 ht="12" customHeight="1">
      <c r="A648" s="22"/>
      <c r="B648" s="89"/>
      <c r="C648" s="89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 ht="12" customHeight="1">
      <c r="A649" s="22"/>
      <c r="B649" s="89"/>
      <c r="C649" s="89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 ht="12" customHeight="1">
      <c r="A650" s="22"/>
      <c r="B650" s="89"/>
      <c r="C650" s="89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 ht="12" customHeight="1">
      <c r="A651" s="22"/>
      <c r="B651" s="89"/>
      <c r="C651" s="89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 ht="12" customHeight="1">
      <c r="A652" s="22"/>
      <c r="B652" s="89"/>
      <c r="C652" s="89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 ht="12" customHeight="1">
      <c r="A653" s="22"/>
      <c r="B653" s="89"/>
      <c r="C653" s="89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 ht="12" customHeight="1">
      <c r="A654" s="22"/>
      <c r="B654" s="89"/>
      <c r="C654" s="89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 ht="12" customHeight="1">
      <c r="A655" s="22"/>
      <c r="B655" s="89"/>
      <c r="C655" s="89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 ht="12" customHeight="1">
      <c r="A656" s="22"/>
      <c r="B656" s="89"/>
      <c r="C656" s="89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 ht="12" customHeight="1">
      <c r="A657" s="22"/>
      <c r="B657" s="89"/>
      <c r="C657" s="89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 ht="12" customHeight="1">
      <c r="A658" s="22"/>
      <c r="B658" s="89"/>
      <c r="C658" s="89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 ht="12" customHeight="1">
      <c r="A659" s="22"/>
      <c r="B659" s="89"/>
      <c r="C659" s="89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 ht="12" customHeight="1">
      <c r="A660" s="22"/>
      <c r="B660" s="89"/>
      <c r="C660" s="89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 ht="12" customHeight="1">
      <c r="A661" s="22"/>
      <c r="B661" s="89"/>
      <c r="C661" s="89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 ht="12" customHeight="1">
      <c r="A662" s="22"/>
      <c r="B662" s="89"/>
      <c r="C662" s="89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 ht="12" customHeight="1">
      <c r="A663" s="22"/>
      <c r="B663" s="89"/>
      <c r="C663" s="89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 ht="12" customHeight="1">
      <c r="A664" s="22"/>
      <c r="B664" s="89"/>
      <c r="C664" s="89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 ht="12" customHeight="1">
      <c r="A665" s="22"/>
      <c r="B665" s="89"/>
      <c r="C665" s="89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 ht="12" customHeight="1">
      <c r="A666" s="22"/>
      <c r="B666" s="89"/>
      <c r="C666" s="89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 ht="12" customHeight="1">
      <c r="A667" s="22"/>
      <c r="B667" s="89"/>
      <c r="C667" s="89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 ht="12" customHeight="1">
      <c r="A668" s="22"/>
      <c r="B668" s="89"/>
      <c r="C668" s="89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 ht="12" customHeight="1">
      <c r="A669" s="22"/>
      <c r="B669" s="89"/>
      <c r="C669" s="89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 ht="12" customHeight="1">
      <c r="A670" s="22"/>
      <c r="B670" s="89"/>
      <c r="C670" s="89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 ht="12" customHeight="1">
      <c r="A671" s="22"/>
      <c r="B671" s="89"/>
      <c r="C671" s="89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 ht="12" customHeight="1">
      <c r="A672" s="22"/>
      <c r="B672" s="89"/>
      <c r="C672" s="89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 ht="12" customHeight="1">
      <c r="A673" s="22"/>
      <c r="B673" s="89"/>
      <c r="C673" s="89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 ht="12" customHeight="1">
      <c r="A674" s="22"/>
      <c r="B674" s="89"/>
      <c r="C674" s="89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 ht="12" customHeight="1">
      <c r="A675" s="22"/>
      <c r="B675" s="89"/>
      <c r="C675" s="89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 ht="12" customHeight="1">
      <c r="A676" s="22"/>
      <c r="B676" s="89"/>
      <c r="C676" s="89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 ht="12" customHeight="1">
      <c r="A677" s="22"/>
      <c r="B677" s="89"/>
      <c r="C677" s="89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 ht="12" customHeight="1">
      <c r="A678" s="22"/>
      <c r="B678" s="89"/>
      <c r="C678" s="89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 ht="12" customHeight="1">
      <c r="A679" s="22"/>
      <c r="B679" s="89"/>
      <c r="C679" s="89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 ht="12" customHeight="1">
      <c r="A680" s="22"/>
      <c r="B680" s="89"/>
      <c r="C680" s="89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 ht="12" customHeight="1">
      <c r="A681" s="22"/>
      <c r="B681" s="89"/>
      <c r="C681" s="89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 ht="12" customHeight="1">
      <c r="A682" s="22"/>
      <c r="B682" s="89"/>
      <c r="C682" s="89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 ht="12" customHeight="1">
      <c r="A683" s="22"/>
      <c r="B683" s="89"/>
      <c r="C683" s="89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 ht="12" customHeight="1">
      <c r="A684" s="22"/>
      <c r="B684" s="89"/>
      <c r="C684" s="89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 ht="12" customHeight="1">
      <c r="A685" s="22"/>
      <c r="B685" s="89"/>
      <c r="C685" s="89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 ht="12" customHeight="1">
      <c r="A686" s="22"/>
      <c r="B686" s="89"/>
      <c r="C686" s="89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 ht="12" customHeight="1">
      <c r="A687" s="22"/>
      <c r="B687" s="89"/>
      <c r="C687" s="89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 ht="12" customHeight="1">
      <c r="A688" s="22"/>
      <c r="B688" s="89"/>
      <c r="C688" s="89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 ht="12" customHeight="1">
      <c r="A689" s="22"/>
      <c r="B689" s="89"/>
      <c r="C689" s="89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 ht="12" customHeight="1">
      <c r="A690" s="22"/>
      <c r="B690" s="89"/>
      <c r="C690" s="89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 ht="12" customHeight="1">
      <c r="A691" s="22"/>
      <c r="B691" s="89"/>
      <c r="C691" s="89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 ht="12" customHeight="1">
      <c r="A692" s="22"/>
      <c r="B692" s="89"/>
      <c r="C692" s="89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 ht="12" customHeight="1">
      <c r="A693" s="22"/>
      <c r="B693" s="89"/>
      <c r="C693" s="89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 ht="12" customHeight="1">
      <c r="A694" s="22"/>
      <c r="B694" s="89"/>
      <c r="C694" s="89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 ht="12" customHeight="1">
      <c r="A695" s="22"/>
      <c r="B695" s="89"/>
      <c r="C695" s="89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 ht="12" customHeight="1">
      <c r="A696" s="22"/>
      <c r="B696" s="89"/>
      <c r="C696" s="89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 ht="12" customHeight="1">
      <c r="A697" s="22"/>
      <c r="B697" s="89"/>
      <c r="C697" s="89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 ht="12" customHeight="1">
      <c r="A698" s="22"/>
      <c r="B698" s="89"/>
      <c r="C698" s="89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 ht="12" customHeight="1">
      <c r="A699" s="22"/>
      <c r="B699" s="89"/>
      <c r="C699" s="89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 ht="12" customHeight="1">
      <c r="A700" s="22"/>
      <c r="B700" s="89"/>
      <c r="C700" s="89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 ht="12" customHeight="1">
      <c r="A701" s="22"/>
      <c r="B701" s="89"/>
      <c r="C701" s="89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 ht="12" customHeight="1">
      <c r="A702" s="22"/>
      <c r="B702" s="89"/>
      <c r="C702" s="89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 ht="12" customHeight="1">
      <c r="A703" s="22"/>
      <c r="B703" s="89"/>
      <c r="C703" s="89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 ht="12" customHeight="1">
      <c r="A704" s="22"/>
      <c r="B704" s="89"/>
      <c r="C704" s="89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 ht="12" customHeight="1">
      <c r="A705" s="22"/>
      <c r="B705" s="89"/>
      <c r="C705" s="89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 ht="12" customHeight="1">
      <c r="A706" s="22"/>
      <c r="B706" s="89"/>
      <c r="C706" s="89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 ht="12" customHeight="1">
      <c r="A707" s="22"/>
      <c r="B707" s="89"/>
      <c r="C707" s="89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 ht="12" customHeight="1">
      <c r="A708" s="22"/>
      <c r="B708" s="89"/>
      <c r="C708" s="89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 ht="12" customHeight="1">
      <c r="A709" s="22"/>
      <c r="B709" s="89"/>
      <c r="C709" s="89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 ht="12" customHeight="1">
      <c r="A710" s="22"/>
      <c r="B710" s="89"/>
      <c r="C710" s="89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 ht="12" customHeight="1">
      <c r="A711" s="22"/>
      <c r="B711" s="89"/>
      <c r="C711" s="89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 ht="12" customHeight="1">
      <c r="A712" s="22"/>
      <c r="B712" s="89"/>
      <c r="C712" s="89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 ht="12" customHeight="1">
      <c r="A713" s="22"/>
      <c r="B713" s="89"/>
      <c r="C713" s="89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 ht="12" customHeight="1">
      <c r="A714" s="22"/>
      <c r="B714" s="89"/>
      <c r="C714" s="89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 ht="12" customHeight="1">
      <c r="A715" s="22"/>
      <c r="B715" s="89"/>
      <c r="C715" s="89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 ht="12" customHeight="1">
      <c r="A716" s="22"/>
      <c r="B716" s="89"/>
      <c r="C716" s="89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 ht="12" customHeight="1">
      <c r="A717" s="22"/>
      <c r="B717" s="89"/>
      <c r="C717" s="89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 ht="12" customHeight="1">
      <c r="A718" s="22"/>
      <c r="B718" s="89"/>
      <c r="C718" s="89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 ht="12" customHeight="1">
      <c r="A719" s="22"/>
      <c r="B719" s="89"/>
      <c r="C719" s="89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 ht="12" customHeight="1">
      <c r="A720" s="22"/>
      <c r="B720" s="89"/>
      <c r="C720" s="89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 ht="12" customHeight="1">
      <c r="A721" s="22"/>
      <c r="B721" s="89"/>
      <c r="C721" s="89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 ht="12" customHeight="1">
      <c r="A722" s="22"/>
      <c r="B722" s="89"/>
      <c r="C722" s="89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 ht="12" customHeight="1">
      <c r="A723" s="22"/>
      <c r="B723" s="89"/>
      <c r="C723" s="89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 ht="12" customHeight="1">
      <c r="A724" s="22"/>
      <c r="B724" s="89"/>
      <c r="C724" s="89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 ht="12" customHeight="1">
      <c r="A725" s="22"/>
      <c r="B725" s="89"/>
      <c r="C725" s="89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 ht="12" customHeight="1">
      <c r="A726" s="22"/>
      <c r="B726" s="89"/>
      <c r="C726" s="89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 ht="12" customHeight="1">
      <c r="A727" s="22"/>
      <c r="B727" s="89"/>
      <c r="C727" s="89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 ht="12" customHeight="1">
      <c r="A728" s="22"/>
      <c r="B728" s="89"/>
      <c r="C728" s="89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 ht="12" customHeight="1">
      <c r="A729" s="22"/>
      <c r="B729" s="89"/>
      <c r="C729" s="89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 ht="12" customHeight="1">
      <c r="A730" s="22"/>
      <c r="B730" s="89"/>
      <c r="C730" s="89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 ht="12" customHeight="1">
      <c r="A731" s="22"/>
      <c r="B731" s="89"/>
      <c r="C731" s="89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 ht="12" customHeight="1">
      <c r="A732" s="22"/>
      <c r="B732" s="89"/>
      <c r="C732" s="89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 ht="12" customHeight="1">
      <c r="A733" s="22"/>
      <c r="B733" s="89"/>
      <c r="C733" s="89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 ht="12" customHeight="1">
      <c r="A734" s="22"/>
      <c r="B734" s="89"/>
      <c r="C734" s="89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 ht="12" customHeight="1">
      <c r="A735" s="22"/>
      <c r="B735" s="89"/>
      <c r="C735" s="89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 ht="12" customHeight="1">
      <c r="A736" s="22"/>
      <c r="B736" s="89"/>
      <c r="C736" s="89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 ht="12" customHeight="1">
      <c r="A737" s="22"/>
      <c r="B737" s="89"/>
      <c r="C737" s="89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 ht="12" customHeight="1">
      <c r="A738" s="22"/>
      <c r="B738" s="89"/>
      <c r="C738" s="89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 ht="12" customHeight="1">
      <c r="A739" s="22"/>
      <c r="B739" s="89"/>
      <c r="C739" s="89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 ht="12" customHeight="1">
      <c r="A740" s="22"/>
      <c r="B740" s="89"/>
      <c r="C740" s="89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 ht="12" customHeight="1">
      <c r="A741" s="22"/>
      <c r="B741" s="89"/>
      <c r="C741" s="89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 ht="12" customHeight="1">
      <c r="A742" s="22"/>
      <c r="B742" s="89"/>
      <c r="C742" s="89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 ht="12" customHeight="1">
      <c r="A743" s="22"/>
      <c r="B743" s="89"/>
      <c r="C743" s="89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ht="12" customHeight="1">
      <c r="A744" s="22"/>
      <c r="B744" s="89"/>
      <c r="C744" s="89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16"/>
      <c r="R744" s="16"/>
      <c r="S744" s="16"/>
      <c r="T744" s="16"/>
      <c r="U744" s="16"/>
      <c r="V744" s="16"/>
      <c r="W744" s="16"/>
      <c r="X744" s="16"/>
      <c r="Y744" s="16"/>
    </row>
    <row r="745" spans="1:25" ht="12" customHeight="1">
      <c r="A745" s="22"/>
      <c r="B745" s="89"/>
      <c r="C745" s="89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16"/>
      <c r="R745" s="16"/>
      <c r="S745" s="16"/>
      <c r="T745" s="16"/>
      <c r="U745" s="16"/>
      <c r="V745" s="16"/>
      <c r="W745" s="16"/>
      <c r="X745" s="16"/>
      <c r="Y745" s="16"/>
    </row>
    <row r="746" spans="1:25" ht="12" customHeight="1">
      <c r="A746" s="22"/>
      <c r="B746" s="89"/>
      <c r="C746" s="89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16"/>
      <c r="R746" s="16"/>
      <c r="S746" s="16"/>
      <c r="T746" s="16"/>
      <c r="U746" s="16"/>
      <c r="V746" s="16"/>
      <c r="W746" s="16"/>
      <c r="X746" s="16"/>
      <c r="Y746" s="16"/>
    </row>
    <row r="747" spans="1:25" ht="12" customHeight="1">
      <c r="A747" s="22"/>
      <c r="B747" s="89"/>
      <c r="C747" s="89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16"/>
      <c r="R747" s="16"/>
      <c r="S747" s="16"/>
      <c r="T747" s="16"/>
      <c r="U747" s="16"/>
      <c r="V747" s="16"/>
      <c r="W747" s="16"/>
      <c r="X747" s="16"/>
      <c r="Y747" s="16"/>
    </row>
    <row r="748" spans="1:25" ht="12" customHeight="1">
      <c r="A748" s="22"/>
      <c r="B748" s="89"/>
      <c r="C748" s="89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16"/>
      <c r="R748" s="16"/>
      <c r="S748" s="16"/>
      <c r="T748" s="16"/>
      <c r="U748" s="16"/>
      <c r="V748" s="16"/>
      <c r="W748" s="16"/>
      <c r="X748" s="16"/>
      <c r="Y748" s="16"/>
    </row>
    <row r="749" spans="1:25" ht="12" customHeight="1">
      <c r="A749" s="22"/>
      <c r="B749" s="89"/>
      <c r="C749" s="89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16"/>
      <c r="R749" s="16"/>
      <c r="S749" s="16"/>
      <c r="T749" s="16"/>
      <c r="U749" s="16"/>
      <c r="V749" s="16"/>
      <c r="W749" s="16"/>
      <c r="X749" s="16"/>
      <c r="Y749" s="16"/>
    </row>
    <row r="750" spans="1:25" ht="12" customHeight="1">
      <c r="A750" s="22"/>
      <c r="B750" s="89"/>
      <c r="C750" s="89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16"/>
      <c r="R750" s="16"/>
      <c r="S750" s="16"/>
      <c r="T750" s="16"/>
      <c r="U750" s="16"/>
      <c r="V750" s="16"/>
      <c r="W750" s="16"/>
      <c r="X750" s="16"/>
      <c r="Y750" s="16"/>
    </row>
    <row r="751" spans="1:25" ht="12" customHeight="1">
      <c r="A751" s="22"/>
      <c r="B751" s="89"/>
      <c r="C751" s="89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16"/>
      <c r="R751" s="16"/>
      <c r="S751" s="16"/>
      <c r="T751" s="16"/>
      <c r="U751" s="16"/>
      <c r="V751" s="16"/>
      <c r="W751" s="16"/>
      <c r="X751" s="16"/>
      <c r="Y751" s="16"/>
    </row>
    <row r="752" spans="1:25" ht="12" customHeight="1">
      <c r="A752" s="22"/>
      <c r="B752" s="89"/>
      <c r="C752" s="89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16"/>
      <c r="R752" s="16"/>
      <c r="S752" s="16"/>
      <c r="T752" s="16"/>
      <c r="U752" s="16"/>
      <c r="V752" s="16"/>
      <c r="W752" s="16"/>
      <c r="X752" s="16"/>
      <c r="Y752" s="16"/>
    </row>
    <row r="753" spans="1:25" ht="12" customHeight="1">
      <c r="A753" s="22"/>
      <c r="B753" s="89"/>
      <c r="C753" s="89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16"/>
      <c r="R753" s="16"/>
      <c r="S753" s="16"/>
      <c r="T753" s="16"/>
      <c r="U753" s="16"/>
      <c r="V753" s="16"/>
      <c r="W753" s="16"/>
      <c r="X753" s="16"/>
      <c r="Y753" s="16"/>
    </row>
    <row r="754" spans="1:25" ht="12" customHeight="1">
      <c r="A754" s="22"/>
      <c r="B754" s="89"/>
      <c r="C754" s="89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16"/>
      <c r="R754" s="16"/>
      <c r="S754" s="16"/>
      <c r="T754" s="16"/>
      <c r="U754" s="16"/>
      <c r="V754" s="16"/>
      <c r="W754" s="16"/>
      <c r="X754" s="16"/>
      <c r="Y754" s="16"/>
    </row>
    <row r="755" spans="1:25" ht="12" customHeight="1">
      <c r="A755" s="22"/>
      <c r="B755" s="89"/>
      <c r="C755" s="89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16"/>
      <c r="R755" s="16"/>
      <c r="S755" s="16"/>
      <c r="T755" s="16"/>
      <c r="U755" s="16"/>
      <c r="V755" s="16"/>
      <c r="W755" s="16"/>
      <c r="X755" s="16"/>
      <c r="Y755" s="16"/>
    </row>
    <row r="756" spans="1:25" ht="12" customHeight="1">
      <c r="A756" s="22"/>
      <c r="B756" s="89"/>
      <c r="C756" s="89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16"/>
      <c r="R756" s="16"/>
      <c r="S756" s="16"/>
      <c r="T756" s="16"/>
      <c r="U756" s="16"/>
      <c r="V756" s="16"/>
      <c r="W756" s="16"/>
      <c r="X756" s="16"/>
      <c r="Y756" s="16"/>
    </row>
    <row r="757" spans="1:25" ht="12" customHeight="1">
      <c r="A757" s="22"/>
      <c r="B757" s="89"/>
      <c r="C757" s="89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16"/>
      <c r="R757" s="16"/>
      <c r="S757" s="16"/>
      <c r="T757" s="16"/>
      <c r="U757" s="16"/>
      <c r="V757" s="16"/>
      <c r="W757" s="16"/>
      <c r="X757" s="16"/>
      <c r="Y757" s="16"/>
    </row>
    <row r="758" spans="1:25" ht="12" customHeight="1">
      <c r="A758" s="22"/>
      <c r="B758" s="89"/>
      <c r="C758" s="89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16"/>
      <c r="R758" s="16"/>
      <c r="S758" s="16"/>
      <c r="T758" s="16"/>
      <c r="U758" s="16"/>
      <c r="V758" s="16"/>
      <c r="W758" s="16"/>
      <c r="X758" s="16"/>
      <c r="Y758" s="16"/>
    </row>
    <row r="759" spans="1:25" ht="12" customHeight="1">
      <c r="A759" s="22"/>
      <c r="B759" s="89"/>
      <c r="C759" s="89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16"/>
      <c r="R759" s="16"/>
      <c r="S759" s="16"/>
      <c r="T759" s="16"/>
      <c r="U759" s="16"/>
      <c r="V759" s="16"/>
      <c r="W759" s="16"/>
      <c r="X759" s="16"/>
      <c r="Y759" s="16"/>
    </row>
    <row r="760" spans="1:25" ht="12" customHeight="1">
      <c r="A760" s="22"/>
      <c r="B760" s="89"/>
      <c r="C760" s="89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16"/>
      <c r="R760" s="16"/>
      <c r="S760" s="16"/>
      <c r="T760" s="16"/>
      <c r="U760" s="16"/>
      <c r="V760" s="16"/>
      <c r="W760" s="16"/>
      <c r="X760" s="16"/>
      <c r="Y760" s="16"/>
    </row>
    <row r="761" spans="1:25" ht="12" customHeight="1">
      <c r="A761" s="22"/>
      <c r="B761" s="89"/>
      <c r="C761" s="89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16"/>
      <c r="R761" s="16"/>
      <c r="S761" s="16"/>
      <c r="T761" s="16"/>
      <c r="U761" s="16"/>
      <c r="V761" s="16"/>
      <c r="W761" s="16"/>
      <c r="X761" s="16"/>
      <c r="Y761" s="16"/>
    </row>
    <row r="762" spans="1:25" ht="12" customHeight="1">
      <c r="A762" s="22"/>
      <c r="B762" s="89"/>
      <c r="C762" s="89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16"/>
      <c r="R762" s="16"/>
      <c r="S762" s="16"/>
      <c r="T762" s="16"/>
      <c r="U762" s="16"/>
      <c r="V762" s="16"/>
      <c r="W762" s="16"/>
      <c r="X762" s="16"/>
      <c r="Y762" s="16"/>
    </row>
    <row r="763" spans="1:25" ht="12" customHeight="1">
      <c r="A763" s="22"/>
      <c r="B763" s="89"/>
      <c r="C763" s="89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16"/>
      <c r="R763" s="16"/>
      <c r="S763" s="16"/>
      <c r="T763" s="16"/>
      <c r="U763" s="16"/>
      <c r="V763" s="16"/>
      <c r="W763" s="16"/>
      <c r="X763" s="16"/>
      <c r="Y763" s="16"/>
    </row>
    <row r="764" spans="1:25" ht="12" customHeight="1">
      <c r="A764" s="22"/>
      <c r="B764" s="89"/>
      <c r="C764" s="89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16"/>
      <c r="R764" s="16"/>
      <c r="S764" s="16"/>
      <c r="T764" s="16"/>
      <c r="U764" s="16"/>
      <c r="V764" s="16"/>
      <c r="W764" s="16"/>
      <c r="X764" s="16"/>
      <c r="Y764" s="16"/>
    </row>
    <row r="765" spans="1:25" ht="12" customHeight="1">
      <c r="A765" s="22"/>
      <c r="B765" s="89"/>
      <c r="C765" s="89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16"/>
      <c r="R765" s="16"/>
      <c r="S765" s="16"/>
      <c r="T765" s="16"/>
      <c r="U765" s="16"/>
      <c r="V765" s="16"/>
      <c r="W765" s="16"/>
      <c r="X765" s="16"/>
      <c r="Y765" s="16"/>
    </row>
    <row r="766" spans="1:25" ht="12" customHeight="1">
      <c r="A766" s="22"/>
      <c r="B766" s="89"/>
      <c r="C766" s="89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16"/>
      <c r="R766" s="16"/>
      <c r="S766" s="16"/>
      <c r="T766" s="16"/>
      <c r="U766" s="16"/>
      <c r="V766" s="16"/>
      <c r="W766" s="16"/>
      <c r="X766" s="16"/>
      <c r="Y766" s="16"/>
    </row>
    <row r="767" spans="1:25" ht="12" customHeight="1">
      <c r="A767" s="22"/>
      <c r="B767" s="89"/>
      <c r="C767" s="89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16"/>
      <c r="R767" s="16"/>
      <c r="S767" s="16"/>
      <c r="T767" s="16"/>
      <c r="U767" s="16"/>
      <c r="V767" s="16"/>
      <c r="W767" s="16"/>
      <c r="X767" s="16"/>
      <c r="Y767" s="16"/>
    </row>
    <row r="768" spans="1:25" ht="12" customHeight="1">
      <c r="A768" s="22"/>
      <c r="B768" s="89"/>
      <c r="C768" s="89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16"/>
      <c r="R768" s="16"/>
      <c r="S768" s="16"/>
      <c r="T768" s="16"/>
      <c r="U768" s="16"/>
      <c r="V768" s="16"/>
      <c r="W768" s="16"/>
      <c r="X768" s="16"/>
      <c r="Y768" s="16"/>
    </row>
    <row r="769" spans="1:25" ht="12" customHeight="1">
      <c r="A769" s="22"/>
      <c r="B769" s="89"/>
      <c r="C769" s="89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16"/>
      <c r="R769" s="16"/>
      <c r="S769" s="16"/>
      <c r="T769" s="16"/>
      <c r="U769" s="16"/>
      <c r="V769" s="16"/>
      <c r="W769" s="16"/>
      <c r="X769" s="16"/>
      <c r="Y769" s="16"/>
    </row>
    <row r="770" spans="1:25" ht="12" customHeight="1">
      <c r="A770" s="22"/>
      <c r="B770" s="89"/>
      <c r="C770" s="89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16"/>
      <c r="R770" s="16"/>
      <c r="S770" s="16"/>
      <c r="T770" s="16"/>
      <c r="U770" s="16"/>
      <c r="V770" s="16"/>
      <c r="W770" s="16"/>
      <c r="X770" s="16"/>
      <c r="Y770" s="16"/>
    </row>
    <row r="771" spans="1:25" ht="12" customHeight="1">
      <c r="A771" s="22"/>
      <c r="B771" s="89"/>
      <c r="C771" s="89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16"/>
      <c r="R771" s="16"/>
      <c r="S771" s="16"/>
      <c r="T771" s="16"/>
      <c r="U771" s="16"/>
      <c r="V771" s="16"/>
      <c r="W771" s="16"/>
      <c r="X771" s="16"/>
      <c r="Y771" s="16"/>
    </row>
    <row r="772" spans="1:25" ht="12" customHeight="1">
      <c r="A772" s="22"/>
      <c r="B772" s="89"/>
      <c r="C772" s="89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16"/>
      <c r="R772" s="16"/>
      <c r="S772" s="16"/>
      <c r="T772" s="16"/>
      <c r="U772" s="16"/>
      <c r="V772" s="16"/>
      <c r="W772" s="16"/>
      <c r="X772" s="16"/>
      <c r="Y772" s="16"/>
    </row>
    <row r="773" spans="1:25" ht="12" customHeight="1">
      <c r="A773" s="22"/>
      <c r="B773" s="89"/>
      <c r="C773" s="89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16"/>
      <c r="R773" s="16"/>
      <c r="S773" s="16"/>
      <c r="T773" s="16"/>
      <c r="U773" s="16"/>
      <c r="V773" s="16"/>
      <c r="W773" s="16"/>
      <c r="X773" s="16"/>
      <c r="Y773" s="16"/>
    </row>
    <row r="774" spans="1:25" ht="12" customHeight="1">
      <c r="A774" s="22"/>
      <c r="B774" s="89"/>
      <c r="C774" s="89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16"/>
      <c r="R774" s="16"/>
      <c r="S774" s="16"/>
      <c r="T774" s="16"/>
      <c r="U774" s="16"/>
      <c r="V774" s="16"/>
      <c r="W774" s="16"/>
      <c r="X774" s="16"/>
      <c r="Y774" s="16"/>
    </row>
    <row r="775" spans="1:25" ht="12" customHeight="1">
      <c r="A775" s="22"/>
      <c r="B775" s="89"/>
      <c r="C775" s="89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16"/>
      <c r="R775" s="16"/>
      <c r="S775" s="16"/>
      <c r="T775" s="16"/>
      <c r="U775" s="16"/>
      <c r="V775" s="16"/>
      <c r="W775" s="16"/>
      <c r="X775" s="16"/>
      <c r="Y775" s="16"/>
    </row>
    <row r="776" spans="1:25" ht="12" customHeight="1">
      <c r="A776" s="22"/>
      <c r="B776" s="89"/>
      <c r="C776" s="89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16"/>
      <c r="R776" s="16"/>
      <c r="S776" s="16"/>
      <c r="T776" s="16"/>
      <c r="U776" s="16"/>
      <c r="V776" s="16"/>
      <c r="W776" s="16"/>
      <c r="X776" s="16"/>
      <c r="Y776" s="16"/>
    </row>
    <row r="777" spans="1:25" ht="12" customHeight="1">
      <c r="A777" s="22"/>
      <c r="B777" s="89"/>
      <c r="C777" s="89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16"/>
      <c r="R777" s="16"/>
      <c r="S777" s="16"/>
      <c r="T777" s="16"/>
      <c r="U777" s="16"/>
      <c r="V777" s="16"/>
      <c r="W777" s="16"/>
      <c r="X777" s="16"/>
      <c r="Y777" s="16"/>
    </row>
    <row r="778" spans="1:25" ht="12" customHeight="1">
      <c r="A778" s="22"/>
      <c r="B778" s="89"/>
      <c r="C778" s="89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16"/>
      <c r="R778" s="16"/>
      <c r="S778" s="16"/>
      <c r="T778" s="16"/>
      <c r="U778" s="16"/>
      <c r="V778" s="16"/>
      <c r="W778" s="16"/>
      <c r="X778" s="16"/>
      <c r="Y778" s="16"/>
    </row>
    <row r="779" spans="1:25" ht="12" customHeight="1">
      <c r="A779" s="22"/>
      <c r="B779" s="89"/>
      <c r="C779" s="89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16"/>
      <c r="R779" s="16"/>
      <c r="S779" s="16"/>
      <c r="T779" s="16"/>
      <c r="U779" s="16"/>
      <c r="V779" s="16"/>
      <c r="W779" s="16"/>
      <c r="X779" s="16"/>
      <c r="Y779" s="16"/>
    </row>
    <row r="780" spans="1:25" ht="12" customHeight="1">
      <c r="A780" s="22"/>
      <c r="B780" s="89"/>
      <c r="C780" s="89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16"/>
      <c r="R780" s="16"/>
      <c r="S780" s="16"/>
      <c r="T780" s="16"/>
      <c r="U780" s="16"/>
      <c r="V780" s="16"/>
      <c r="W780" s="16"/>
      <c r="X780" s="16"/>
      <c r="Y780" s="16"/>
    </row>
    <row r="781" spans="1:25" ht="12" customHeight="1">
      <c r="A781" s="22"/>
      <c r="B781" s="89"/>
      <c r="C781" s="89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16"/>
      <c r="R781" s="16"/>
      <c r="S781" s="16"/>
      <c r="T781" s="16"/>
      <c r="U781" s="16"/>
      <c r="V781" s="16"/>
      <c r="W781" s="16"/>
      <c r="X781" s="16"/>
      <c r="Y781" s="16"/>
    </row>
    <row r="782" spans="1:25" ht="12" customHeight="1">
      <c r="A782" s="22"/>
      <c r="B782" s="89"/>
      <c r="C782" s="89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16"/>
      <c r="R782" s="16"/>
      <c r="S782" s="16"/>
      <c r="T782" s="16"/>
      <c r="U782" s="16"/>
      <c r="V782" s="16"/>
      <c r="W782" s="16"/>
      <c r="X782" s="16"/>
      <c r="Y782" s="16"/>
    </row>
    <row r="783" spans="1:25" ht="12" customHeight="1">
      <c r="A783" s="22"/>
      <c r="B783" s="89"/>
      <c r="C783" s="89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16"/>
      <c r="R783" s="16"/>
      <c r="S783" s="16"/>
      <c r="T783" s="16"/>
      <c r="U783" s="16"/>
      <c r="V783" s="16"/>
      <c r="W783" s="16"/>
      <c r="X783" s="16"/>
      <c r="Y783" s="16"/>
    </row>
    <row r="784" spans="1:25" ht="12" customHeight="1">
      <c r="A784" s="22"/>
      <c r="B784" s="89"/>
      <c r="C784" s="89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16"/>
      <c r="R784" s="16"/>
      <c r="S784" s="16"/>
      <c r="T784" s="16"/>
      <c r="U784" s="16"/>
      <c r="V784" s="16"/>
      <c r="W784" s="16"/>
      <c r="X784" s="16"/>
      <c r="Y784" s="16"/>
    </row>
    <row r="785" spans="1:25" ht="12" customHeight="1">
      <c r="A785" s="22"/>
      <c r="B785" s="89"/>
      <c r="C785" s="89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16"/>
      <c r="R785" s="16"/>
      <c r="S785" s="16"/>
      <c r="T785" s="16"/>
      <c r="U785" s="16"/>
      <c r="V785" s="16"/>
      <c r="W785" s="16"/>
      <c r="X785" s="16"/>
      <c r="Y785" s="16"/>
    </row>
    <row r="786" spans="1:25" ht="12" customHeight="1">
      <c r="A786" s="22"/>
      <c r="B786" s="89"/>
      <c r="C786" s="89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16"/>
      <c r="R786" s="16"/>
      <c r="S786" s="16"/>
      <c r="T786" s="16"/>
      <c r="U786" s="16"/>
      <c r="V786" s="16"/>
      <c r="W786" s="16"/>
      <c r="X786" s="16"/>
      <c r="Y786" s="16"/>
    </row>
    <row r="787" spans="1:25" ht="12" customHeight="1">
      <c r="A787" s="22"/>
      <c r="B787" s="89"/>
      <c r="C787" s="89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16"/>
      <c r="R787" s="16"/>
      <c r="S787" s="16"/>
      <c r="T787" s="16"/>
      <c r="U787" s="16"/>
      <c r="V787" s="16"/>
      <c r="W787" s="16"/>
      <c r="X787" s="16"/>
      <c r="Y787" s="16"/>
    </row>
    <row r="788" spans="1:25" ht="12" customHeight="1">
      <c r="A788" s="22"/>
      <c r="B788" s="89"/>
      <c r="C788" s="89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16"/>
      <c r="R788" s="16"/>
      <c r="S788" s="16"/>
      <c r="T788" s="16"/>
      <c r="U788" s="16"/>
      <c r="V788" s="16"/>
      <c r="W788" s="16"/>
      <c r="X788" s="16"/>
      <c r="Y788" s="16"/>
    </row>
    <row r="789" spans="1:25" ht="12" customHeight="1">
      <c r="A789" s="22"/>
      <c r="B789" s="89"/>
      <c r="C789" s="89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16"/>
      <c r="R789" s="16"/>
      <c r="S789" s="16"/>
      <c r="T789" s="16"/>
      <c r="U789" s="16"/>
      <c r="V789" s="16"/>
      <c r="W789" s="16"/>
      <c r="X789" s="16"/>
      <c r="Y789" s="16"/>
    </row>
    <row r="790" spans="1:25" ht="12" customHeight="1">
      <c r="A790" s="22"/>
      <c r="B790" s="89"/>
      <c r="C790" s="89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16"/>
      <c r="R790" s="16"/>
      <c r="S790" s="16"/>
      <c r="T790" s="16"/>
      <c r="U790" s="16"/>
      <c r="V790" s="16"/>
      <c r="W790" s="16"/>
      <c r="X790" s="16"/>
      <c r="Y790" s="16"/>
    </row>
    <row r="791" spans="1:25" ht="12" customHeight="1">
      <c r="A791" s="22"/>
      <c r="B791" s="89"/>
      <c r="C791" s="89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16"/>
      <c r="R791" s="16"/>
      <c r="S791" s="16"/>
      <c r="T791" s="16"/>
      <c r="U791" s="16"/>
      <c r="V791" s="16"/>
      <c r="W791" s="16"/>
      <c r="X791" s="16"/>
      <c r="Y791" s="16"/>
    </row>
    <row r="792" spans="1:25" ht="12" customHeight="1">
      <c r="A792" s="22"/>
      <c r="B792" s="89"/>
      <c r="C792" s="89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16"/>
      <c r="R792" s="16"/>
      <c r="S792" s="16"/>
      <c r="T792" s="16"/>
      <c r="U792" s="16"/>
      <c r="V792" s="16"/>
      <c r="W792" s="16"/>
      <c r="X792" s="16"/>
      <c r="Y792" s="16"/>
    </row>
    <row r="793" spans="1:25" ht="12" customHeight="1">
      <c r="A793" s="22"/>
      <c r="B793" s="89"/>
      <c r="C793" s="89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16"/>
      <c r="R793" s="16"/>
      <c r="S793" s="16"/>
      <c r="T793" s="16"/>
      <c r="U793" s="16"/>
      <c r="V793" s="16"/>
      <c r="W793" s="16"/>
      <c r="X793" s="16"/>
      <c r="Y793" s="16"/>
    </row>
    <row r="794" spans="1:25" ht="12" customHeight="1">
      <c r="A794" s="22"/>
      <c r="B794" s="89"/>
      <c r="C794" s="89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16"/>
      <c r="R794" s="16"/>
      <c r="S794" s="16"/>
      <c r="T794" s="16"/>
      <c r="U794" s="16"/>
      <c r="V794" s="16"/>
      <c r="W794" s="16"/>
      <c r="X794" s="16"/>
      <c r="Y794" s="16"/>
    </row>
    <row r="795" spans="1:25" ht="12" customHeight="1">
      <c r="A795" s="22"/>
      <c r="B795" s="89"/>
      <c r="C795" s="89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16"/>
      <c r="R795" s="16"/>
      <c r="S795" s="16"/>
      <c r="T795" s="16"/>
      <c r="U795" s="16"/>
      <c r="V795" s="16"/>
      <c r="W795" s="16"/>
      <c r="X795" s="16"/>
      <c r="Y795" s="16"/>
    </row>
    <row r="796" spans="1:25" ht="12" customHeight="1">
      <c r="A796" s="22"/>
      <c r="B796" s="89"/>
      <c r="C796" s="89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16"/>
      <c r="R796" s="16"/>
      <c r="S796" s="16"/>
      <c r="T796" s="16"/>
      <c r="U796" s="16"/>
      <c r="V796" s="16"/>
      <c r="W796" s="16"/>
      <c r="X796" s="16"/>
      <c r="Y796" s="16"/>
    </row>
    <row r="797" spans="1:25" ht="12" customHeight="1">
      <c r="A797" s="22"/>
      <c r="B797" s="89"/>
      <c r="C797" s="89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16"/>
      <c r="R797" s="16"/>
      <c r="S797" s="16"/>
      <c r="T797" s="16"/>
      <c r="U797" s="16"/>
      <c r="V797" s="16"/>
      <c r="W797" s="16"/>
      <c r="X797" s="16"/>
      <c r="Y797" s="16"/>
    </row>
    <row r="798" spans="1:25" ht="12" customHeight="1">
      <c r="A798" s="22"/>
      <c r="B798" s="89"/>
      <c r="C798" s="89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16"/>
      <c r="R798" s="16"/>
      <c r="S798" s="16"/>
      <c r="T798" s="16"/>
      <c r="U798" s="16"/>
      <c r="V798" s="16"/>
      <c r="W798" s="16"/>
      <c r="X798" s="16"/>
      <c r="Y798" s="16"/>
    </row>
    <row r="799" spans="1:25" ht="12" customHeight="1">
      <c r="A799" s="22"/>
      <c r="B799" s="89"/>
      <c r="C799" s="89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16"/>
      <c r="R799" s="16"/>
      <c r="S799" s="16"/>
      <c r="T799" s="16"/>
      <c r="U799" s="16"/>
      <c r="V799" s="16"/>
      <c r="W799" s="16"/>
      <c r="X799" s="16"/>
      <c r="Y799" s="16"/>
    </row>
    <row r="800" spans="1:25" ht="12" customHeight="1">
      <c r="A800" s="22"/>
      <c r="B800" s="89"/>
      <c r="C800" s="89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16"/>
      <c r="R800" s="16"/>
      <c r="S800" s="16"/>
      <c r="T800" s="16"/>
      <c r="U800" s="16"/>
      <c r="V800" s="16"/>
      <c r="W800" s="16"/>
      <c r="X800" s="16"/>
      <c r="Y800" s="16"/>
    </row>
    <row r="801" spans="1:25" ht="12" customHeight="1">
      <c r="A801" s="22"/>
      <c r="B801" s="89"/>
      <c r="C801" s="89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16"/>
      <c r="R801" s="16"/>
      <c r="S801" s="16"/>
      <c r="T801" s="16"/>
      <c r="U801" s="16"/>
      <c r="V801" s="16"/>
      <c r="W801" s="16"/>
      <c r="X801" s="16"/>
      <c r="Y801" s="16"/>
    </row>
    <row r="802" spans="1:25" ht="12" customHeight="1">
      <c r="A802" s="22"/>
      <c r="B802" s="89"/>
      <c r="C802" s="89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16"/>
      <c r="R802" s="16"/>
      <c r="S802" s="16"/>
      <c r="T802" s="16"/>
      <c r="U802" s="16"/>
      <c r="V802" s="16"/>
      <c r="W802" s="16"/>
      <c r="X802" s="16"/>
      <c r="Y802" s="16"/>
    </row>
    <row r="803" spans="1:25" ht="12" customHeight="1">
      <c r="A803" s="22"/>
      <c r="B803" s="89"/>
      <c r="C803" s="89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16"/>
      <c r="R803" s="16"/>
      <c r="S803" s="16"/>
      <c r="T803" s="16"/>
      <c r="U803" s="16"/>
      <c r="V803" s="16"/>
      <c r="W803" s="16"/>
      <c r="X803" s="16"/>
      <c r="Y803" s="16"/>
    </row>
    <row r="804" spans="1:25" ht="12" customHeight="1">
      <c r="A804" s="22"/>
      <c r="B804" s="89"/>
      <c r="C804" s="89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16"/>
      <c r="R804" s="16"/>
      <c r="S804" s="16"/>
      <c r="T804" s="16"/>
      <c r="U804" s="16"/>
      <c r="V804" s="16"/>
      <c r="W804" s="16"/>
      <c r="X804" s="16"/>
      <c r="Y804" s="16"/>
    </row>
    <row r="805" spans="1:25" ht="12" customHeight="1">
      <c r="A805" s="22"/>
      <c r="B805" s="89"/>
      <c r="C805" s="89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16"/>
      <c r="R805" s="16"/>
      <c r="S805" s="16"/>
      <c r="T805" s="16"/>
      <c r="U805" s="16"/>
      <c r="V805" s="16"/>
      <c r="W805" s="16"/>
      <c r="X805" s="16"/>
      <c r="Y805" s="16"/>
    </row>
    <row r="806" spans="1:25" ht="12" customHeight="1">
      <c r="A806" s="22"/>
      <c r="B806" s="89"/>
      <c r="C806" s="89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16"/>
      <c r="R806" s="16"/>
      <c r="S806" s="16"/>
      <c r="T806" s="16"/>
      <c r="U806" s="16"/>
      <c r="V806" s="16"/>
      <c r="W806" s="16"/>
      <c r="X806" s="16"/>
      <c r="Y806" s="16"/>
    </row>
    <row r="807" spans="1:25" ht="12" customHeight="1">
      <c r="A807" s="22"/>
      <c r="B807" s="89"/>
      <c r="C807" s="89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16"/>
      <c r="R807" s="16"/>
      <c r="S807" s="16"/>
      <c r="T807" s="16"/>
      <c r="U807" s="16"/>
      <c r="V807" s="16"/>
      <c r="W807" s="16"/>
      <c r="X807" s="16"/>
      <c r="Y807" s="16"/>
    </row>
    <row r="808" spans="1:25" ht="12" customHeight="1">
      <c r="A808" s="22"/>
      <c r="B808" s="89"/>
      <c r="C808" s="89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16"/>
      <c r="R808" s="16"/>
      <c r="S808" s="16"/>
      <c r="T808" s="16"/>
      <c r="U808" s="16"/>
      <c r="V808" s="16"/>
      <c r="W808" s="16"/>
      <c r="X808" s="16"/>
      <c r="Y808" s="16"/>
    </row>
    <row r="809" spans="1:25" ht="12" customHeight="1">
      <c r="A809" s="22"/>
      <c r="B809" s="89"/>
      <c r="C809" s="89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16"/>
      <c r="R809" s="16"/>
      <c r="S809" s="16"/>
      <c r="T809" s="16"/>
      <c r="U809" s="16"/>
      <c r="V809" s="16"/>
      <c r="W809" s="16"/>
      <c r="X809" s="16"/>
      <c r="Y809" s="16"/>
    </row>
    <row r="810" spans="1:25" ht="12" customHeight="1">
      <c r="A810" s="22"/>
      <c r="B810" s="89"/>
      <c r="C810" s="89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16"/>
      <c r="R810" s="16"/>
      <c r="S810" s="16"/>
      <c r="T810" s="16"/>
      <c r="U810" s="16"/>
      <c r="V810" s="16"/>
      <c r="W810" s="16"/>
      <c r="X810" s="16"/>
      <c r="Y810" s="16"/>
    </row>
    <row r="811" spans="1:25" ht="12" customHeight="1">
      <c r="A811" s="22"/>
      <c r="B811" s="89"/>
      <c r="C811" s="89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16"/>
      <c r="R811" s="16"/>
      <c r="S811" s="16"/>
      <c r="T811" s="16"/>
      <c r="U811" s="16"/>
      <c r="V811" s="16"/>
      <c r="W811" s="16"/>
      <c r="X811" s="16"/>
      <c r="Y811" s="16"/>
    </row>
    <row r="812" spans="1:25" ht="12" customHeight="1">
      <c r="A812" s="22"/>
      <c r="B812" s="89"/>
      <c r="C812" s="89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16"/>
      <c r="R812" s="16"/>
      <c r="S812" s="16"/>
      <c r="T812" s="16"/>
      <c r="U812" s="16"/>
      <c r="V812" s="16"/>
      <c r="W812" s="16"/>
      <c r="X812" s="16"/>
      <c r="Y812" s="16"/>
    </row>
    <row r="813" spans="1:25" ht="12" customHeight="1">
      <c r="A813" s="22"/>
      <c r="B813" s="89"/>
      <c r="C813" s="89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16"/>
      <c r="R813" s="16"/>
      <c r="S813" s="16"/>
      <c r="T813" s="16"/>
      <c r="U813" s="16"/>
      <c r="V813" s="16"/>
      <c r="W813" s="16"/>
      <c r="X813" s="16"/>
      <c r="Y813" s="16"/>
    </row>
    <row r="814" spans="1:25" ht="12" customHeight="1">
      <c r="A814" s="22"/>
      <c r="B814" s="89"/>
      <c r="C814" s="89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16"/>
      <c r="R814" s="16"/>
      <c r="S814" s="16"/>
      <c r="T814" s="16"/>
      <c r="U814" s="16"/>
      <c r="V814" s="16"/>
      <c r="W814" s="16"/>
      <c r="X814" s="16"/>
      <c r="Y814" s="16"/>
    </row>
    <row r="815" spans="1:25" ht="12" customHeight="1">
      <c r="A815" s="22"/>
      <c r="B815" s="89"/>
      <c r="C815" s="89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16"/>
      <c r="R815" s="16"/>
      <c r="S815" s="16"/>
      <c r="T815" s="16"/>
      <c r="U815" s="16"/>
      <c r="V815" s="16"/>
      <c r="W815" s="16"/>
      <c r="X815" s="16"/>
      <c r="Y815" s="16"/>
    </row>
    <row r="816" spans="1:25" ht="12" customHeight="1">
      <c r="A816" s="22"/>
      <c r="B816" s="89"/>
      <c r="C816" s="89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16"/>
      <c r="R816" s="16"/>
      <c r="S816" s="16"/>
      <c r="T816" s="16"/>
      <c r="U816" s="16"/>
      <c r="V816" s="16"/>
      <c r="W816" s="16"/>
      <c r="X816" s="16"/>
      <c r="Y816" s="16"/>
    </row>
    <row r="817" spans="1:25" ht="12" customHeight="1">
      <c r="A817" s="22"/>
      <c r="B817" s="89"/>
      <c r="C817" s="89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16"/>
      <c r="R817" s="16"/>
      <c r="S817" s="16"/>
      <c r="T817" s="16"/>
      <c r="U817" s="16"/>
      <c r="V817" s="16"/>
      <c r="W817" s="16"/>
      <c r="X817" s="16"/>
      <c r="Y817" s="16"/>
    </row>
    <row r="818" spans="1:25" ht="12" customHeight="1">
      <c r="A818" s="22"/>
      <c r="B818" s="89"/>
      <c r="C818" s="89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16"/>
      <c r="R818" s="16"/>
      <c r="S818" s="16"/>
      <c r="T818" s="16"/>
      <c r="U818" s="16"/>
      <c r="V818" s="16"/>
      <c r="W818" s="16"/>
      <c r="X818" s="16"/>
      <c r="Y818" s="16"/>
    </row>
    <row r="819" spans="1:25" ht="12" customHeight="1">
      <c r="A819" s="22"/>
      <c r="B819" s="89"/>
      <c r="C819" s="89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16"/>
      <c r="R819" s="16"/>
      <c r="S819" s="16"/>
      <c r="T819" s="16"/>
      <c r="U819" s="16"/>
      <c r="V819" s="16"/>
      <c r="W819" s="16"/>
      <c r="X819" s="16"/>
      <c r="Y819" s="16"/>
    </row>
    <row r="820" spans="1:25" ht="12" customHeight="1">
      <c r="A820" s="22"/>
      <c r="B820" s="89"/>
      <c r="C820" s="89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16"/>
      <c r="R820" s="16"/>
      <c r="S820" s="16"/>
      <c r="T820" s="16"/>
      <c r="U820" s="16"/>
      <c r="V820" s="16"/>
      <c r="W820" s="16"/>
      <c r="X820" s="16"/>
      <c r="Y820" s="16"/>
    </row>
    <row r="821" spans="1:25" ht="12" customHeight="1">
      <c r="A821" s="22"/>
      <c r="B821" s="89"/>
      <c r="C821" s="89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16"/>
      <c r="R821" s="16"/>
      <c r="S821" s="16"/>
      <c r="T821" s="16"/>
      <c r="U821" s="16"/>
      <c r="V821" s="16"/>
      <c r="W821" s="16"/>
      <c r="X821" s="16"/>
      <c r="Y821" s="16"/>
    </row>
    <row r="822" spans="1:25" ht="12" customHeight="1">
      <c r="A822" s="22"/>
      <c r="B822" s="89"/>
      <c r="C822" s="89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16"/>
      <c r="R822" s="16"/>
      <c r="S822" s="16"/>
      <c r="T822" s="16"/>
      <c r="U822" s="16"/>
      <c r="V822" s="16"/>
      <c r="W822" s="16"/>
      <c r="X822" s="16"/>
      <c r="Y822" s="16"/>
    </row>
    <row r="823" spans="1:25" ht="12" customHeight="1">
      <c r="A823" s="22"/>
      <c r="B823" s="89"/>
      <c r="C823" s="89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16"/>
      <c r="R823" s="16"/>
      <c r="S823" s="16"/>
      <c r="T823" s="16"/>
      <c r="U823" s="16"/>
      <c r="V823" s="16"/>
      <c r="W823" s="16"/>
      <c r="X823" s="16"/>
      <c r="Y823" s="16"/>
    </row>
    <row r="824" spans="1:25" ht="12" customHeight="1">
      <c r="A824" s="22"/>
      <c r="B824" s="89"/>
      <c r="C824" s="89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16"/>
      <c r="R824" s="16"/>
      <c r="S824" s="16"/>
      <c r="T824" s="16"/>
      <c r="U824" s="16"/>
      <c r="V824" s="16"/>
      <c r="W824" s="16"/>
      <c r="X824" s="16"/>
      <c r="Y824" s="16"/>
    </row>
    <row r="825" spans="1:25" ht="12" customHeight="1">
      <c r="A825" s="22"/>
      <c r="B825" s="89"/>
      <c r="C825" s="89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16"/>
      <c r="R825" s="16"/>
      <c r="S825" s="16"/>
      <c r="T825" s="16"/>
      <c r="U825" s="16"/>
      <c r="V825" s="16"/>
      <c r="W825" s="16"/>
      <c r="X825" s="16"/>
      <c r="Y825" s="16"/>
    </row>
    <row r="826" spans="1:25" ht="12" customHeight="1">
      <c r="A826" s="22"/>
      <c r="B826" s="89"/>
      <c r="C826" s="89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16"/>
      <c r="R826" s="16"/>
      <c r="S826" s="16"/>
      <c r="T826" s="16"/>
      <c r="U826" s="16"/>
      <c r="V826" s="16"/>
      <c r="W826" s="16"/>
      <c r="X826" s="16"/>
      <c r="Y826" s="16"/>
    </row>
    <row r="827" spans="1:25" ht="12" customHeight="1">
      <c r="A827" s="22"/>
      <c r="B827" s="89"/>
      <c r="C827" s="89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16"/>
      <c r="R827" s="16"/>
      <c r="S827" s="16"/>
      <c r="T827" s="16"/>
      <c r="U827" s="16"/>
      <c r="V827" s="16"/>
      <c r="W827" s="16"/>
      <c r="X827" s="16"/>
      <c r="Y827" s="16"/>
    </row>
    <row r="828" spans="1:25" ht="12" customHeight="1">
      <c r="A828" s="22"/>
      <c r="B828" s="89"/>
      <c r="C828" s="89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16"/>
      <c r="R828" s="16"/>
      <c r="S828" s="16"/>
      <c r="T828" s="16"/>
      <c r="U828" s="16"/>
      <c r="V828" s="16"/>
      <c r="W828" s="16"/>
      <c r="X828" s="16"/>
      <c r="Y828" s="16"/>
    </row>
    <row r="829" spans="1:25" ht="12" customHeight="1">
      <c r="A829" s="22"/>
      <c r="B829" s="89"/>
      <c r="C829" s="89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16"/>
      <c r="R829" s="16"/>
      <c r="S829" s="16"/>
      <c r="T829" s="16"/>
      <c r="U829" s="16"/>
      <c r="V829" s="16"/>
      <c r="W829" s="16"/>
      <c r="X829" s="16"/>
      <c r="Y829" s="16"/>
    </row>
    <row r="830" spans="1:25" ht="12" customHeight="1">
      <c r="A830" s="22"/>
      <c r="B830" s="89"/>
      <c r="C830" s="89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16"/>
      <c r="R830" s="16"/>
      <c r="S830" s="16"/>
      <c r="T830" s="16"/>
      <c r="U830" s="16"/>
      <c r="V830" s="16"/>
      <c r="W830" s="16"/>
      <c r="X830" s="16"/>
      <c r="Y830" s="16"/>
    </row>
    <row r="831" spans="1:25" ht="12" customHeight="1">
      <c r="A831" s="22"/>
      <c r="B831" s="89"/>
      <c r="C831" s="89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16"/>
      <c r="R831" s="16"/>
      <c r="S831" s="16"/>
      <c r="T831" s="16"/>
      <c r="U831" s="16"/>
      <c r="V831" s="16"/>
      <c r="W831" s="16"/>
      <c r="X831" s="16"/>
      <c r="Y831" s="16"/>
    </row>
    <row r="832" spans="1:25" ht="12" customHeight="1">
      <c r="A832" s="22"/>
      <c r="B832" s="89"/>
      <c r="C832" s="89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16"/>
      <c r="R832" s="16"/>
      <c r="S832" s="16"/>
      <c r="T832" s="16"/>
      <c r="U832" s="16"/>
      <c r="V832" s="16"/>
      <c r="W832" s="16"/>
      <c r="X832" s="16"/>
      <c r="Y832" s="16"/>
    </row>
    <row r="833" spans="1:25" ht="12" customHeight="1">
      <c r="A833" s="22"/>
      <c r="B833" s="89"/>
      <c r="C833" s="89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16"/>
      <c r="R833" s="16"/>
      <c r="S833" s="16"/>
      <c r="T833" s="16"/>
      <c r="U833" s="16"/>
      <c r="V833" s="16"/>
      <c r="W833" s="16"/>
      <c r="X833" s="16"/>
      <c r="Y833" s="16"/>
    </row>
    <row r="834" spans="1:25" ht="12" customHeight="1">
      <c r="A834" s="22"/>
      <c r="B834" s="89"/>
      <c r="C834" s="89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16"/>
      <c r="R834" s="16"/>
      <c r="S834" s="16"/>
      <c r="T834" s="16"/>
      <c r="U834" s="16"/>
      <c r="V834" s="16"/>
      <c r="W834" s="16"/>
      <c r="X834" s="16"/>
      <c r="Y834" s="16"/>
    </row>
    <row r="835" spans="1:25" ht="12" customHeight="1">
      <c r="A835" s="22"/>
      <c r="B835" s="89"/>
      <c r="C835" s="89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16"/>
      <c r="R835" s="16"/>
      <c r="S835" s="16"/>
      <c r="T835" s="16"/>
      <c r="U835" s="16"/>
      <c r="V835" s="16"/>
      <c r="W835" s="16"/>
      <c r="X835" s="16"/>
      <c r="Y835" s="16"/>
    </row>
    <row r="836" spans="1:25" ht="12" customHeight="1">
      <c r="A836" s="22"/>
      <c r="B836" s="89"/>
      <c r="C836" s="89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16"/>
      <c r="R836" s="16"/>
      <c r="S836" s="16"/>
      <c r="T836" s="16"/>
      <c r="U836" s="16"/>
      <c r="V836" s="16"/>
      <c r="W836" s="16"/>
      <c r="X836" s="16"/>
      <c r="Y836" s="16"/>
    </row>
    <row r="837" spans="1:25" ht="12" customHeight="1">
      <c r="A837" s="22"/>
      <c r="B837" s="89"/>
      <c r="C837" s="89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16"/>
      <c r="R837" s="16"/>
      <c r="S837" s="16"/>
      <c r="T837" s="16"/>
      <c r="U837" s="16"/>
      <c r="V837" s="16"/>
      <c r="W837" s="16"/>
      <c r="X837" s="16"/>
      <c r="Y837" s="16"/>
    </row>
    <row r="838" spans="1:25" ht="12" customHeight="1">
      <c r="A838" s="22"/>
      <c r="B838" s="89"/>
      <c r="C838" s="89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16"/>
      <c r="R838" s="16"/>
      <c r="S838" s="16"/>
      <c r="T838" s="16"/>
      <c r="U838" s="16"/>
      <c r="V838" s="16"/>
      <c r="W838" s="16"/>
      <c r="X838" s="16"/>
      <c r="Y838" s="16"/>
    </row>
    <row r="839" spans="1:25" ht="12" customHeight="1">
      <c r="A839" s="22"/>
      <c r="B839" s="89"/>
      <c r="C839" s="89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16"/>
      <c r="R839" s="16"/>
      <c r="S839" s="16"/>
      <c r="T839" s="16"/>
      <c r="U839" s="16"/>
      <c r="V839" s="16"/>
      <c r="W839" s="16"/>
      <c r="X839" s="16"/>
      <c r="Y839" s="16"/>
    </row>
    <row r="840" spans="1:25" ht="12" customHeight="1">
      <c r="A840" s="22"/>
      <c r="B840" s="89"/>
      <c r="C840" s="89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16"/>
      <c r="R840" s="16"/>
      <c r="S840" s="16"/>
      <c r="T840" s="16"/>
      <c r="U840" s="16"/>
      <c r="V840" s="16"/>
      <c r="W840" s="16"/>
      <c r="X840" s="16"/>
      <c r="Y840" s="16"/>
    </row>
    <row r="841" spans="1:25" ht="12" customHeight="1">
      <c r="A841" s="22"/>
      <c r="B841" s="89"/>
      <c r="C841" s="89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16"/>
      <c r="R841" s="16"/>
      <c r="S841" s="16"/>
      <c r="T841" s="16"/>
      <c r="U841" s="16"/>
      <c r="V841" s="16"/>
      <c r="W841" s="16"/>
      <c r="X841" s="16"/>
      <c r="Y841" s="16"/>
    </row>
    <row r="842" spans="1:25" ht="12" customHeight="1">
      <c r="A842" s="22"/>
      <c r="B842" s="89"/>
      <c r="C842" s="89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16"/>
      <c r="R842" s="16"/>
      <c r="S842" s="16"/>
      <c r="T842" s="16"/>
      <c r="U842" s="16"/>
      <c r="V842" s="16"/>
      <c r="W842" s="16"/>
      <c r="X842" s="16"/>
      <c r="Y842" s="16"/>
    </row>
    <row r="843" spans="1:25" ht="12" customHeight="1">
      <c r="A843" s="22"/>
      <c r="B843" s="89"/>
      <c r="C843" s="89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16"/>
      <c r="R843" s="16"/>
      <c r="S843" s="16"/>
      <c r="T843" s="16"/>
      <c r="U843" s="16"/>
      <c r="V843" s="16"/>
      <c r="W843" s="16"/>
      <c r="X843" s="16"/>
      <c r="Y843" s="16"/>
    </row>
    <row r="844" spans="1:25" ht="12" customHeight="1">
      <c r="A844" s="22"/>
      <c r="B844" s="89"/>
      <c r="C844" s="89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16"/>
      <c r="R844" s="16"/>
      <c r="S844" s="16"/>
      <c r="T844" s="16"/>
      <c r="U844" s="16"/>
      <c r="V844" s="16"/>
      <c r="W844" s="16"/>
      <c r="X844" s="16"/>
      <c r="Y844" s="16"/>
    </row>
    <row r="845" spans="1:25" ht="12" customHeight="1">
      <c r="A845" s="22"/>
      <c r="B845" s="89"/>
      <c r="C845" s="89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16"/>
      <c r="R845" s="16"/>
      <c r="S845" s="16"/>
      <c r="T845" s="16"/>
      <c r="U845" s="16"/>
      <c r="V845" s="16"/>
      <c r="W845" s="16"/>
      <c r="X845" s="16"/>
      <c r="Y845" s="16"/>
    </row>
    <row r="846" spans="1:25" ht="12" customHeight="1">
      <c r="A846" s="22"/>
      <c r="B846" s="89"/>
      <c r="C846" s="89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16"/>
      <c r="R846" s="16"/>
      <c r="S846" s="16"/>
      <c r="T846" s="16"/>
      <c r="U846" s="16"/>
      <c r="V846" s="16"/>
      <c r="W846" s="16"/>
      <c r="X846" s="16"/>
      <c r="Y846" s="16"/>
    </row>
    <row r="847" spans="1:25" ht="12" customHeight="1">
      <c r="A847" s="22"/>
      <c r="B847" s="89"/>
      <c r="C847" s="89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16"/>
      <c r="R847" s="16"/>
      <c r="S847" s="16"/>
      <c r="T847" s="16"/>
      <c r="U847" s="16"/>
      <c r="V847" s="16"/>
      <c r="W847" s="16"/>
      <c r="X847" s="16"/>
      <c r="Y847" s="16"/>
    </row>
    <row r="848" spans="1:25" ht="12" customHeight="1">
      <c r="A848" s="22"/>
      <c r="B848" s="89"/>
      <c r="C848" s="89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16"/>
      <c r="R848" s="16"/>
      <c r="S848" s="16"/>
      <c r="T848" s="16"/>
      <c r="U848" s="16"/>
      <c r="V848" s="16"/>
      <c r="W848" s="16"/>
      <c r="X848" s="16"/>
      <c r="Y848" s="16"/>
    </row>
    <row r="849" spans="1:25" ht="12" customHeight="1">
      <c r="A849" s="22"/>
      <c r="B849" s="89"/>
      <c r="C849" s="89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16"/>
      <c r="R849" s="16"/>
      <c r="S849" s="16"/>
      <c r="T849" s="16"/>
      <c r="U849" s="16"/>
      <c r="V849" s="16"/>
      <c r="W849" s="16"/>
      <c r="X849" s="16"/>
      <c r="Y849" s="16"/>
    </row>
    <row r="850" spans="1:25" ht="12" customHeight="1">
      <c r="A850" s="22"/>
      <c r="B850" s="89"/>
      <c r="C850" s="89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16"/>
      <c r="R850" s="16"/>
      <c r="S850" s="16"/>
      <c r="T850" s="16"/>
      <c r="U850" s="16"/>
      <c r="V850" s="16"/>
      <c r="W850" s="16"/>
      <c r="X850" s="16"/>
      <c r="Y850" s="16"/>
    </row>
    <row r="851" spans="1:25" ht="12" customHeight="1">
      <c r="A851" s="22"/>
      <c r="B851" s="89"/>
      <c r="C851" s="89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16"/>
      <c r="R851" s="16"/>
      <c r="S851" s="16"/>
      <c r="T851" s="16"/>
      <c r="U851" s="16"/>
      <c r="V851" s="16"/>
      <c r="W851" s="16"/>
      <c r="X851" s="16"/>
      <c r="Y851" s="16"/>
    </row>
    <row r="852" spans="1:25" ht="12" customHeight="1">
      <c r="A852" s="22"/>
      <c r="B852" s="89"/>
      <c r="C852" s="89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16"/>
      <c r="R852" s="16"/>
      <c r="S852" s="16"/>
      <c r="T852" s="16"/>
      <c r="U852" s="16"/>
      <c r="V852" s="16"/>
      <c r="W852" s="16"/>
      <c r="X852" s="16"/>
      <c r="Y852" s="16"/>
    </row>
    <row r="853" spans="1:25" ht="12" customHeight="1">
      <c r="A853" s="22"/>
      <c r="B853" s="89"/>
      <c r="C853" s="89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16"/>
      <c r="R853" s="16"/>
      <c r="S853" s="16"/>
      <c r="T853" s="16"/>
      <c r="U853" s="16"/>
      <c r="V853" s="16"/>
      <c r="W853" s="16"/>
      <c r="X853" s="16"/>
      <c r="Y853" s="16"/>
    </row>
    <row r="854" spans="1:25" ht="12" customHeight="1">
      <c r="A854" s="22"/>
      <c r="B854" s="89"/>
      <c r="C854" s="89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16"/>
      <c r="R854" s="16"/>
      <c r="S854" s="16"/>
      <c r="T854" s="16"/>
      <c r="U854" s="16"/>
      <c r="V854" s="16"/>
      <c r="W854" s="16"/>
      <c r="X854" s="16"/>
      <c r="Y854" s="16"/>
    </row>
    <row r="855" spans="1:25" ht="12" customHeight="1">
      <c r="A855" s="22"/>
      <c r="B855" s="89"/>
      <c r="C855" s="89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16"/>
      <c r="R855" s="16"/>
      <c r="S855" s="16"/>
      <c r="T855" s="16"/>
      <c r="U855" s="16"/>
      <c r="V855" s="16"/>
      <c r="W855" s="16"/>
      <c r="X855" s="16"/>
      <c r="Y855" s="16"/>
    </row>
    <row r="856" spans="1:25" ht="12" customHeight="1">
      <c r="A856" s="22"/>
      <c r="B856" s="89"/>
      <c r="C856" s="89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16"/>
      <c r="R856" s="16"/>
      <c r="S856" s="16"/>
      <c r="T856" s="16"/>
      <c r="U856" s="16"/>
      <c r="V856" s="16"/>
      <c r="W856" s="16"/>
      <c r="X856" s="16"/>
      <c r="Y856" s="16"/>
    </row>
    <row r="857" spans="1:25" ht="12" customHeight="1">
      <c r="A857" s="22"/>
      <c r="B857" s="89"/>
      <c r="C857" s="89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16"/>
      <c r="R857" s="16"/>
      <c r="S857" s="16"/>
      <c r="T857" s="16"/>
      <c r="U857" s="16"/>
      <c r="V857" s="16"/>
      <c r="W857" s="16"/>
      <c r="X857" s="16"/>
      <c r="Y857" s="16"/>
    </row>
    <row r="858" spans="1:25" ht="12" customHeight="1">
      <c r="A858" s="22"/>
      <c r="B858" s="89"/>
      <c r="C858" s="89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16"/>
      <c r="R858" s="16"/>
      <c r="S858" s="16"/>
      <c r="T858" s="16"/>
      <c r="U858" s="16"/>
      <c r="V858" s="16"/>
      <c r="W858" s="16"/>
      <c r="X858" s="16"/>
      <c r="Y858" s="16"/>
    </row>
    <row r="859" spans="1:25" ht="12" customHeight="1">
      <c r="A859" s="22"/>
      <c r="B859" s="89"/>
      <c r="C859" s="89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16"/>
      <c r="R859" s="16"/>
      <c r="S859" s="16"/>
      <c r="T859" s="16"/>
      <c r="U859" s="16"/>
      <c r="V859" s="16"/>
      <c r="W859" s="16"/>
      <c r="X859" s="16"/>
      <c r="Y859" s="16"/>
    </row>
    <row r="860" spans="1:25" ht="12" customHeight="1">
      <c r="A860" s="22"/>
      <c r="B860" s="89"/>
      <c r="C860" s="89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16"/>
      <c r="R860" s="16"/>
      <c r="S860" s="16"/>
      <c r="T860" s="16"/>
      <c r="U860" s="16"/>
      <c r="V860" s="16"/>
      <c r="W860" s="16"/>
      <c r="X860" s="16"/>
      <c r="Y860" s="16"/>
    </row>
    <row r="861" spans="1:25" ht="12" customHeight="1">
      <c r="A861" s="22"/>
      <c r="B861" s="89"/>
      <c r="C861" s="89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16"/>
      <c r="R861" s="16"/>
      <c r="S861" s="16"/>
      <c r="T861" s="16"/>
      <c r="U861" s="16"/>
      <c r="V861" s="16"/>
      <c r="W861" s="16"/>
      <c r="X861" s="16"/>
      <c r="Y861" s="16"/>
    </row>
    <row r="862" spans="1:25" ht="12" customHeight="1">
      <c r="A862" s="22"/>
      <c r="B862" s="89"/>
      <c r="C862" s="89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16"/>
      <c r="R862" s="16"/>
      <c r="S862" s="16"/>
      <c r="T862" s="16"/>
      <c r="U862" s="16"/>
      <c r="V862" s="16"/>
      <c r="W862" s="16"/>
      <c r="X862" s="16"/>
      <c r="Y862" s="16"/>
    </row>
    <row r="863" spans="1:25" ht="12" customHeight="1">
      <c r="A863" s="22"/>
      <c r="B863" s="89"/>
      <c r="C863" s="89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16"/>
      <c r="R863" s="16"/>
      <c r="S863" s="16"/>
      <c r="T863" s="16"/>
      <c r="U863" s="16"/>
      <c r="V863" s="16"/>
      <c r="W863" s="16"/>
      <c r="X863" s="16"/>
      <c r="Y863" s="16"/>
    </row>
    <row r="864" spans="1:25" ht="12" customHeight="1">
      <c r="A864" s="22"/>
      <c r="B864" s="89"/>
      <c r="C864" s="89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16"/>
      <c r="R864" s="16"/>
      <c r="S864" s="16"/>
      <c r="T864" s="16"/>
      <c r="U864" s="16"/>
      <c r="V864" s="16"/>
      <c r="W864" s="16"/>
      <c r="X864" s="16"/>
      <c r="Y864" s="16"/>
    </row>
    <row r="865" spans="1:25" ht="12" customHeight="1">
      <c r="A865" s="22"/>
      <c r="B865" s="89"/>
      <c r="C865" s="89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16"/>
      <c r="R865" s="16"/>
      <c r="S865" s="16"/>
      <c r="T865" s="16"/>
      <c r="U865" s="16"/>
      <c r="V865" s="16"/>
      <c r="W865" s="16"/>
      <c r="X865" s="16"/>
      <c r="Y865" s="16"/>
    </row>
    <row r="866" spans="1:25" ht="12" customHeight="1">
      <c r="A866" s="22"/>
      <c r="B866" s="89"/>
      <c r="C866" s="89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16"/>
      <c r="R866" s="16"/>
      <c r="S866" s="16"/>
      <c r="T866" s="16"/>
      <c r="U866" s="16"/>
      <c r="V866" s="16"/>
      <c r="W866" s="16"/>
      <c r="X866" s="16"/>
      <c r="Y866" s="16"/>
    </row>
    <row r="867" spans="1:25" ht="12" customHeight="1">
      <c r="A867" s="22"/>
      <c r="B867" s="89"/>
      <c r="C867" s="89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16"/>
      <c r="R867" s="16"/>
      <c r="S867" s="16"/>
      <c r="T867" s="16"/>
      <c r="U867" s="16"/>
      <c r="V867" s="16"/>
      <c r="W867" s="16"/>
      <c r="X867" s="16"/>
      <c r="Y867" s="16"/>
    </row>
    <row r="868" spans="1:25" ht="12" customHeight="1">
      <c r="A868" s="22"/>
      <c r="B868" s="89"/>
      <c r="C868" s="89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16"/>
      <c r="R868" s="16"/>
      <c r="S868" s="16"/>
      <c r="T868" s="16"/>
      <c r="U868" s="16"/>
      <c r="V868" s="16"/>
      <c r="W868" s="16"/>
      <c r="X868" s="16"/>
      <c r="Y868" s="16"/>
    </row>
    <row r="869" spans="1:25" ht="12" customHeight="1">
      <c r="A869" s="22"/>
      <c r="B869" s="89"/>
      <c r="C869" s="89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16"/>
      <c r="R869" s="16"/>
      <c r="S869" s="16"/>
      <c r="T869" s="16"/>
      <c r="U869" s="16"/>
      <c r="V869" s="16"/>
      <c r="W869" s="16"/>
      <c r="X869" s="16"/>
      <c r="Y869" s="16"/>
    </row>
    <row r="870" spans="1:25" ht="12" customHeight="1">
      <c r="A870" s="22"/>
      <c r="B870" s="89"/>
      <c r="C870" s="89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16"/>
      <c r="R870" s="16"/>
      <c r="S870" s="16"/>
      <c r="T870" s="16"/>
      <c r="U870" s="16"/>
      <c r="V870" s="16"/>
      <c r="W870" s="16"/>
      <c r="X870" s="16"/>
      <c r="Y870" s="16"/>
    </row>
    <row r="871" spans="1:25" ht="12" customHeight="1">
      <c r="A871" s="22"/>
      <c r="B871" s="89"/>
      <c r="C871" s="89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16"/>
      <c r="R871" s="16"/>
      <c r="S871" s="16"/>
      <c r="T871" s="16"/>
      <c r="U871" s="16"/>
      <c r="V871" s="16"/>
      <c r="W871" s="16"/>
      <c r="X871" s="16"/>
      <c r="Y871" s="16"/>
    </row>
    <row r="872" spans="1:25" ht="12" customHeight="1">
      <c r="A872" s="22"/>
      <c r="B872" s="89"/>
      <c r="C872" s="89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16"/>
      <c r="R872" s="16"/>
      <c r="S872" s="16"/>
      <c r="T872" s="16"/>
      <c r="U872" s="16"/>
      <c r="V872" s="16"/>
      <c r="W872" s="16"/>
      <c r="X872" s="16"/>
      <c r="Y872" s="16"/>
    </row>
    <row r="873" spans="1:25" ht="12" customHeight="1">
      <c r="A873" s="22"/>
      <c r="B873" s="89"/>
      <c r="C873" s="89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16"/>
      <c r="R873" s="16"/>
      <c r="S873" s="16"/>
      <c r="T873" s="16"/>
      <c r="U873" s="16"/>
      <c r="V873" s="16"/>
      <c r="W873" s="16"/>
      <c r="X873" s="16"/>
      <c r="Y873" s="16"/>
    </row>
    <row r="874" spans="1:25" ht="12" customHeight="1">
      <c r="A874" s="22"/>
      <c r="B874" s="89"/>
      <c r="C874" s="89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16"/>
      <c r="R874" s="16"/>
      <c r="S874" s="16"/>
      <c r="T874" s="16"/>
      <c r="U874" s="16"/>
      <c r="V874" s="16"/>
      <c r="W874" s="16"/>
      <c r="X874" s="16"/>
      <c r="Y874" s="16"/>
    </row>
    <row r="875" spans="1:25" ht="12" customHeight="1">
      <c r="A875" s="22"/>
      <c r="B875" s="89"/>
      <c r="C875" s="89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16"/>
      <c r="R875" s="16"/>
      <c r="S875" s="16"/>
      <c r="T875" s="16"/>
      <c r="U875" s="16"/>
      <c r="V875" s="16"/>
      <c r="W875" s="16"/>
      <c r="X875" s="16"/>
      <c r="Y875" s="16"/>
    </row>
    <row r="876" spans="1:25" ht="12" customHeight="1">
      <c r="A876" s="22"/>
      <c r="B876" s="89"/>
      <c r="C876" s="89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16"/>
      <c r="R876" s="16"/>
      <c r="S876" s="16"/>
      <c r="T876" s="16"/>
      <c r="U876" s="16"/>
      <c r="V876" s="16"/>
      <c r="W876" s="16"/>
      <c r="X876" s="16"/>
      <c r="Y876" s="16"/>
    </row>
    <row r="877" spans="1:25" ht="12" customHeight="1">
      <c r="A877" s="22"/>
      <c r="B877" s="89"/>
      <c r="C877" s="89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16"/>
      <c r="R877" s="16"/>
      <c r="S877" s="16"/>
      <c r="T877" s="16"/>
      <c r="U877" s="16"/>
      <c r="V877" s="16"/>
      <c r="W877" s="16"/>
      <c r="X877" s="16"/>
      <c r="Y877" s="16"/>
    </row>
    <row r="878" spans="1:25" ht="12" customHeight="1">
      <c r="A878" s="22"/>
      <c r="B878" s="89"/>
      <c r="C878" s="89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16"/>
      <c r="R878" s="16"/>
      <c r="S878" s="16"/>
      <c r="T878" s="16"/>
      <c r="U878" s="16"/>
      <c r="V878" s="16"/>
      <c r="W878" s="16"/>
      <c r="X878" s="16"/>
      <c r="Y878" s="16"/>
    </row>
    <row r="879" spans="1:25" ht="12" customHeight="1">
      <c r="A879" s="22"/>
      <c r="B879" s="89"/>
      <c r="C879" s="89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16"/>
      <c r="R879" s="16"/>
      <c r="S879" s="16"/>
      <c r="T879" s="16"/>
      <c r="U879" s="16"/>
      <c r="V879" s="16"/>
      <c r="W879" s="16"/>
      <c r="X879" s="16"/>
      <c r="Y879" s="16"/>
    </row>
    <row r="880" spans="1:25" ht="12" customHeight="1">
      <c r="A880" s="22"/>
      <c r="B880" s="89"/>
      <c r="C880" s="89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16"/>
      <c r="R880" s="16"/>
      <c r="S880" s="16"/>
      <c r="T880" s="16"/>
      <c r="U880" s="16"/>
      <c r="V880" s="16"/>
      <c r="W880" s="16"/>
      <c r="X880" s="16"/>
      <c r="Y880" s="16"/>
    </row>
    <row r="881" spans="1:25" ht="12" customHeight="1">
      <c r="A881" s="22"/>
      <c r="B881" s="89"/>
      <c r="C881" s="89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16"/>
      <c r="R881" s="16"/>
      <c r="S881" s="16"/>
      <c r="T881" s="16"/>
      <c r="U881" s="16"/>
      <c r="V881" s="16"/>
      <c r="W881" s="16"/>
      <c r="X881" s="16"/>
      <c r="Y881" s="16"/>
    </row>
    <row r="882" spans="1:25" ht="12" customHeight="1">
      <c r="A882" s="22"/>
      <c r="B882" s="89"/>
      <c r="C882" s="89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16"/>
      <c r="R882" s="16"/>
      <c r="S882" s="16"/>
      <c r="T882" s="16"/>
      <c r="U882" s="16"/>
      <c r="V882" s="16"/>
      <c r="W882" s="16"/>
      <c r="X882" s="16"/>
      <c r="Y882" s="16"/>
    </row>
    <row r="883" spans="1:25" ht="12" customHeight="1">
      <c r="A883" s="22"/>
      <c r="B883" s="89"/>
      <c r="C883" s="89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16"/>
      <c r="R883" s="16"/>
      <c r="S883" s="16"/>
      <c r="T883" s="16"/>
      <c r="U883" s="16"/>
      <c r="V883" s="16"/>
      <c r="W883" s="16"/>
      <c r="X883" s="16"/>
      <c r="Y883" s="16"/>
    </row>
    <row r="884" spans="1:25" ht="12" customHeight="1">
      <c r="A884" s="22"/>
      <c r="B884" s="89"/>
      <c r="C884" s="89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16"/>
      <c r="R884" s="16"/>
      <c r="S884" s="16"/>
      <c r="T884" s="16"/>
      <c r="U884" s="16"/>
      <c r="V884" s="16"/>
      <c r="W884" s="16"/>
      <c r="X884" s="16"/>
      <c r="Y884" s="16"/>
    </row>
    <row r="885" spans="1:25" ht="12" customHeight="1">
      <c r="A885" s="22"/>
      <c r="B885" s="89"/>
      <c r="C885" s="89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16"/>
      <c r="R885" s="16"/>
      <c r="S885" s="16"/>
      <c r="T885" s="16"/>
      <c r="U885" s="16"/>
      <c r="V885" s="16"/>
      <c r="W885" s="16"/>
      <c r="X885" s="16"/>
      <c r="Y885" s="16"/>
    </row>
    <row r="886" spans="1:25" ht="12" customHeight="1">
      <c r="A886" s="22"/>
      <c r="B886" s="89"/>
      <c r="C886" s="89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16"/>
      <c r="R886" s="16"/>
      <c r="S886" s="16"/>
      <c r="T886" s="16"/>
      <c r="U886" s="16"/>
      <c r="V886" s="16"/>
      <c r="W886" s="16"/>
      <c r="X886" s="16"/>
      <c r="Y886" s="16"/>
    </row>
    <row r="887" spans="1:25" ht="12" customHeight="1">
      <c r="A887" s="22"/>
      <c r="B887" s="89"/>
      <c r="C887" s="89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16"/>
      <c r="R887" s="16"/>
      <c r="S887" s="16"/>
      <c r="T887" s="16"/>
      <c r="U887" s="16"/>
      <c r="V887" s="16"/>
      <c r="W887" s="16"/>
      <c r="X887" s="16"/>
      <c r="Y887" s="16"/>
    </row>
    <row r="888" spans="1:25" ht="12" customHeight="1">
      <c r="A888" s="22"/>
      <c r="B888" s="89"/>
      <c r="C888" s="89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16"/>
      <c r="R888" s="16"/>
      <c r="S888" s="16"/>
      <c r="T888" s="16"/>
      <c r="U888" s="16"/>
      <c r="V888" s="16"/>
      <c r="W888" s="16"/>
      <c r="X888" s="16"/>
      <c r="Y888" s="16"/>
    </row>
    <row r="889" spans="1:25" ht="12" customHeight="1">
      <c r="A889" s="22"/>
      <c r="B889" s="89"/>
      <c r="C889" s="89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16"/>
      <c r="R889" s="16"/>
      <c r="S889" s="16"/>
      <c r="T889" s="16"/>
      <c r="U889" s="16"/>
      <c r="V889" s="16"/>
      <c r="W889" s="16"/>
      <c r="X889" s="16"/>
      <c r="Y889" s="16"/>
    </row>
    <row r="890" spans="1:25" ht="12" customHeight="1">
      <c r="A890" s="22"/>
      <c r="B890" s="89"/>
      <c r="C890" s="89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16"/>
      <c r="R890" s="16"/>
      <c r="S890" s="16"/>
      <c r="T890" s="16"/>
      <c r="U890" s="16"/>
      <c r="V890" s="16"/>
      <c r="W890" s="16"/>
      <c r="X890" s="16"/>
      <c r="Y890" s="16"/>
    </row>
    <row r="891" spans="1:25" ht="12" customHeight="1">
      <c r="A891" s="22"/>
      <c r="B891" s="89"/>
      <c r="C891" s="89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16"/>
      <c r="R891" s="16"/>
      <c r="S891" s="16"/>
      <c r="T891" s="16"/>
      <c r="U891" s="16"/>
      <c r="V891" s="16"/>
      <c r="W891" s="16"/>
      <c r="X891" s="16"/>
      <c r="Y891" s="16"/>
    </row>
    <row r="892" spans="1:25" ht="12" customHeight="1">
      <c r="A892" s="22"/>
      <c r="B892" s="89"/>
      <c r="C892" s="89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16"/>
      <c r="R892" s="16"/>
      <c r="S892" s="16"/>
      <c r="T892" s="16"/>
      <c r="U892" s="16"/>
      <c r="V892" s="16"/>
      <c r="W892" s="16"/>
      <c r="X892" s="16"/>
      <c r="Y892" s="16"/>
    </row>
    <row r="893" spans="1:25" ht="12" customHeight="1">
      <c r="A893" s="22"/>
      <c r="B893" s="89"/>
      <c r="C893" s="89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16"/>
      <c r="R893" s="16"/>
      <c r="S893" s="16"/>
      <c r="T893" s="16"/>
      <c r="U893" s="16"/>
      <c r="V893" s="16"/>
      <c r="W893" s="16"/>
      <c r="X893" s="16"/>
      <c r="Y893" s="16"/>
    </row>
    <row r="894" spans="1:25" ht="12" customHeight="1">
      <c r="A894" s="22"/>
      <c r="B894" s="89"/>
      <c r="C894" s="89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16"/>
      <c r="R894" s="16"/>
      <c r="S894" s="16"/>
      <c r="T894" s="16"/>
      <c r="U894" s="16"/>
      <c r="V894" s="16"/>
      <c r="W894" s="16"/>
      <c r="X894" s="16"/>
      <c r="Y894" s="16"/>
    </row>
    <row r="895" spans="1:25" ht="12" customHeight="1">
      <c r="A895" s="22"/>
      <c r="B895" s="89"/>
      <c r="C895" s="89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16"/>
      <c r="R895" s="16"/>
      <c r="S895" s="16"/>
      <c r="T895" s="16"/>
      <c r="U895" s="16"/>
      <c r="V895" s="16"/>
      <c r="W895" s="16"/>
      <c r="X895" s="16"/>
      <c r="Y895" s="16"/>
    </row>
    <row r="896" spans="1:25" ht="12" customHeight="1">
      <c r="A896" s="22"/>
      <c r="B896" s="89"/>
      <c r="C896" s="89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16"/>
      <c r="R896" s="16"/>
      <c r="S896" s="16"/>
      <c r="T896" s="16"/>
      <c r="U896" s="16"/>
      <c r="V896" s="16"/>
      <c r="W896" s="16"/>
      <c r="X896" s="16"/>
      <c r="Y896" s="16"/>
    </row>
    <row r="897" spans="1:25" ht="12" customHeight="1">
      <c r="A897" s="22"/>
      <c r="B897" s="89"/>
      <c r="C897" s="89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16"/>
      <c r="R897" s="16"/>
      <c r="S897" s="16"/>
      <c r="T897" s="16"/>
      <c r="U897" s="16"/>
      <c r="V897" s="16"/>
      <c r="W897" s="16"/>
      <c r="X897" s="16"/>
      <c r="Y897" s="16"/>
    </row>
    <row r="898" spans="1:25" ht="12" customHeight="1">
      <c r="A898" s="22"/>
      <c r="B898" s="89"/>
      <c r="C898" s="89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16"/>
      <c r="R898" s="16"/>
      <c r="S898" s="16"/>
      <c r="T898" s="16"/>
      <c r="U898" s="16"/>
      <c r="V898" s="16"/>
      <c r="W898" s="16"/>
      <c r="X898" s="16"/>
      <c r="Y898" s="16"/>
    </row>
    <row r="899" spans="1:25" ht="12" customHeight="1">
      <c r="A899" s="22"/>
      <c r="B899" s="89"/>
      <c r="C899" s="89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16"/>
      <c r="R899" s="16"/>
      <c r="S899" s="16"/>
      <c r="T899" s="16"/>
      <c r="U899" s="16"/>
      <c r="V899" s="16"/>
      <c r="W899" s="16"/>
      <c r="X899" s="16"/>
      <c r="Y899" s="16"/>
    </row>
    <row r="900" spans="1:25" ht="12" customHeight="1">
      <c r="A900" s="22"/>
      <c r="B900" s="89"/>
      <c r="C900" s="89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16"/>
      <c r="R900" s="16"/>
      <c r="S900" s="16"/>
      <c r="T900" s="16"/>
      <c r="U900" s="16"/>
      <c r="V900" s="16"/>
      <c r="W900" s="16"/>
      <c r="X900" s="16"/>
      <c r="Y900" s="16"/>
    </row>
    <row r="901" spans="1:25" ht="12" customHeight="1">
      <c r="A901" s="22"/>
      <c r="B901" s="89"/>
      <c r="C901" s="89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16"/>
      <c r="R901" s="16"/>
      <c r="S901" s="16"/>
      <c r="T901" s="16"/>
      <c r="U901" s="16"/>
      <c r="V901" s="16"/>
      <c r="W901" s="16"/>
      <c r="X901" s="16"/>
      <c r="Y901" s="16"/>
    </row>
    <row r="902" spans="1:25" ht="12" customHeight="1">
      <c r="A902" s="22"/>
      <c r="B902" s="89"/>
      <c r="C902" s="89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16"/>
      <c r="R902" s="16"/>
      <c r="S902" s="16"/>
      <c r="T902" s="16"/>
      <c r="U902" s="16"/>
      <c r="V902" s="16"/>
      <c r="W902" s="16"/>
      <c r="X902" s="16"/>
      <c r="Y902" s="16"/>
    </row>
    <row r="903" spans="1:25" ht="12" customHeight="1">
      <c r="A903" s="22"/>
      <c r="B903" s="89"/>
      <c r="C903" s="89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16"/>
      <c r="R903" s="16"/>
      <c r="S903" s="16"/>
      <c r="T903" s="16"/>
      <c r="U903" s="16"/>
      <c r="V903" s="16"/>
      <c r="W903" s="16"/>
      <c r="X903" s="16"/>
      <c r="Y903" s="16"/>
    </row>
    <row r="904" spans="1:25" ht="12" customHeight="1">
      <c r="A904" s="22"/>
      <c r="B904" s="89"/>
      <c r="C904" s="89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16"/>
      <c r="R904" s="16"/>
      <c r="S904" s="16"/>
      <c r="T904" s="16"/>
      <c r="U904" s="16"/>
      <c r="V904" s="16"/>
      <c r="W904" s="16"/>
      <c r="X904" s="16"/>
      <c r="Y904" s="16"/>
    </row>
    <row r="905" spans="1:25" ht="12" customHeight="1">
      <c r="A905" s="22"/>
      <c r="B905" s="89"/>
      <c r="C905" s="89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16"/>
      <c r="R905" s="16"/>
      <c r="S905" s="16"/>
      <c r="T905" s="16"/>
      <c r="U905" s="16"/>
      <c r="V905" s="16"/>
      <c r="W905" s="16"/>
      <c r="X905" s="16"/>
      <c r="Y905" s="16"/>
    </row>
    <row r="906" spans="1:25" ht="12" customHeight="1">
      <c r="A906" s="22"/>
      <c r="B906" s="89"/>
      <c r="C906" s="89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16"/>
      <c r="R906" s="16"/>
      <c r="S906" s="16"/>
      <c r="T906" s="16"/>
      <c r="U906" s="16"/>
      <c r="V906" s="16"/>
      <c r="W906" s="16"/>
      <c r="X906" s="16"/>
      <c r="Y906" s="16"/>
    </row>
    <row r="907" spans="1:25" ht="12" customHeight="1">
      <c r="A907" s="22"/>
      <c r="B907" s="89"/>
      <c r="C907" s="89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16"/>
      <c r="R907" s="16"/>
      <c r="S907" s="16"/>
      <c r="T907" s="16"/>
      <c r="U907" s="16"/>
      <c r="V907" s="16"/>
      <c r="W907" s="16"/>
      <c r="X907" s="16"/>
      <c r="Y907" s="16"/>
    </row>
    <row r="908" spans="1:25" ht="12" customHeight="1">
      <c r="A908" s="22"/>
      <c r="B908" s="89"/>
      <c r="C908" s="89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16"/>
      <c r="R908" s="16"/>
      <c r="S908" s="16"/>
      <c r="T908" s="16"/>
      <c r="U908" s="16"/>
      <c r="V908" s="16"/>
      <c r="W908" s="16"/>
      <c r="X908" s="16"/>
      <c r="Y908" s="16"/>
    </row>
    <row r="909" spans="1:25" ht="12" customHeight="1">
      <c r="A909" s="22"/>
      <c r="B909" s="89"/>
      <c r="C909" s="89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16"/>
      <c r="R909" s="16"/>
      <c r="S909" s="16"/>
      <c r="T909" s="16"/>
      <c r="U909" s="16"/>
      <c r="V909" s="16"/>
      <c r="W909" s="16"/>
      <c r="X909" s="16"/>
      <c r="Y909" s="16"/>
    </row>
    <row r="910" spans="1:25" ht="12" customHeight="1">
      <c r="A910" s="22"/>
      <c r="B910" s="89"/>
      <c r="C910" s="89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16"/>
      <c r="R910" s="16"/>
      <c r="S910" s="16"/>
      <c r="T910" s="16"/>
      <c r="U910" s="16"/>
      <c r="V910" s="16"/>
      <c r="W910" s="16"/>
      <c r="X910" s="16"/>
      <c r="Y910" s="16"/>
    </row>
    <row r="911" spans="1:25" ht="12" customHeight="1">
      <c r="A911" s="22"/>
      <c r="B911" s="89"/>
      <c r="C911" s="89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16"/>
      <c r="R911" s="16"/>
      <c r="S911" s="16"/>
      <c r="T911" s="16"/>
      <c r="U911" s="16"/>
      <c r="V911" s="16"/>
      <c r="W911" s="16"/>
      <c r="X911" s="16"/>
      <c r="Y911" s="16"/>
    </row>
    <row r="912" spans="1:25" ht="12" customHeight="1">
      <c r="A912" s="22"/>
      <c r="B912" s="89"/>
      <c r="C912" s="89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16"/>
      <c r="R912" s="16"/>
      <c r="S912" s="16"/>
      <c r="T912" s="16"/>
      <c r="U912" s="16"/>
      <c r="V912" s="16"/>
      <c r="W912" s="16"/>
      <c r="X912" s="16"/>
      <c r="Y912" s="16"/>
    </row>
    <row r="913" spans="1:25" ht="12" customHeight="1">
      <c r="A913" s="22"/>
      <c r="B913" s="89"/>
      <c r="C913" s="89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16"/>
      <c r="R913" s="16"/>
      <c r="S913" s="16"/>
      <c r="T913" s="16"/>
      <c r="U913" s="16"/>
      <c r="V913" s="16"/>
      <c r="W913" s="16"/>
      <c r="X913" s="16"/>
      <c r="Y913" s="16"/>
    </row>
    <row r="914" spans="1:25" ht="12" customHeight="1">
      <c r="A914" s="22"/>
      <c r="B914" s="89"/>
      <c r="C914" s="89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16"/>
      <c r="R914" s="16"/>
      <c r="S914" s="16"/>
      <c r="T914" s="16"/>
      <c r="U914" s="16"/>
      <c r="V914" s="16"/>
      <c r="W914" s="16"/>
      <c r="X914" s="16"/>
      <c r="Y914" s="16"/>
    </row>
    <row r="915" spans="1:25" ht="12" customHeight="1">
      <c r="A915" s="22"/>
      <c r="B915" s="89"/>
      <c r="C915" s="89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16"/>
      <c r="R915" s="16"/>
      <c r="S915" s="16"/>
      <c r="T915" s="16"/>
      <c r="U915" s="16"/>
      <c r="V915" s="16"/>
      <c r="W915" s="16"/>
      <c r="X915" s="16"/>
      <c r="Y915" s="16"/>
    </row>
    <row r="916" spans="1:25" ht="12" customHeight="1">
      <c r="A916" s="22"/>
      <c r="B916" s="89"/>
      <c r="C916" s="89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16"/>
      <c r="R916" s="16"/>
      <c r="S916" s="16"/>
      <c r="T916" s="16"/>
      <c r="U916" s="16"/>
      <c r="V916" s="16"/>
      <c r="W916" s="16"/>
      <c r="X916" s="16"/>
      <c r="Y916" s="16"/>
    </row>
    <row r="917" spans="1:25" ht="12" customHeight="1">
      <c r="A917" s="22"/>
      <c r="B917" s="89"/>
      <c r="C917" s="89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16"/>
      <c r="R917" s="16"/>
      <c r="S917" s="16"/>
      <c r="T917" s="16"/>
      <c r="U917" s="16"/>
      <c r="V917" s="16"/>
      <c r="W917" s="16"/>
      <c r="X917" s="16"/>
      <c r="Y917" s="16"/>
    </row>
    <row r="918" spans="1:25" ht="12" customHeight="1">
      <c r="A918" s="22"/>
      <c r="B918" s="89"/>
      <c r="C918" s="89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16"/>
      <c r="R918" s="16"/>
      <c r="S918" s="16"/>
      <c r="T918" s="16"/>
      <c r="U918" s="16"/>
      <c r="V918" s="16"/>
      <c r="W918" s="16"/>
      <c r="X918" s="16"/>
      <c r="Y918" s="16"/>
    </row>
    <row r="919" spans="1:25" ht="12" customHeight="1">
      <c r="A919" s="22"/>
      <c r="B919" s="89"/>
      <c r="C919" s="89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16"/>
      <c r="R919" s="16"/>
      <c r="S919" s="16"/>
      <c r="T919" s="16"/>
      <c r="U919" s="16"/>
      <c r="V919" s="16"/>
      <c r="W919" s="16"/>
      <c r="X919" s="16"/>
      <c r="Y919" s="16"/>
    </row>
    <row r="920" spans="1:25" ht="12" customHeight="1">
      <c r="A920" s="22"/>
      <c r="B920" s="89"/>
      <c r="C920" s="89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16"/>
      <c r="R920" s="16"/>
      <c r="S920" s="16"/>
      <c r="T920" s="16"/>
      <c r="U920" s="16"/>
      <c r="V920" s="16"/>
      <c r="W920" s="16"/>
      <c r="X920" s="16"/>
      <c r="Y920" s="16"/>
    </row>
    <row r="921" spans="1:25" ht="12" customHeight="1">
      <c r="A921" s="22"/>
      <c r="B921" s="89"/>
      <c r="C921" s="89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16"/>
      <c r="R921" s="16"/>
      <c r="S921" s="16"/>
      <c r="T921" s="16"/>
      <c r="U921" s="16"/>
      <c r="V921" s="16"/>
      <c r="W921" s="16"/>
      <c r="X921" s="16"/>
      <c r="Y921" s="16"/>
    </row>
    <row r="922" spans="1:25" ht="12" customHeight="1">
      <c r="A922" s="22"/>
      <c r="B922" s="89"/>
      <c r="C922" s="89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16"/>
      <c r="R922" s="16"/>
      <c r="S922" s="16"/>
      <c r="T922" s="16"/>
      <c r="U922" s="16"/>
      <c r="V922" s="16"/>
      <c r="W922" s="16"/>
      <c r="X922" s="16"/>
      <c r="Y922" s="16"/>
    </row>
    <row r="923" spans="1:25" ht="12" customHeight="1">
      <c r="A923" s="22"/>
      <c r="B923" s="89"/>
      <c r="C923" s="89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16"/>
      <c r="R923" s="16"/>
      <c r="S923" s="16"/>
      <c r="T923" s="16"/>
      <c r="U923" s="16"/>
      <c r="V923" s="16"/>
      <c r="W923" s="16"/>
      <c r="X923" s="16"/>
      <c r="Y923" s="16"/>
    </row>
    <row r="924" spans="1:25" ht="12" customHeight="1">
      <c r="A924" s="22"/>
      <c r="B924" s="89"/>
      <c r="C924" s="89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16"/>
      <c r="R924" s="16"/>
      <c r="S924" s="16"/>
      <c r="T924" s="16"/>
      <c r="U924" s="16"/>
      <c r="V924" s="16"/>
      <c r="W924" s="16"/>
      <c r="X924" s="16"/>
      <c r="Y924" s="16"/>
    </row>
    <row r="925" spans="1:25" ht="12" customHeight="1">
      <c r="A925" s="22"/>
      <c r="B925" s="89"/>
      <c r="C925" s="89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16"/>
      <c r="R925" s="16"/>
      <c r="S925" s="16"/>
      <c r="T925" s="16"/>
      <c r="U925" s="16"/>
      <c r="V925" s="16"/>
      <c r="W925" s="16"/>
      <c r="X925" s="16"/>
      <c r="Y925" s="16"/>
    </row>
    <row r="926" spans="1:25" ht="12" customHeight="1">
      <c r="A926" s="22"/>
      <c r="B926" s="89"/>
      <c r="C926" s="89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16"/>
      <c r="R926" s="16"/>
      <c r="S926" s="16"/>
      <c r="T926" s="16"/>
      <c r="U926" s="16"/>
      <c r="V926" s="16"/>
      <c r="W926" s="16"/>
      <c r="X926" s="16"/>
      <c r="Y926" s="16"/>
    </row>
    <row r="927" spans="1:25" ht="12" customHeight="1">
      <c r="A927" s="22"/>
      <c r="B927" s="89"/>
      <c r="C927" s="89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16"/>
      <c r="R927" s="16"/>
      <c r="S927" s="16"/>
      <c r="T927" s="16"/>
      <c r="U927" s="16"/>
      <c r="V927" s="16"/>
      <c r="W927" s="16"/>
      <c r="X927" s="16"/>
      <c r="Y927" s="16"/>
    </row>
    <row r="928" spans="1:25" ht="12" customHeight="1">
      <c r="A928" s="22"/>
      <c r="B928" s="89"/>
      <c r="C928" s="89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16"/>
      <c r="R928" s="16"/>
      <c r="S928" s="16"/>
      <c r="T928" s="16"/>
      <c r="U928" s="16"/>
      <c r="V928" s="16"/>
      <c r="W928" s="16"/>
      <c r="X928" s="16"/>
      <c r="Y928" s="16"/>
    </row>
    <row r="929" spans="1:25" ht="12" customHeight="1">
      <c r="A929" s="22"/>
      <c r="B929" s="89"/>
      <c r="C929" s="89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16"/>
      <c r="R929" s="16"/>
      <c r="S929" s="16"/>
      <c r="T929" s="16"/>
      <c r="U929" s="16"/>
      <c r="V929" s="16"/>
      <c r="W929" s="16"/>
      <c r="X929" s="16"/>
      <c r="Y929" s="16"/>
    </row>
    <row r="930" spans="1:25" ht="12" customHeight="1">
      <c r="A930" s="22"/>
      <c r="B930" s="89"/>
      <c r="C930" s="89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16"/>
      <c r="R930" s="16"/>
      <c r="S930" s="16"/>
      <c r="T930" s="16"/>
      <c r="U930" s="16"/>
      <c r="V930" s="16"/>
      <c r="W930" s="16"/>
      <c r="X930" s="16"/>
      <c r="Y930" s="16"/>
    </row>
    <row r="931" spans="1:25" ht="12" customHeight="1">
      <c r="A931" s="22"/>
      <c r="B931" s="89"/>
      <c r="C931" s="89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16"/>
      <c r="R931" s="16"/>
      <c r="S931" s="16"/>
      <c r="T931" s="16"/>
      <c r="U931" s="16"/>
      <c r="V931" s="16"/>
      <c r="W931" s="16"/>
      <c r="X931" s="16"/>
      <c r="Y931" s="16"/>
    </row>
    <row r="932" spans="1:25" ht="12" customHeight="1">
      <c r="A932" s="22"/>
      <c r="B932" s="89"/>
      <c r="C932" s="89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16"/>
      <c r="R932" s="16"/>
      <c r="S932" s="16"/>
      <c r="T932" s="16"/>
      <c r="U932" s="16"/>
      <c r="V932" s="16"/>
      <c r="W932" s="16"/>
      <c r="X932" s="16"/>
      <c r="Y932" s="16"/>
    </row>
    <row r="933" spans="1:25" ht="12" customHeight="1">
      <c r="A933" s="22"/>
      <c r="B933" s="89"/>
      <c r="C933" s="89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16"/>
      <c r="R933" s="16"/>
      <c r="S933" s="16"/>
      <c r="T933" s="16"/>
      <c r="U933" s="16"/>
      <c r="V933" s="16"/>
      <c r="W933" s="16"/>
      <c r="X933" s="16"/>
      <c r="Y933" s="16"/>
    </row>
    <row r="934" spans="1:25" ht="12" customHeight="1">
      <c r="A934" s="22"/>
      <c r="B934" s="89"/>
      <c r="C934" s="89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16"/>
      <c r="R934" s="16"/>
      <c r="S934" s="16"/>
      <c r="T934" s="16"/>
      <c r="U934" s="16"/>
      <c r="V934" s="16"/>
      <c r="W934" s="16"/>
      <c r="X934" s="16"/>
      <c r="Y934" s="16"/>
    </row>
    <row r="935" spans="1:25" ht="12" customHeight="1">
      <c r="A935" s="22"/>
      <c r="B935" s="89"/>
      <c r="C935" s="89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16"/>
      <c r="R935" s="16"/>
      <c r="S935" s="16"/>
      <c r="T935" s="16"/>
      <c r="U935" s="16"/>
      <c r="V935" s="16"/>
      <c r="W935" s="16"/>
      <c r="X935" s="16"/>
      <c r="Y935" s="16"/>
    </row>
    <row r="936" spans="1:25" ht="12" customHeight="1">
      <c r="A936" s="22"/>
      <c r="B936" s="89"/>
      <c r="C936" s="89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16"/>
      <c r="R936" s="16"/>
      <c r="S936" s="16"/>
      <c r="T936" s="16"/>
      <c r="U936" s="16"/>
      <c r="V936" s="16"/>
      <c r="W936" s="16"/>
      <c r="X936" s="16"/>
      <c r="Y936" s="16"/>
    </row>
    <row r="937" spans="1:25" ht="12" customHeight="1">
      <c r="A937" s="22"/>
      <c r="B937" s="89"/>
      <c r="C937" s="89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16"/>
      <c r="R937" s="16"/>
      <c r="S937" s="16"/>
      <c r="T937" s="16"/>
      <c r="U937" s="16"/>
      <c r="V937" s="16"/>
      <c r="W937" s="16"/>
      <c r="X937" s="16"/>
      <c r="Y937" s="16"/>
    </row>
    <row r="938" spans="1:25" ht="12" customHeight="1">
      <c r="A938" s="22"/>
      <c r="B938" s="89"/>
      <c r="C938" s="89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16"/>
      <c r="R938" s="16"/>
      <c r="S938" s="16"/>
      <c r="T938" s="16"/>
      <c r="U938" s="16"/>
      <c r="V938" s="16"/>
      <c r="W938" s="16"/>
      <c r="X938" s="16"/>
      <c r="Y938" s="16"/>
    </row>
    <row r="939" spans="1:25" ht="12" customHeight="1">
      <c r="A939" s="22"/>
      <c r="B939" s="89"/>
      <c r="C939" s="89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16"/>
      <c r="R939" s="16"/>
      <c r="S939" s="16"/>
      <c r="T939" s="16"/>
      <c r="U939" s="16"/>
      <c r="V939" s="16"/>
      <c r="W939" s="16"/>
      <c r="X939" s="16"/>
      <c r="Y939" s="16"/>
    </row>
    <row r="940" spans="1:25" ht="12" customHeight="1">
      <c r="A940" s="22"/>
      <c r="B940" s="89"/>
      <c r="C940" s="89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16"/>
      <c r="R940" s="16"/>
      <c r="S940" s="16"/>
      <c r="T940" s="16"/>
      <c r="U940" s="16"/>
      <c r="V940" s="16"/>
      <c r="W940" s="16"/>
      <c r="X940" s="16"/>
      <c r="Y940" s="16"/>
    </row>
    <row r="941" spans="1:25" ht="12" customHeight="1">
      <c r="A941" s="22"/>
      <c r="B941" s="89"/>
      <c r="C941" s="89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16"/>
      <c r="R941" s="16"/>
      <c r="S941" s="16"/>
      <c r="T941" s="16"/>
      <c r="U941" s="16"/>
      <c r="V941" s="16"/>
      <c r="W941" s="16"/>
      <c r="X941" s="16"/>
      <c r="Y941" s="16"/>
    </row>
    <row r="942" spans="1:25" ht="12" customHeight="1">
      <c r="A942" s="22"/>
      <c r="B942" s="89"/>
      <c r="C942" s="89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16"/>
      <c r="R942" s="16"/>
      <c r="S942" s="16"/>
      <c r="T942" s="16"/>
      <c r="U942" s="16"/>
      <c r="V942" s="16"/>
      <c r="W942" s="16"/>
      <c r="X942" s="16"/>
      <c r="Y942" s="16"/>
    </row>
    <row r="943" spans="1:25" ht="12" customHeight="1">
      <c r="A943" s="22"/>
      <c r="B943" s="89"/>
      <c r="C943" s="89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16"/>
      <c r="R943" s="16"/>
      <c r="S943" s="16"/>
      <c r="T943" s="16"/>
      <c r="U943" s="16"/>
      <c r="V943" s="16"/>
      <c r="W943" s="16"/>
      <c r="X943" s="16"/>
      <c r="Y943" s="16"/>
    </row>
    <row r="944" spans="1:25" ht="12" customHeight="1">
      <c r="A944" s="22"/>
      <c r="B944" s="89"/>
      <c r="C944" s="89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16"/>
      <c r="R944" s="16"/>
      <c r="S944" s="16"/>
      <c r="T944" s="16"/>
      <c r="U944" s="16"/>
      <c r="V944" s="16"/>
      <c r="W944" s="16"/>
      <c r="X944" s="16"/>
      <c r="Y944" s="16"/>
    </row>
    <row r="945" spans="1:25" ht="12" customHeight="1">
      <c r="A945" s="22"/>
      <c r="B945" s="89"/>
      <c r="C945" s="89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16"/>
      <c r="R945" s="16"/>
      <c r="S945" s="16"/>
      <c r="T945" s="16"/>
      <c r="U945" s="16"/>
      <c r="V945" s="16"/>
      <c r="W945" s="16"/>
      <c r="X945" s="16"/>
      <c r="Y945" s="16"/>
    </row>
    <row r="946" spans="1:25" ht="12" customHeight="1">
      <c r="A946" s="22"/>
      <c r="B946" s="89"/>
      <c r="C946" s="89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16"/>
      <c r="R946" s="16"/>
      <c r="S946" s="16"/>
      <c r="T946" s="16"/>
      <c r="U946" s="16"/>
      <c r="V946" s="16"/>
      <c r="W946" s="16"/>
      <c r="X946" s="16"/>
      <c r="Y946" s="16"/>
    </row>
    <row r="947" spans="1:25" ht="12" customHeight="1">
      <c r="A947" s="22"/>
      <c r="B947" s="89"/>
      <c r="C947" s="89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16"/>
      <c r="R947" s="16"/>
      <c r="S947" s="16"/>
      <c r="T947" s="16"/>
      <c r="U947" s="16"/>
      <c r="V947" s="16"/>
      <c r="W947" s="16"/>
      <c r="X947" s="16"/>
      <c r="Y947" s="16"/>
    </row>
    <row r="948" spans="1:25" ht="12" customHeight="1">
      <c r="A948" s="22"/>
      <c r="B948" s="89"/>
      <c r="C948" s="89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16"/>
      <c r="R948" s="16"/>
      <c r="S948" s="16"/>
      <c r="T948" s="16"/>
      <c r="U948" s="16"/>
      <c r="V948" s="16"/>
      <c r="W948" s="16"/>
      <c r="X948" s="16"/>
      <c r="Y948" s="16"/>
    </row>
    <row r="949" spans="1:25" ht="12" customHeight="1">
      <c r="A949" s="22"/>
      <c r="B949" s="89"/>
      <c r="C949" s="89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16"/>
      <c r="R949" s="16"/>
      <c r="S949" s="16"/>
      <c r="T949" s="16"/>
      <c r="U949" s="16"/>
      <c r="V949" s="16"/>
      <c r="W949" s="16"/>
      <c r="X949" s="16"/>
      <c r="Y949" s="16"/>
    </row>
    <row r="950" spans="1:25" ht="12" customHeight="1">
      <c r="A950" s="22"/>
      <c r="B950" s="89"/>
      <c r="C950" s="89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16"/>
      <c r="R950" s="16"/>
      <c r="S950" s="16"/>
      <c r="T950" s="16"/>
      <c r="U950" s="16"/>
      <c r="V950" s="16"/>
      <c r="W950" s="16"/>
      <c r="X950" s="16"/>
      <c r="Y950" s="16"/>
    </row>
  </sheetData>
  <mergeCells count="232">
    <mergeCell ref="Q10:S10"/>
    <mergeCell ref="B3:D3"/>
    <mergeCell ref="B4:D4"/>
    <mergeCell ref="B5:D5"/>
    <mergeCell ref="B6:D6"/>
    <mergeCell ref="A10:E10"/>
    <mergeCell ref="G10:J10"/>
    <mergeCell ref="K10:M10"/>
    <mergeCell ref="I16:J16"/>
    <mergeCell ref="I17:J17"/>
    <mergeCell ref="I18:J18"/>
    <mergeCell ref="I19:J19"/>
    <mergeCell ref="N10:P10"/>
    <mergeCell ref="I11:J11"/>
    <mergeCell ref="I12:J12"/>
    <mergeCell ref="I13:J13"/>
    <mergeCell ref="I14:J14"/>
    <mergeCell ref="I15:J15"/>
    <mergeCell ref="I34:J34"/>
    <mergeCell ref="I35:J35"/>
    <mergeCell ref="I36:J36"/>
    <mergeCell ref="I37:J37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52:J52"/>
    <mergeCell ref="I53:J53"/>
    <mergeCell ref="I54:J54"/>
    <mergeCell ref="I55:J55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70:J70"/>
    <mergeCell ref="I71:J71"/>
    <mergeCell ref="I72:J72"/>
    <mergeCell ref="I73:J73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88:J88"/>
    <mergeCell ref="I89:J89"/>
    <mergeCell ref="I90:J90"/>
    <mergeCell ref="I91:J91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106:J106"/>
    <mergeCell ref="I107:J107"/>
    <mergeCell ref="I108:J108"/>
    <mergeCell ref="I109:J109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24:J124"/>
    <mergeCell ref="I125:J125"/>
    <mergeCell ref="I126:J126"/>
    <mergeCell ref="I127:J127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57:J157"/>
    <mergeCell ref="I158:J158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52:J152"/>
    <mergeCell ref="I153:J153"/>
    <mergeCell ref="I154:J154"/>
    <mergeCell ref="I155:J155"/>
    <mergeCell ref="I156:J156"/>
    <mergeCell ref="I147:J147"/>
    <mergeCell ref="I148:J148"/>
    <mergeCell ref="I149:J149"/>
    <mergeCell ref="I150:J150"/>
    <mergeCell ref="I151:J151"/>
    <mergeCell ref="I200:J200"/>
    <mergeCell ref="I201:J201"/>
    <mergeCell ref="I202:J202"/>
    <mergeCell ref="I203:J203"/>
    <mergeCell ref="I137:J137"/>
    <mergeCell ref="I138:J138"/>
    <mergeCell ref="I139:J139"/>
    <mergeCell ref="I140:J140"/>
    <mergeCell ref="I141:J141"/>
    <mergeCell ref="I142:J142"/>
    <mergeCell ref="I143:J143"/>
    <mergeCell ref="I193:J193"/>
    <mergeCell ref="I194:J194"/>
    <mergeCell ref="I144:J144"/>
    <mergeCell ref="I145:J145"/>
    <mergeCell ref="I146:J146"/>
    <mergeCell ref="I195:J195"/>
    <mergeCell ref="I196:J196"/>
    <mergeCell ref="I197:J197"/>
    <mergeCell ref="I198:J198"/>
    <mergeCell ref="I199:J199"/>
    <mergeCell ref="I228:J228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26:J226"/>
    <mergeCell ref="I227:J227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9:J229"/>
    <mergeCell ref="I230:J230"/>
    <mergeCell ref="I231:J231"/>
    <mergeCell ref="I232:J232"/>
    <mergeCell ref="I233:J233"/>
    <mergeCell ref="I173:J173"/>
    <mergeCell ref="I174:J174"/>
    <mergeCell ref="I175:J175"/>
    <mergeCell ref="I176:J176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91:J191"/>
    <mergeCell ref="I192:J192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</mergeCells>
  <conditionalFormatting sqref="M12:M233">
    <cfRule type="cellIs" dxfId="5" priority="1" stopIfTrue="1" operator="between">
      <formula>6</formula>
      <formula>9</formula>
    </cfRule>
    <cfRule type="cellIs" dxfId="4" priority="2" stopIfTrue="1" operator="between">
      <formula>3</formula>
      <formula>4</formula>
    </cfRule>
    <cfRule type="cellIs" dxfId="3" priority="3" stopIfTrue="1" operator="between">
      <formula>1</formula>
      <formula>2</formula>
    </cfRule>
  </conditionalFormatting>
  <dataValidations count="6">
    <dataValidation type="list" allowBlank="1" showErrorMessage="1" sqref="O12:O42" xr:uid="{00000000-0002-0000-0000-000000000000}">
      <formula1>"Mitigar,Aceptar,Evitar"</formula1>
    </dataValidation>
    <dataValidation type="list" allowBlank="1" showErrorMessage="1" sqref="S12:S42" xr:uid="{00000000-0002-0000-0000-000001000000}">
      <formula1>Destinatarios</formula1>
    </dataValidation>
    <dataValidation type="list" allowBlank="1" showErrorMessage="1" sqref="L12:L42" xr:uid="{00000000-0002-0000-0000-000002000000}">
      <formula1>"Alto,Medio,Bajo"</formula1>
    </dataValidation>
    <dataValidation type="list" allowBlank="1" showErrorMessage="1" sqref="N12:N42" xr:uid="{00000000-0002-0000-0000-000003000000}">
      <formula1>Riesgo_Responsables</formula1>
    </dataValidation>
    <dataValidation type="list" allowBlank="1" showErrorMessage="1" sqref="D12:D42" xr:uid="{00000000-0002-0000-0000-000004000000}">
      <formula1>ListaCategorias</formula1>
    </dataValidation>
    <dataValidation type="list" allowBlank="1" showErrorMessage="1" sqref="K12:K42" xr:uid="{00000000-0002-0000-0000-000005000000}">
      <formula1>"Alta,Media,Baja"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9"/>
  <sheetViews>
    <sheetView workbookViewId="0"/>
  </sheetViews>
  <sheetFormatPr baseColWidth="10" defaultColWidth="12.5703125" defaultRowHeight="12.75"/>
  <cols>
    <col min="1" max="1" width="29.85546875" customWidth="1"/>
    <col min="2" max="2" width="96.85546875" customWidth="1"/>
    <col min="3" max="3" width="10.85546875" customWidth="1"/>
    <col min="4" max="4" width="7.42578125" customWidth="1"/>
    <col min="5" max="5" width="9.140625" customWidth="1"/>
    <col min="6" max="6" width="6.85546875" customWidth="1"/>
    <col min="7" max="9" width="9.140625" customWidth="1"/>
    <col min="10" max="10" width="4.28515625" customWidth="1"/>
    <col min="11" max="11" width="10.85546875" customWidth="1"/>
    <col min="12" max="12" width="11.42578125" customWidth="1"/>
    <col min="13" max="13" width="36.42578125" customWidth="1"/>
    <col min="14" max="26" width="10.85546875" customWidth="1"/>
  </cols>
  <sheetData>
    <row r="1" spans="1:26" ht="18" customHeight="1">
      <c r="A1" s="1" t="s">
        <v>200</v>
      </c>
      <c r="B1" s="3" t="s">
        <v>201</v>
      </c>
      <c r="C1" s="5"/>
      <c r="D1" s="124" t="s">
        <v>202</v>
      </c>
      <c r="E1" s="125"/>
      <c r="F1" s="125"/>
      <c r="G1" s="125"/>
      <c r="H1" s="125"/>
      <c r="I1" s="125"/>
      <c r="J1" s="125"/>
      <c r="K1" s="125"/>
      <c r="L1" s="125"/>
      <c r="M1" s="126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5.5" customHeight="1">
      <c r="A2" s="9" t="s">
        <v>1</v>
      </c>
      <c r="B2" s="10" t="s">
        <v>203</v>
      </c>
      <c r="C2" s="5"/>
      <c r="D2" s="11"/>
      <c r="E2" s="11"/>
      <c r="F2" s="11"/>
      <c r="G2" s="11"/>
      <c r="H2" s="11"/>
      <c r="I2" s="11"/>
      <c r="J2" s="11"/>
      <c r="K2" s="11"/>
      <c r="L2" s="11"/>
      <c r="M2" s="14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5.5" customHeight="1">
      <c r="A3" s="9" t="s">
        <v>4</v>
      </c>
      <c r="B3" s="10" t="s">
        <v>204</v>
      </c>
      <c r="C3" s="5"/>
      <c r="D3" s="18"/>
      <c r="E3" s="18"/>
      <c r="F3" s="18"/>
      <c r="G3" s="127" t="s">
        <v>31</v>
      </c>
      <c r="H3" s="128"/>
      <c r="I3" s="106"/>
      <c r="J3" s="18"/>
      <c r="K3" s="21" t="s">
        <v>205</v>
      </c>
      <c r="L3" s="24" t="s">
        <v>206</v>
      </c>
      <c r="M3" s="25" t="s">
        <v>207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5.5" customHeight="1">
      <c r="A4" s="9" t="s">
        <v>7</v>
      </c>
      <c r="B4" s="10" t="s">
        <v>208</v>
      </c>
      <c r="C4" s="5"/>
      <c r="D4" s="18"/>
      <c r="E4" s="18"/>
      <c r="F4" s="18"/>
      <c r="G4" s="26" t="s">
        <v>155</v>
      </c>
      <c r="H4" s="26" t="s">
        <v>47</v>
      </c>
      <c r="I4" s="26" t="s">
        <v>86</v>
      </c>
      <c r="J4" s="18"/>
      <c r="K4" s="27" t="s">
        <v>85</v>
      </c>
      <c r="L4" s="27">
        <v>1</v>
      </c>
      <c r="M4" s="28" t="s">
        <v>209</v>
      </c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5.5" customHeight="1">
      <c r="A5" s="29" t="s">
        <v>210</v>
      </c>
      <c r="B5" s="30" t="s">
        <v>211</v>
      </c>
      <c r="C5" s="5"/>
      <c r="D5" s="18"/>
      <c r="E5" s="18"/>
      <c r="F5" s="18"/>
      <c r="G5" s="26">
        <v>1</v>
      </c>
      <c r="H5" s="26">
        <v>2</v>
      </c>
      <c r="I5" s="26">
        <v>3</v>
      </c>
      <c r="J5" s="18"/>
      <c r="K5" s="33" t="s">
        <v>46</v>
      </c>
      <c r="L5" s="34">
        <v>2</v>
      </c>
      <c r="M5" s="35" t="s">
        <v>212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5.5" customHeight="1">
      <c r="A6" s="29" t="s">
        <v>13</v>
      </c>
      <c r="B6" s="30" t="s">
        <v>213</v>
      </c>
      <c r="C6" s="5"/>
      <c r="D6" s="129" t="s">
        <v>30</v>
      </c>
      <c r="E6" s="26" t="s">
        <v>85</v>
      </c>
      <c r="F6" s="26">
        <v>1</v>
      </c>
      <c r="G6" s="27">
        <f>F6*G5</f>
        <v>1</v>
      </c>
      <c r="H6" s="27">
        <f>F6*H5</f>
        <v>2</v>
      </c>
      <c r="I6" s="33">
        <f>F6*I5</f>
        <v>3</v>
      </c>
      <c r="J6" s="18"/>
      <c r="K6" s="43" t="s">
        <v>58</v>
      </c>
      <c r="L6" s="44">
        <v>3</v>
      </c>
      <c r="M6" s="45" t="s">
        <v>214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5.5" customHeight="1">
      <c r="A7" s="46" t="s">
        <v>14</v>
      </c>
      <c r="B7" s="48" t="s">
        <v>215</v>
      </c>
      <c r="C7" s="5"/>
      <c r="D7" s="130"/>
      <c r="E7" s="26" t="s">
        <v>46</v>
      </c>
      <c r="F7" s="26">
        <v>2</v>
      </c>
      <c r="G7" s="27">
        <f>F7*G5</f>
        <v>2</v>
      </c>
      <c r="H7" s="33">
        <f>F7*H5</f>
        <v>4</v>
      </c>
      <c r="I7" s="43">
        <f>F7*I5</f>
        <v>6</v>
      </c>
      <c r="J7" s="18"/>
      <c r="K7" s="18"/>
      <c r="L7" s="18"/>
      <c r="M7" s="18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5.5" customHeight="1">
      <c r="A8" s="53" t="s">
        <v>21</v>
      </c>
      <c r="B8" s="54" t="s">
        <v>216</v>
      </c>
      <c r="C8" s="5"/>
      <c r="D8" s="131"/>
      <c r="E8" s="26" t="s">
        <v>58</v>
      </c>
      <c r="F8" s="26">
        <v>3</v>
      </c>
      <c r="G8" s="33">
        <f>F8*G5</f>
        <v>3</v>
      </c>
      <c r="H8" s="43">
        <f>F8*H5</f>
        <v>6</v>
      </c>
      <c r="I8" s="43">
        <f>F8*I5</f>
        <v>9</v>
      </c>
      <c r="J8" s="18"/>
      <c r="K8" s="21" t="s">
        <v>217</v>
      </c>
      <c r="L8" s="24" t="s">
        <v>218</v>
      </c>
      <c r="M8" s="57" t="s">
        <v>207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5.5" customHeight="1">
      <c r="A9" s="9" t="s">
        <v>22</v>
      </c>
      <c r="B9" s="10" t="s">
        <v>219</v>
      </c>
      <c r="C9" s="5"/>
      <c r="D9" s="18"/>
      <c r="E9" s="18"/>
      <c r="F9" s="18"/>
      <c r="G9" s="18"/>
      <c r="H9" s="18"/>
      <c r="I9" s="18"/>
      <c r="J9" s="18"/>
      <c r="K9" s="27" t="s">
        <v>155</v>
      </c>
      <c r="L9" s="27">
        <v>1</v>
      </c>
      <c r="M9" s="61" t="s">
        <v>220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5.5" customHeight="1">
      <c r="A10" s="9" t="s">
        <v>221</v>
      </c>
      <c r="B10" s="10" t="s">
        <v>222</v>
      </c>
      <c r="C10" s="5"/>
      <c r="D10" s="11"/>
      <c r="E10" s="18"/>
      <c r="F10" s="18"/>
      <c r="G10" s="11"/>
      <c r="H10" s="11"/>
      <c r="I10" s="18"/>
      <c r="J10" s="11"/>
      <c r="K10" s="33" t="s">
        <v>47</v>
      </c>
      <c r="L10" s="34">
        <v>2</v>
      </c>
      <c r="M10" s="62" t="s">
        <v>223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5.5" customHeight="1">
      <c r="A11" s="9" t="s">
        <v>24</v>
      </c>
      <c r="B11" s="10" t="s">
        <v>224</v>
      </c>
      <c r="C11" s="5"/>
      <c r="D11" s="11"/>
      <c r="E11" s="18"/>
      <c r="F11" s="18"/>
      <c r="G11" s="11"/>
      <c r="H11" s="11"/>
      <c r="I11" s="11"/>
      <c r="J11" s="11"/>
      <c r="K11" s="63" t="s">
        <v>86</v>
      </c>
      <c r="L11" s="65">
        <v>3</v>
      </c>
      <c r="M11" s="68" t="s">
        <v>225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5.5" customHeight="1">
      <c r="A12" s="9" t="s">
        <v>25</v>
      </c>
      <c r="B12" s="10" t="s">
        <v>226</v>
      </c>
      <c r="C12" s="5"/>
      <c r="D12" s="11"/>
      <c r="E12" s="18"/>
      <c r="F12" s="18"/>
      <c r="G12" s="11"/>
      <c r="H12" s="11"/>
      <c r="I12" s="11"/>
      <c r="J12" s="11"/>
      <c r="K12" s="11"/>
      <c r="L12" s="11"/>
      <c r="M12" s="11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5.5" customHeight="1">
      <c r="A13" s="9" t="s">
        <v>27</v>
      </c>
      <c r="B13" s="10" t="s">
        <v>227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5.5" customHeight="1">
      <c r="A14" s="9" t="s">
        <v>28</v>
      </c>
      <c r="B14" s="10" t="s">
        <v>228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5.5" customHeight="1">
      <c r="A15" s="9" t="s">
        <v>29</v>
      </c>
      <c r="B15" s="10" t="s">
        <v>229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5.5" customHeight="1">
      <c r="A16" s="9" t="s">
        <v>30</v>
      </c>
      <c r="B16" s="10" t="s">
        <v>230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5.5" customHeight="1">
      <c r="A17" s="9" t="s">
        <v>231</v>
      </c>
      <c r="B17" s="10" t="s">
        <v>232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5.5" customHeight="1">
      <c r="A18" s="9" t="s">
        <v>31</v>
      </c>
      <c r="B18" s="10" t="s">
        <v>233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5.5" customHeight="1">
      <c r="A19" s="9" t="s">
        <v>234</v>
      </c>
      <c r="B19" s="10" t="s">
        <v>235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5.5" customHeight="1">
      <c r="A20" s="9" t="s">
        <v>32</v>
      </c>
      <c r="B20" s="10" t="s">
        <v>236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5.5" customHeight="1">
      <c r="A21" s="9" t="s">
        <v>237</v>
      </c>
      <c r="B21" s="10" t="s">
        <v>238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5.5" customHeight="1">
      <c r="A22" s="9" t="s">
        <v>34</v>
      </c>
      <c r="B22" s="10" t="s">
        <v>239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5.5" customHeight="1">
      <c r="A23" s="9" t="s">
        <v>240</v>
      </c>
      <c r="B23" s="10" t="s">
        <v>241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5.5" customHeight="1">
      <c r="A24" s="9" t="s">
        <v>36</v>
      </c>
      <c r="B24" s="10" t="s">
        <v>242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5.5" customHeight="1">
      <c r="A25" s="9" t="s">
        <v>37</v>
      </c>
      <c r="B25" s="10" t="s">
        <v>243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5.5" customHeight="1">
      <c r="A26" s="46" t="s">
        <v>38</v>
      </c>
      <c r="B26" s="48" t="s">
        <v>244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1.25" customHeight="1">
      <c r="A27" s="5"/>
      <c r="B27" s="8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1.25" customHeight="1">
      <c r="A28" s="5"/>
      <c r="B28" s="8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1.25" customHeight="1">
      <c r="A29" s="5"/>
      <c r="B29" s="8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1.25" customHeight="1">
      <c r="A30" s="5"/>
      <c r="B30" s="8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1.25" customHeight="1">
      <c r="A31" s="5"/>
      <c r="B31" s="8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1.25" customHeight="1">
      <c r="A32" s="5"/>
      <c r="B32" s="8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1.25" customHeight="1">
      <c r="A33" s="5"/>
      <c r="B33" s="8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1.25" customHeight="1">
      <c r="A34" s="5"/>
      <c r="B34" s="8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1.25" customHeight="1">
      <c r="A35" s="5"/>
      <c r="B35" s="8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1.25" customHeight="1">
      <c r="A36" s="5"/>
      <c r="B36" s="8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1.25" customHeight="1">
      <c r="A37" s="5"/>
      <c r="B37" s="8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1.25" customHeight="1">
      <c r="A38" s="5"/>
      <c r="B38" s="8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1.25" customHeight="1">
      <c r="A39" s="5"/>
      <c r="B39" s="8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1.25" customHeight="1">
      <c r="A40" s="5"/>
      <c r="B40" s="8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1.25" customHeight="1">
      <c r="A41" s="5"/>
      <c r="B41" s="8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1.25" customHeight="1">
      <c r="A42" s="5"/>
      <c r="B42" s="8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1.25" customHeight="1">
      <c r="A43" s="5"/>
      <c r="B43" s="8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1.25" customHeight="1">
      <c r="A44" s="5"/>
      <c r="B44" s="8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1.25" customHeight="1">
      <c r="A45" s="5"/>
      <c r="B45" s="8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1.25" customHeight="1">
      <c r="A46" s="5"/>
      <c r="B46" s="8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1.25" customHeight="1">
      <c r="A47" s="5"/>
      <c r="B47" s="8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1.25" customHeight="1">
      <c r="A48" s="5"/>
      <c r="B48" s="8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1.25" customHeight="1">
      <c r="A49" s="5"/>
      <c r="B49" s="8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1.25" customHeight="1">
      <c r="A50" s="5"/>
      <c r="B50" s="8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1.25" customHeight="1">
      <c r="A51" s="5"/>
      <c r="B51" s="8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1.25" customHeight="1">
      <c r="A52" s="5"/>
      <c r="B52" s="8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1.25" customHeight="1">
      <c r="A53" s="5"/>
      <c r="B53" s="8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1.25" customHeight="1">
      <c r="A54" s="5"/>
      <c r="B54" s="8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1.25" customHeight="1">
      <c r="A55" s="5"/>
      <c r="B55" s="8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1.25" customHeight="1">
      <c r="A56" s="5"/>
      <c r="B56" s="8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1.25" customHeight="1">
      <c r="A57" s="5"/>
      <c r="B57" s="8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1.25" customHeight="1">
      <c r="A58" s="5"/>
      <c r="B58" s="8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1.25" customHeight="1">
      <c r="A59" s="5"/>
      <c r="B59" s="8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1.25" customHeight="1">
      <c r="A60" s="5"/>
      <c r="B60" s="8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1.25" customHeight="1">
      <c r="A61" s="5"/>
      <c r="B61" s="8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1.25" customHeight="1">
      <c r="A62" s="5"/>
      <c r="B62" s="8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1.25" customHeight="1">
      <c r="A63" s="5"/>
      <c r="B63" s="8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1.25" customHeight="1">
      <c r="A64" s="5"/>
      <c r="B64" s="8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1.25" customHeight="1">
      <c r="A65" s="5"/>
      <c r="B65" s="8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1.25" customHeight="1">
      <c r="A66" s="5"/>
      <c r="B66" s="8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1.25" customHeight="1">
      <c r="A67" s="5"/>
      <c r="B67" s="8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1.25" customHeight="1">
      <c r="A68" s="5"/>
      <c r="B68" s="8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1.25" customHeight="1">
      <c r="A69" s="5"/>
      <c r="B69" s="8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1.25" customHeight="1">
      <c r="A70" s="5"/>
      <c r="B70" s="8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1.25" customHeight="1">
      <c r="A71" s="5"/>
      <c r="B71" s="8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1.25" customHeight="1">
      <c r="A72" s="5"/>
      <c r="B72" s="8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1.25" customHeight="1">
      <c r="A73" s="5"/>
      <c r="B73" s="8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1.25" customHeight="1">
      <c r="A74" s="5"/>
      <c r="B74" s="8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1.25" customHeight="1">
      <c r="A75" s="5"/>
      <c r="B75" s="8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1.25" customHeight="1">
      <c r="A76" s="5"/>
      <c r="B76" s="8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1.25" customHeight="1">
      <c r="A77" s="5"/>
      <c r="B77" s="8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1.25" customHeight="1">
      <c r="A78" s="5"/>
      <c r="B78" s="8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1.25" customHeight="1">
      <c r="A79" s="5"/>
      <c r="B79" s="8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1.25" customHeight="1">
      <c r="A80" s="5"/>
      <c r="B80" s="8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1.25" customHeight="1">
      <c r="A81" s="5"/>
      <c r="B81" s="8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1.25" customHeight="1">
      <c r="A82" s="5"/>
      <c r="B82" s="8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1.25" customHeight="1">
      <c r="A83" s="5"/>
      <c r="B83" s="8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1.25" customHeight="1">
      <c r="A84" s="5"/>
      <c r="B84" s="8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1.25" customHeight="1">
      <c r="A85" s="5"/>
      <c r="B85" s="8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1.25" customHeight="1">
      <c r="A86" s="5"/>
      <c r="B86" s="8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1.25" customHeight="1">
      <c r="A87" s="5"/>
      <c r="B87" s="8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1.25" customHeight="1">
      <c r="A88" s="5"/>
      <c r="B88" s="8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1.25" customHeight="1">
      <c r="A89" s="5"/>
      <c r="B89" s="8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1.25" customHeight="1">
      <c r="A90" s="5"/>
      <c r="B90" s="8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1.25" customHeight="1">
      <c r="A91" s="5"/>
      <c r="B91" s="8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1.25" customHeight="1">
      <c r="A92" s="5"/>
      <c r="B92" s="8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1.25" customHeight="1">
      <c r="A93" s="5"/>
      <c r="B93" s="8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1.25" customHeight="1">
      <c r="A94" s="5"/>
      <c r="B94" s="8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1.25" customHeight="1">
      <c r="A95" s="5"/>
      <c r="B95" s="8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1.25" customHeight="1">
      <c r="A96" s="5"/>
      <c r="B96" s="8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1.25" customHeight="1">
      <c r="A97" s="5"/>
      <c r="B97" s="8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1.25" customHeight="1">
      <c r="A98" s="5"/>
      <c r="B98" s="8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1.25" customHeight="1">
      <c r="A99" s="5"/>
      <c r="B99" s="8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1.25" customHeight="1">
      <c r="A100" s="5"/>
      <c r="B100" s="8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1.25" customHeight="1">
      <c r="A101" s="5"/>
      <c r="B101" s="8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1.25" customHeight="1">
      <c r="A102" s="5"/>
      <c r="B102" s="8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1.25" customHeight="1">
      <c r="A103" s="5"/>
      <c r="B103" s="8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1.25" customHeight="1">
      <c r="A104" s="5"/>
      <c r="B104" s="8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1.25" customHeight="1">
      <c r="A105" s="5"/>
      <c r="B105" s="8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1.25" customHeight="1">
      <c r="A106" s="5"/>
      <c r="B106" s="8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1.25" customHeight="1">
      <c r="A107" s="5"/>
      <c r="B107" s="8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1.25" customHeight="1">
      <c r="A108" s="5"/>
      <c r="B108" s="8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1.25" customHeight="1">
      <c r="A109" s="5"/>
      <c r="B109" s="8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1.25" customHeight="1">
      <c r="A110" s="5"/>
      <c r="B110" s="8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1.25" customHeight="1">
      <c r="A111" s="5"/>
      <c r="B111" s="8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1.25" customHeight="1">
      <c r="A112" s="5"/>
      <c r="B112" s="8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1.25" customHeight="1">
      <c r="A113" s="5"/>
      <c r="B113" s="8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1.25" customHeight="1">
      <c r="A114" s="5"/>
      <c r="B114" s="8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1.25" customHeight="1">
      <c r="A115" s="5"/>
      <c r="B115" s="8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1.25" customHeight="1">
      <c r="A116" s="5"/>
      <c r="B116" s="8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1.25" customHeight="1">
      <c r="A117" s="5"/>
      <c r="B117" s="8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1.25" customHeight="1">
      <c r="A118" s="5"/>
      <c r="B118" s="8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1.25" customHeight="1">
      <c r="A119" s="5"/>
      <c r="B119" s="8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1.25" customHeight="1">
      <c r="A120" s="5"/>
      <c r="B120" s="8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1.25" customHeight="1">
      <c r="A121" s="5"/>
      <c r="B121" s="8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1.25" customHeight="1">
      <c r="A122" s="5"/>
      <c r="B122" s="8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1.25" customHeight="1">
      <c r="A123" s="5"/>
      <c r="B123" s="8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1.25" customHeight="1">
      <c r="A124" s="5"/>
      <c r="B124" s="8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1.25" customHeight="1">
      <c r="A125" s="5"/>
      <c r="B125" s="8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1.25" customHeight="1">
      <c r="A126" s="5"/>
      <c r="B126" s="8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1.25" customHeight="1">
      <c r="A127" s="5"/>
      <c r="B127" s="8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1.25" customHeight="1">
      <c r="A128" s="5"/>
      <c r="B128" s="8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1.25" customHeight="1">
      <c r="A129" s="5"/>
      <c r="B129" s="8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1.25" customHeight="1">
      <c r="A130" s="5"/>
      <c r="B130" s="8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1.25" customHeight="1">
      <c r="A131" s="5"/>
      <c r="B131" s="8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1.25" customHeight="1">
      <c r="A132" s="5"/>
      <c r="B132" s="8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1.25" customHeight="1">
      <c r="A133" s="5"/>
      <c r="B133" s="8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1.25" customHeight="1">
      <c r="A134" s="5"/>
      <c r="B134" s="8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1.25" customHeight="1">
      <c r="A135" s="5"/>
      <c r="B135" s="8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1.25" customHeight="1">
      <c r="A136" s="5"/>
      <c r="B136" s="8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1.25" customHeight="1">
      <c r="A137" s="5"/>
      <c r="B137" s="8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1.25" customHeight="1">
      <c r="A138" s="5"/>
      <c r="B138" s="8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1.25" customHeight="1">
      <c r="A139" s="5"/>
      <c r="B139" s="8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1.25" customHeight="1">
      <c r="A140" s="5"/>
      <c r="B140" s="8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1.25" customHeight="1">
      <c r="A141" s="5"/>
      <c r="B141" s="8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1.25" customHeight="1">
      <c r="A142" s="5"/>
      <c r="B142" s="8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1.25" customHeight="1">
      <c r="A143" s="5"/>
      <c r="B143" s="8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1.25" customHeight="1">
      <c r="A144" s="5"/>
      <c r="B144" s="8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1.25" customHeight="1">
      <c r="A145" s="5"/>
      <c r="B145" s="8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1.25" customHeight="1">
      <c r="A146" s="5"/>
      <c r="B146" s="8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1.25" customHeight="1">
      <c r="A147" s="5"/>
      <c r="B147" s="8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1.25" customHeight="1">
      <c r="A148" s="5"/>
      <c r="B148" s="8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1.25" customHeight="1">
      <c r="A149" s="5"/>
      <c r="B149" s="8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1.25" customHeight="1">
      <c r="A150" s="5"/>
      <c r="B150" s="8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1.25" customHeight="1">
      <c r="A151" s="5"/>
      <c r="B151" s="8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1.25" customHeight="1">
      <c r="A152" s="5"/>
      <c r="B152" s="8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1.25" customHeight="1">
      <c r="A153" s="5"/>
      <c r="B153" s="8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1.25" customHeight="1">
      <c r="A154" s="5"/>
      <c r="B154" s="8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1.25" customHeight="1">
      <c r="A155" s="5"/>
      <c r="B155" s="8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1.25" customHeight="1">
      <c r="A156" s="5"/>
      <c r="B156" s="8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1.25" customHeight="1">
      <c r="A157" s="5"/>
      <c r="B157" s="8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1.25" customHeight="1">
      <c r="A158" s="5"/>
      <c r="B158" s="8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1.25" customHeight="1">
      <c r="A159" s="5"/>
      <c r="B159" s="8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1.25" customHeight="1">
      <c r="A160" s="5"/>
      <c r="B160" s="8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1.25" customHeight="1">
      <c r="A161" s="5"/>
      <c r="B161" s="8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1.25" customHeight="1">
      <c r="A162" s="5"/>
      <c r="B162" s="8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1.25" customHeight="1">
      <c r="A163" s="5"/>
      <c r="B163" s="8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1.25" customHeight="1">
      <c r="A164" s="5"/>
      <c r="B164" s="8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1.25" customHeight="1">
      <c r="A165" s="5"/>
      <c r="B165" s="8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1.25" customHeight="1">
      <c r="A166" s="5"/>
      <c r="B166" s="8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1.25" customHeight="1">
      <c r="A167" s="5"/>
      <c r="B167" s="8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1.25" customHeight="1">
      <c r="A168" s="5"/>
      <c r="B168" s="8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1.25" customHeight="1">
      <c r="A169" s="5"/>
      <c r="B169" s="8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1.25" customHeight="1">
      <c r="A170" s="5"/>
      <c r="B170" s="8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1.25" customHeight="1">
      <c r="A171" s="5"/>
      <c r="B171" s="8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1.25" customHeight="1">
      <c r="A172" s="5"/>
      <c r="B172" s="8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1.25" customHeight="1">
      <c r="A173" s="5"/>
      <c r="B173" s="8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1.25" customHeight="1">
      <c r="A174" s="5"/>
      <c r="B174" s="8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1.25" customHeight="1">
      <c r="A175" s="5"/>
      <c r="B175" s="8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1.25" customHeight="1">
      <c r="A176" s="5"/>
      <c r="B176" s="8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1.25" customHeight="1">
      <c r="A177" s="5"/>
      <c r="B177" s="8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1.25" customHeight="1">
      <c r="A178" s="5"/>
      <c r="B178" s="8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1.25" customHeight="1">
      <c r="A179" s="5"/>
      <c r="B179" s="8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1.25" customHeight="1">
      <c r="A180" s="5"/>
      <c r="B180" s="8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1.25" customHeight="1">
      <c r="A181" s="5"/>
      <c r="B181" s="8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1.25" customHeight="1">
      <c r="A182" s="5"/>
      <c r="B182" s="8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1.25" customHeight="1">
      <c r="A183" s="5"/>
      <c r="B183" s="8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1.25" customHeight="1">
      <c r="A184" s="5"/>
      <c r="B184" s="8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1.25" customHeight="1">
      <c r="A185" s="5"/>
      <c r="B185" s="8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1.25" customHeight="1">
      <c r="A186" s="5"/>
      <c r="B186" s="8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1.25" customHeight="1">
      <c r="A187" s="5"/>
      <c r="B187" s="8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1.25" customHeight="1">
      <c r="A188" s="5"/>
      <c r="B188" s="8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1.25" customHeight="1">
      <c r="A189" s="5"/>
      <c r="B189" s="8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1.25" customHeight="1">
      <c r="A190" s="5"/>
      <c r="B190" s="8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1.25" customHeight="1">
      <c r="A191" s="5"/>
      <c r="B191" s="8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1.25" customHeight="1">
      <c r="A192" s="5"/>
      <c r="B192" s="8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1.25" customHeight="1">
      <c r="A193" s="5"/>
      <c r="B193" s="8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1.25" customHeight="1">
      <c r="A194" s="5"/>
      <c r="B194" s="8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1.25" customHeight="1">
      <c r="A195" s="5"/>
      <c r="B195" s="8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1.25" customHeight="1">
      <c r="A196" s="5"/>
      <c r="B196" s="8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1.25" customHeight="1">
      <c r="A197" s="5"/>
      <c r="B197" s="8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1.25" customHeight="1">
      <c r="A198" s="5"/>
      <c r="B198" s="8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1.25" customHeight="1">
      <c r="A199" s="5"/>
      <c r="B199" s="8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1.25" customHeight="1">
      <c r="A200" s="5"/>
      <c r="B200" s="8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1.25" customHeight="1">
      <c r="A201" s="5"/>
      <c r="B201" s="8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1.25" customHeight="1">
      <c r="A202" s="5"/>
      <c r="B202" s="8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1.25" customHeight="1">
      <c r="A203" s="5"/>
      <c r="B203" s="8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1.25" customHeight="1">
      <c r="A204" s="5"/>
      <c r="B204" s="8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1.25" customHeight="1">
      <c r="A205" s="5"/>
      <c r="B205" s="8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1.25" customHeight="1">
      <c r="A206" s="5"/>
      <c r="B206" s="8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1.25" customHeight="1">
      <c r="A207" s="5"/>
      <c r="B207" s="8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1.25" customHeight="1">
      <c r="A208" s="5"/>
      <c r="B208" s="8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1.25" customHeight="1">
      <c r="A209" s="5"/>
      <c r="B209" s="8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1.25" customHeight="1">
      <c r="A210" s="5"/>
      <c r="B210" s="8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1.25" customHeight="1">
      <c r="A211" s="5"/>
      <c r="B211" s="8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1.25" customHeight="1">
      <c r="A212" s="5"/>
      <c r="B212" s="8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1.25" customHeight="1">
      <c r="A213" s="5"/>
      <c r="B213" s="8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1.25" customHeight="1">
      <c r="A214" s="5"/>
      <c r="B214" s="8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1.25" customHeight="1">
      <c r="A215" s="5"/>
      <c r="B215" s="8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1.25" customHeight="1">
      <c r="A216" s="5"/>
      <c r="B216" s="8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1.25" customHeight="1">
      <c r="A217" s="5"/>
      <c r="B217" s="8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1.25" customHeight="1">
      <c r="A218" s="5"/>
      <c r="B218" s="8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1.25" customHeight="1">
      <c r="A219" s="5"/>
      <c r="B219" s="8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1.25" customHeight="1">
      <c r="A220" s="5"/>
      <c r="B220" s="8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1.25" customHeight="1">
      <c r="A221" s="5"/>
      <c r="B221" s="8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1.25" customHeight="1">
      <c r="A222" s="5"/>
      <c r="B222" s="8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1.25" customHeight="1">
      <c r="A223" s="5"/>
      <c r="B223" s="8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1.25" customHeight="1">
      <c r="A224" s="5"/>
      <c r="B224" s="8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1.25" customHeight="1">
      <c r="A225" s="5"/>
      <c r="B225" s="8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1.25" customHeight="1">
      <c r="A226" s="5"/>
      <c r="B226" s="8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1.25" customHeight="1">
      <c r="A227" s="5"/>
      <c r="B227" s="8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1.25" customHeight="1">
      <c r="A228" s="5"/>
      <c r="B228" s="8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1.25" customHeight="1">
      <c r="A229" s="5"/>
      <c r="B229" s="8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1.25" customHeight="1">
      <c r="A230" s="5"/>
      <c r="B230" s="8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1.25" customHeight="1">
      <c r="A231" s="5"/>
      <c r="B231" s="8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1.25" customHeight="1">
      <c r="A232" s="5"/>
      <c r="B232" s="8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1.25" customHeight="1">
      <c r="A233" s="5"/>
      <c r="B233" s="8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1.25" customHeight="1">
      <c r="A234" s="5"/>
      <c r="B234" s="8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1.25" customHeight="1">
      <c r="A235" s="5"/>
      <c r="B235" s="8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1.25" customHeight="1">
      <c r="A236" s="5"/>
      <c r="B236" s="8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1.25" customHeight="1">
      <c r="A237" s="5"/>
      <c r="B237" s="8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1.25" customHeight="1">
      <c r="A238" s="5"/>
      <c r="B238" s="8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1.25" customHeight="1">
      <c r="A239" s="5"/>
      <c r="B239" s="8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1.25" customHeight="1">
      <c r="A240" s="5"/>
      <c r="B240" s="8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1.25" customHeight="1">
      <c r="A241" s="5"/>
      <c r="B241" s="8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1.25" customHeight="1">
      <c r="A242" s="5"/>
      <c r="B242" s="8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1.25" customHeight="1">
      <c r="A243" s="5"/>
      <c r="B243" s="8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1.25" customHeight="1">
      <c r="A244" s="5"/>
      <c r="B244" s="8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1.25" customHeight="1">
      <c r="A245" s="5"/>
      <c r="B245" s="8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1.25" customHeight="1">
      <c r="A246" s="5"/>
      <c r="B246" s="8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1.25" customHeight="1">
      <c r="A247" s="5"/>
      <c r="B247" s="8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1.25" customHeight="1">
      <c r="A248" s="5"/>
      <c r="B248" s="8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1.25" customHeight="1">
      <c r="A249" s="5"/>
      <c r="B249" s="8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1.25" customHeight="1">
      <c r="A250" s="5"/>
      <c r="B250" s="8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1.25" customHeight="1">
      <c r="A251" s="5"/>
      <c r="B251" s="8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1.25" customHeight="1">
      <c r="A252" s="5"/>
      <c r="B252" s="8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1.25" customHeight="1">
      <c r="A253" s="5"/>
      <c r="B253" s="8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1.25" customHeight="1">
      <c r="A254" s="5"/>
      <c r="B254" s="8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1.25" customHeight="1">
      <c r="A255" s="5"/>
      <c r="B255" s="8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1.25" customHeight="1">
      <c r="A256" s="5"/>
      <c r="B256" s="8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1.25" customHeight="1">
      <c r="A257" s="5"/>
      <c r="B257" s="8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1.25" customHeight="1">
      <c r="A258" s="5"/>
      <c r="B258" s="8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1.25" customHeight="1">
      <c r="A259" s="5"/>
      <c r="B259" s="8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1.25" customHeight="1">
      <c r="A260" s="5"/>
      <c r="B260" s="8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1.25" customHeight="1">
      <c r="A261" s="5"/>
      <c r="B261" s="8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1.25" customHeight="1">
      <c r="A262" s="5"/>
      <c r="B262" s="8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1.25" customHeight="1">
      <c r="A263" s="5"/>
      <c r="B263" s="8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1.25" customHeight="1">
      <c r="A264" s="5"/>
      <c r="B264" s="8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1.25" customHeight="1">
      <c r="A265" s="5"/>
      <c r="B265" s="8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1.25" customHeight="1">
      <c r="A266" s="5"/>
      <c r="B266" s="8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1.25" customHeight="1">
      <c r="A267" s="5"/>
      <c r="B267" s="8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1.25" customHeight="1">
      <c r="A268" s="5"/>
      <c r="B268" s="8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1.25" customHeight="1">
      <c r="A269" s="5"/>
      <c r="B269" s="8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1.25" customHeight="1">
      <c r="A270" s="5"/>
      <c r="B270" s="8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1.25" customHeight="1">
      <c r="A271" s="5"/>
      <c r="B271" s="8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1.25" customHeight="1">
      <c r="A272" s="5"/>
      <c r="B272" s="8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1.25" customHeight="1">
      <c r="A273" s="5"/>
      <c r="B273" s="8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1.25" customHeight="1">
      <c r="A274" s="5"/>
      <c r="B274" s="8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1.25" customHeight="1">
      <c r="A275" s="5"/>
      <c r="B275" s="8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1.25" customHeight="1">
      <c r="A276" s="5"/>
      <c r="B276" s="8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1.25" customHeight="1">
      <c r="A277" s="5"/>
      <c r="B277" s="8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1.25" customHeight="1">
      <c r="A278" s="5"/>
      <c r="B278" s="8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1.25" customHeight="1">
      <c r="A279" s="5"/>
      <c r="B279" s="8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1.25" customHeight="1">
      <c r="A280" s="5"/>
      <c r="B280" s="8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1.25" customHeight="1">
      <c r="A281" s="5"/>
      <c r="B281" s="8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1.25" customHeight="1">
      <c r="A282" s="5"/>
      <c r="B282" s="8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1.25" customHeight="1">
      <c r="A283" s="5"/>
      <c r="B283" s="8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1.25" customHeight="1">
      <c r="A284" s="5"/>
      <c r="B284" s="8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1.25" customHeight="1">
      <c r="A285" s="5"/>
      <c r="B285" s="8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1.25" customHeight="1">
      <c r="A286" s="5"/>
      <c r="B286" s="8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1.25" customHeight="1">
      <c r="A287" s="5"/>
      <c r="B287" s="8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1.25" customHeight="1">
      <c r="A288" s="5"/>
      <c r="B288" s="8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1.25" customHeight="1">
      <c r="A289" s="5"/>
      <c r="B289" s="8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1.25" customHeight="1">
      <c r="A290" s="5"/>
      <c r="B290" s="8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1.25" customHeight="1">
      <c r="A291" s="5"/>
      <c r="B291" s="8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1.25" customHeight="1">
      <c r="A292" s="5"/>
      <c r="B292" s="8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1.25" customHeight="1">
      <c r="A293" s="5"/>
      <c r="B293" s="8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1.25" customHeight="1">
      <c r="A294" s="5"/>
      <c r="B294" s="8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1.25" customHeight="1">
      <c r="A295" s="5"/>
      <c r="B295" s="8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1.25" customHeight="1">
      <c r="A296" s="5"/>
      <c r="B296" s="8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1.25" customHeight="1">
      <c r="A297" s="5"/>
      <c r="B297" s="8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1.25" customHeight="1">
      <c r="A298" s="5"/>
      <c r="B298" s="8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1.25" customHeight="1">
      <c r="A299" s="5"/>
      <c r="B299" s="8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1.25" customHeight="1">
      <c r="A300" s="5"/>
      <c r="B300" s="8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1.25" customHeight="1">
      <c r="A301" s="5"/>
      <c r="B301" s="8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1.25" customHeight="1">
      <c r="A302" s="5"/>
      <c r="B302" s="8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1.25" customHeight="1">
      <c r="A303" s="5"/>
      <c r="B303" s="8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1.25" customHeight="1">
      <c r="A304" s="5"/>
      <c r="B304" s="8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1.25" customHeight="1">
      <c r="A305" s="5"/>
      <c r="B305" s="8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1.25" customHeight="1">
      <c r="A306" s="5"/>
      <c r="B306" s="8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1.25" customHeight="1">
      <c r="A307" s="5"/>
      <c r="B307" s="8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1.25" customHeight="1">
      <c r="A308" s="5"/>
      <c r="B308" s="8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1.25" customHeight="1">
      <c r="A309" s="5"/>
      <c r="B309" s="8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1.25" customHeight="1">
      <c r="A310" s="5"/>
      <c r="B310" s="8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1.25" customHeight="1">
      <c r="A311" s="5"/>
      <c r="B311" s="8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1.25" customHeight="1">
      <c r="A312" s="5"/>
      <c r="B312" s="8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1.25" customHeight="1">
      <c r="A313" s="5"/>
      <c r="B313" s="8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1.25" customHeight="1">
      <c r="A314" s="5"/>
      <c r="B314" s="8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1.25" customHeight="1">
      <c r="A315" s="5"/>
      <c r="B315" s="8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1.25" customHeight="1">
      <c r="A316" s="5"/>
      <c r="B316" s="8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1.25" customHeight="1">
      <c r="A317" s="5"/>
      <c r="B317" s="8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1.25" customHeight="1">
      <c r="A318" s="5"/>
      <c r="B318" s="8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1.25" customHeight="1">
      <c r="A319" s="5"/>
      <c r="B319" s="8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1.25" customHeight="1">
      <c r="A320" s="5"/>
      <c r="B320" s="8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1.25" customHeight="1">
      <c r="A321" s="5"/>
      <c r="B321" s="8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1.25" customHeight="1">
      <c r="A322" s="5"/>
      <c r="B322" s="8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1.25" customHeight="1">
      <c r="A323" s="5"/>
      <c r="B323" s="8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1.25" customHeight="1">
      <c r="A324" s="5"/>
      <c r="B324" s="8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1.25" customHeight="1">
      <c r="A325" s="5"/>
      <c r="B325" s="8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1.25" customHeight="1">
      <c r="A326" s="5"/>
      <c r="B326" s="8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1.25" customHeight="1">
      <c r="A327" s="5"/>
      <c r="B327" s="8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1.25" customHeight="1">
      <c r="A328" s="5"/>
      <c r="B328" s="8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1.25" customHeight="1">
      <c r="A329" s="5"/>
      <c r="B329" s="8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1.25" customHeight="1">
      <c r="A330" s="5"/>
      <c r="B330" s="8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1.25" customHeight="1">
      <c r="A331" s="5"/>
      <c r="B331" s="8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1.25" customHeight="1">
      <c r="A332" s="5"/>
      <c r="B332" s="8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1.25" customHeight="1">
      <c r="A333" s="5"/>
      <c r="B333" s="8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1.25" customHeight="1">
      <c r="A334" s="5"/>
      <c r="B334" s="8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1.25" customHeight="1">
      <c r="A335" s="5"/>
      <c r="B335" s="8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1.25" customHeight="1">
      <c r="A336" s="5"/>
      <c r="B336" s="8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1.25" customHeight="1">
      <c r="A337" s="5"/>
      <c r="B337" s="8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1.25" customHeight="1">
      <c r="A338" s="5"/>
      <c r="B338" s="8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1.25" customHeight="1">
      <c r="A339" s="5"/>
      <c r="B339" s="8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1.25" customHeight="1">
      <c r="A340" s="5"/>
      <c r="B340" s="8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1.25" customHeight="1">
      <c r="A341" s="5"/>
      <c r="B341" s="8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1.25" customHeight="1">
      <c r="A342" s="5"/>
      <c r="B342" s="8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1.25" customHeight="1">
      <c r="A343" s="5"/>
      <c r="B343" s="8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1.25" customHeight="1">
      <c r="A344" s="5"/>
      <c r="B344" s="8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1.25" customHeight="1">
      <c r="A345" s="5"/>
      <c r="B345" s="8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1.25" customHeight="1">
      <c r="A346" s="5"/>
      <c r="B346" s="8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1.25" customHeight="1">
      <c r="A347" s="5"/>
      <c r="B347" s="8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1.25" customHeight="1">
      <c r="A348" s="5"/>
      <c r="B348" s="8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1.25" customHeight="1">
      <c r="A349" s="5"/>
      <c r="B349" s="8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1.25" customHeight="1">
      <c r="A350" s="5"/>
      <c r="B350" s="8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1.25" customHeight="1">
      <c r="A351" s="5"/>
      <c r="B351" s="8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1.25" customHeight="1">
      <c r="A352" s="5"/>
      <c r="B352" s="8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1.25" customHeight="1">
      <c r="A353" s="5"/>
      <c r="B353" s="8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1.25" customHeight="1">
      <c r="A354" s="5"/>
      <c r="B354" s="8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1.25" customHeight="1">
      <c r="A355" s="5"/>
      <c r="B355" s="8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1.25" customHeight="1">
      <c r="A356" s="5"/>
      <c r="B356" s="8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1.25" customHeight="1">
      <c r="A357" s="5"/>
      <c r="B357" s="8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1.25" customHeight="1">
      <c r="A358" s="5"/>
      <c r="B358" s="8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1.25" customHeight="1">
      <c r="A359" s="5"/>
      <c r="B359" s="8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1.25" customHeight="1">
      <c r="A360" s="5"/>
      <c r="B360" s="8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1.25" customHeight="1">
      <c r="A361" s="5"/>
      <c r="B361" s="8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1.25" customHeight="1">
      <c r="A362" s="5"/>
      <c r="B362" s="8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1.25" customHeight="1">
      <c r="A363" s="5"/>
      <c r="B363" s="8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1.25" customHeight="1">
      <c r="A364" s="5"/>
      <c r="B364" s="8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1.25" customHeight="1">
      <c r="A365" s="5"/>
      <c r="B365" s="8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1.25" customHeight="1">
      <c r="A366" s="5"/>
      <c r="B366" s="8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1.25" customHeight="1">
      <c r="A367" s="5"/>
      <c r="B367" s="8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1.25" customHeight="1">
      <c r="A368" s="5"/>
      <c r="B368" s="8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1.25" customHeight="1">
      <c r="A369" s="5"/>
      <c r="B369" s="8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1.25" customHeight="1">
      <c r="A370" s="5"/>
      <c r="B370" s="8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1.25" customHeight="1">
      <c r="A371" s="5"/>
      <c r="B371" s="8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1.25" customHeight="1">
      <c r="A372" s="5"/>
      <c r="B372" s="8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1.25" customHeight="1">
      <c r="A373" s="5"/>
      <c r="B373" s="8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1.25" customHeight="1">
      <c r="A374" s="5"/>
      <c r="B374" s="8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1.25" customHeight="1">
      <c r="A375" s="5"/>
      <c r="B375" s="8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1.25" customHeight="1">
      <c r="A376" s="5"/>
      <c r="B376" s="8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1.25" customHeight="1">
      <c r="A377" s="5"/>
      <c r="B377" s="8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1.25" customHeight="1">
      <c r="A378" s="5"/>
      <c r="B378" s="8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1.25" customHeight="1">
      <c r="A379" s="5"/>
      <c r="B379" s="8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1.25" customHeight="1">
      <c r="A380" s="5"/>
      <c r="B380" s="8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1.25" customHeight="1">
      <c r="A381" s="5"/>
      <c r="B381" s="8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1.25" customHeight="1">
      <c r="A382" s="5"/>
      <c r="B382" s="8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1.25" customHeight="1">
      <c r="A383" s="5"/>
      <c r="B383" s="8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1.25" customHeight="1">
      <c r="A384" s="5"/>
      <c r="B384" s="8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1.25" customHeight="1">
      <c r="A385" s="5"/>
      <c r="B385" s="8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1.25" customHeight="1">
      <c r="A386" s="5"/>
      <c r="B386" s="8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1.25" customHeight="1">
      <c r="A387" s="5"/>
      <c r="B387" s="8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1.25" customHeight="1">
      <c r="A388" s="5"/>
      <c r="B388" s="8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1.25" customHeight="1">
      <c r="A389" s="5"/>
      <c r="B389" s="8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1.25" customHeight="1">
      <c r="A390" s="5"/>
      <c r="B390" s="8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1.25" customHeight="1">
      <c r="A391" s="5"/>
      <c r="B391" s="8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1.25" customHeight="1">
      <c r="A392" s="5"/>
      <c r="B392" s="8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1.25" customHeight="1">
      <c r="A393" s="5"/>
      <c r="B393" s="8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1.25" customHeight="1">
      <c r="A394" s="5"/>
      <c r="B394" s="8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1.25" customHeight="1">
      <c r="A395" s="5"/>
      <c r="B395" s="8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1.25" customHeight="1">
      <c r="A396" s="5"/>
      <c r="B396" s="8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1.25" customHeight="1">
      <c r="A397" s="5"/>
      <c r="B397" s="8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1.25" customHeight="1">
      <c r="A398" s="5"/>
      <c r="B398" s="8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1.25" customHeight="1">
      <c r="A399" s="5"/>
      <c r="B399" s="8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1.25" customHeight="1">
      <c r="A400" s="5"/>
      <c r="B400" s="8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1.25" customHeight="1">
      <c r="A401" s="5"/>
      <c r="B401" s="8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1.25" customHeight="1">
      <c r="A402" s="5"/>
      <c r="B402" s="8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1.25" customHeight="1">
      <c r="A403" s="5"/>
      <c r="B403" s="8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1.25" customHeight="1">
      <c r="A404" s="5"/>
      <c r="B404" s="8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1.25" customHeight="1">
      <c r="A405" s="5"/>
      <c r="B405" s="8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1.25" customHeight="1">
      <c r="A406" s="5"/>
      <c r="B406" s="8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1.25" customHeight="1">
      <c r="A407" s="5"/>
      <c r="B407" s="8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1.25" customHeight="1">
      <c r="A408" s="5"/>
      <c r="B408" s="8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1.25" customHeight="1">
      <c r="A409" s="5"/>
      <c r="B409" s="8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1.25" customHeight="1">
      <c r="A410" s="5"/>
      <c r="B410" s="8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1.25" customHeight="1">
      <c r="A411" s="5"/>
      <c r="B411" s="8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1.25" customHeight="1">
      <c r="A412" s="5"/>
      <c r="B412" s="8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1.25" customHeight="1">
      <c r="A413" s="5"/>
      <c r="B413" s="8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1.25" customHeight="1">
      <c r="A414" s="5"/>
      <c r="B414" s="8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1.25" customHeight="1">
      <c r="A415" s="5"/>
      <c r="B415" s="8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1.25" customHeight="1">
      <c r="A416" s="5"/>
      <c r="B416" s="8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1.25" customHeight="1">
      <c r="A417" s="5"/>
      <c r="B417" s="8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1.25" customHeight="1">
      <c r="A418" s="5"/>
      <c r="B418" s="8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1.25" customHeight="1">
      <c r="A419" s="5"/>
      <c r="B419" s="8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1.25" customHeight="1">
      <c r="A420" s="5"/>
      <c r="B420" s="8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1.25" customHeight="1">
      <c r="A421" s="5"/>
      <c r="B421" s="8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1.25" customHeight="1">
      <c r="A422" s="5"/>
      <c r="B422" s="8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1.25" customHeight="1">
      <c r="A423" s="5"/>
      <c r="B423" s="8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1.25" customHeight="1">
      <c r="A424" s="5"/>
      <c r="B424" s="8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1.25" customHeight="1">
      <c r="A425" s="5"/>
      <c r="B425" s="8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1.25" customHeight="1">
      <c r="A426" s="5"/>
      <c r="B426" s="8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1.25" customHeight="1">
      <c r="A427" s="5"/>
      <c r="B427" s="8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1.25" customHeight="1">
      <c r="A428" s="5"/>
      <c r="B428" s="8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1.25" customHeight="1">
      <c r="A429" s="5"/>
      <c r="B429" s="8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1.25" customHeight="1">
      <c r="A430" s="5"/>
      <c r="B430" s="8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1.25" customHeight="1">
      <c r="A431" s="5"/>
      <c r="B431" s="8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1.25" customHeight="1">
      <c r="A432" s="5"/>
      <c r="B432" s="8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1.25" customHeight="1">
      <c r="A433" s="5"/>
      <c r="B433" s="8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1.25" customHeight="1">
      <c r="A434" s="5"/>
      <c r="B434" s="8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1.25" customHeight="1">
      <c r="A435" s="5"/>
      <c r="B435" s="8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1.25" customHeight="1">
      <c r="A436" s="5"/>
      <c r="B436" s="8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1.25" customHeight="1">
      <c r="A437" s="5"/>
      <c r="B437" s="8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1.25" customHeight="1">
      <c r="A438" s="5"/>
      <c r="B438" s="8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1.25" customHeight="1">
      <c r="A439" s="5"/>
      <c r="B439" s="8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1.25" customHeight="1">
      <c r="A440" s="5"/>
      <c r="B440" s="8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1.25" customHeight="1">
      <c r="A441" s="5"/>
      <c r="B441" s="8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1.25" customHeight="1">
      <c r="A442" s="5"/>
      <c r="B442" s="8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1.25" customHeight="1">
      <c r="A443" s="5"/>
      <c r="B443" s="8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1.25" customHeight="1">
      <c r="A444" s="5"/>
      <c r="B444" s="8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1.25" customHeight="1">
      <c r="A445" s="5"/>
      <c r="B445" s="8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1.25" customHeight="1">
      <c r="A446" s="5"/>
      <c r="B446" s="8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1.25" customHeight="1">
      <c r="A447" s="5"/>
      <c r="B447" s="8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1.25" customHeight="1">
      <c r="A448" s="5"/>
      <c r="B448" s="8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1.25" customHeight="1">
      <c r="A449" s="5"/>
      <c r="B449" s="8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1.25" customHeight="1">
      <c r="A450" s="5"/>
      <c r="B450" s="8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1.25" customHeight="1">
      <c r="A451" s="5"/>
      <c r="B451" s="8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1.25" customHeight="1">
      <c r="A452" s="5"/>
      <c r="B452" s="8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1.25" customHeight="1">
      <c r="A453" s="5"/>
      <c r="B453" s="8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1.25" customHeight="1">
      <c r="A454" s="5"/>
      <c r="B454" s="8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1.25" customHeight="1">
      <c r="A455" s="5"/>
      <c r="B455" s="8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1.25" customHeight="1">
      <c r="A456" s="5"/>
      <c r="B456" s="8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1.25" customHeight="1">
      <c r="A457" s="5"/>
      <c r="B457" s="8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1.25" customHeight="1">
      <c r="A458" s="5"/>
      <c r="B458" s="8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1.25" customHeight="1">
      <c r="A459" s="5"/>
      <c r="B459" s="8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1.25" customHeight="1">
      <c r="A460" s="5"/>
      <c r="B460" s="8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1.25" customHeight="1">
      <c r="A461" s="5"/>
      <c r="B461" s="8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1.25" customHeight="1">
      <c r="A462" s="5"/>
      <c r="B462" s="8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1.25" customHeight="1">
      <c r="A463" s="5"/>
      <c r="B463" s="8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1.25" customHeight="1">
      <c r="A464" s="5"/>
      <c r="B464" s="8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1.25" customHeight="1">
      <c r="A465" s="5"/>
      <c r="B465" s="8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1.25" customHeight="1">
      <c r="A466" s="5"/>
      <c r="B466" s="8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1.25" customHeight="1">
      <c r="A467" s="5"/>
      <c r="B467" s="8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1.25" customHeight="1">
      <c r="A468" s="5"/>
      <c r="B468" s="8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1.25" customHeight="1">
      <c r="A469" s="5"/>
      <c r="B469" s="8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1.25" customHeight="1">
      <c r="A470" s="5"/>
      <c r="B470" s="8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1.25" customHeight="1">
      <c r="A471" s="5"/>
      <c r="B471" s="8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1.25" customHeight="1">
      <c r="A472" s="5"/>
      <c r="B472" s="8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1.25" customHeight="1">
      <c r="A473" s="5"/>
      <c r="B473" s="8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1.25" customHeight="1">
      <c r="A474" s="5"/>
      <c r="B474" s="8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1.25" customHeight="1">
      <c r="A475" s="5"/>
      <c r="B475" s="8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1.25" customHeight="1">
      <c r="A476" s="5"/>
      <c r="B476" s="8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1.25" customHeight="1">
      <c r="A477" s="5"/>
      <c r="B477" s="8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1.25" customHeight="1">
      <c r="A478" s="5"/>
      <c r="B478" s="8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1.25" customHeight="1">
      <c r="A479" s="5"/>
      <c r="B479" s="8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1.25" customHeight="1">
      <c r="A480" s="5"/>
      <c r="B480" s="8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1.25" customHeight="1">
      <c r="A481" s="5"/>
      <c r="B481" s="8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1.25" customHeight="1">
      <c r="A482" s="5"/>
      <c r="B482" s="8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1.25" customHeight="1">
      <c r="A483" s="5"/>
      <c r="B483" s="8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1.25" customHeight="1">
      <c r="A484" s="5"/>
      <c r="B484" s="8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1.25" customHeight="1">
      <c r="A485" s="5"/>
      <c r="B485" s="8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1.25" customHeight="1">
      <c r="A486" s="5"/>
      <c r="B486" s="8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1.25" customHeight="1">
      <c r="A487" s="5"/>
      <c r="B487" s="8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1.25" customHeight="1">
      <c r="A488" s="5"/>
      <c r="B488" s="8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1.25" customHeight="1">
      <c r="A489" s="5"/>
      <c r="B489" s="8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1.25" customHeight="1">
      <c r="A490" s="5"/>
      <c r="B490" s="8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1.25" customHeight="1">
      <c r="A491" s="5"/>
      <c r="B491" s="8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1.25" customHeight="1">
      <c r="A492" s="5"/>
      <c r="B492" s="8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1.25" customHeight="1">
      <c r="A493" s="5"/>
      <c r="B493" s="8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1.25" customHeight="1">
      <c r="A494" s="5"/>
      <c r="B494" s="8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1.25" customHeight="1">
      <c r="A495" s="5"/>
      <c r="B495" s="8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1.25" customHeight="1">
      <c r="A496" s="5"/>
      <c r="B496" s="8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1.25" customHeight="1">
      <c r="A497" s="5"/>
      <c r="B497" s="8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1.25" customHeight="1">
      <c r="A498" s="5"/>
      <c r="B498" s="8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1.25" customHeight="1">
      <c r="A499" s="5"/>
      <c r="B499" s="8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1.25" customHeight="1">
      <c r="A500" s="5"/>
      <c r="B500" s="8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1.25" customHeight="1">
      <c r="A501" s="5"/>
      <c r="B501" s="8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1.25" customHeight="1">
      <c r="A502" s="5"/>
      <c r="B502" s="8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1.25" customHeight="1">
      <c r="A503" s="5"/>
      <c r="B503" s="8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1.25" customHeight="1">
      <c r="A504" s="5"/>
      <c r="B504" s="8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1.25" customHeight="1">
      <c r="A505" s="5"/>
      <c r="B505" s="8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1.25" customHeight="1">
      <c r="A506" s="5"/>
      <c r="B506" s="8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1.25" customHeight="1">
      <c r="A507" s="5"/>
      <c r="B507" s="8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1.25" customHeight="1">
      <c r="A508" s="5"/>
      <c r="B508" s="8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1.25" customHeight="1">
      <c r="A509" s="5"/>
      <c r="B509" s="8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1.25" customHeight="1">
      <c r="A510" s="5"/>
      <c r="B510" s="8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1.25" customHeight="1">
      <c r="A511" s="5"/>
      <c r="B511" s="8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1.25" customHeight="1">
      <c r="A512" s="5"/>
      <c r="B512" s="8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1.25" customHeight="1">
      <c r="A513" s="5"/>
      <c r="B513" s="8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1.25" customHeight="1">
      <c r="A514" s="5"/>
      <c r="B514" s="8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1.25" customHeight="1">
      <c r="A515" s="5"/>
      <c r="B515" s="8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1.25" customHeight="1">
      <c r="A516" s="5"/>
      <c r="B516" s="8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1.25" customHeight="1">
      <c r="A517" s="5"/>
      <c r="B517" s="8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1.25" customHeight="1">
      <c r="A518" s="5"/>
      <c r="B518" s="8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1.25" customHeight="1">
      <c r="A519" s="5"/>
      <c r="B519" s="8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1.25" customHeight="1">
      <c r="A520" s="5"/>
      <c r="B520" s="8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1.25" customHeight="1">
      <c r="A521" s="5"/>
      <c r="B521" s="8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1.25" customHeight="1">
      <c r="A522" s="5"/>
      <c r="B522" s="8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1.25" customHeight="1">
      <c r="A523" s="5"/>
      <c r="B523" s="8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1.25" customHeight="1">
      <c r="A524" s="5"/>
      <c r="B524" s="8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1.25" customHeight="1">
      <c r="A525" s="5"/>
      <c r="B525" s="8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1.25" customHeight="1">
      <c r="A526" s="5"/>
      <c r="B526" s="8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1.25" customHeight="1">
      <c r="A527" s="5"/>
      <c r="B527" s="8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1.25" customHeight="1">
      <c r="A528" s="5"/>
      <c r="B528" s="8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1.25" customHeight="1">
      <c r="A529" s="5"/>
      <c r="B529" s="8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1.25" customHeight="1">
      <c r="A530" s="5"/>
      <c r="B530" s="8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1.25" customHeight="1">
      <c r="A531" s="5"/>
      <c r="B531" s="8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1.25" customHeight="1">
      <c r="A532" s="5"/>
      <c r="B532" s="8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1.25" customHeight="1">
      <c r="A533" s="5"/>
      <c r="B533" s="8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1.25" customHeight="1">
      <c r="A534" s="5"/>
      <c r="B534" s="8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1.25" customHeight="1">
      <c r="A535" s="5"/>
      <c r="B535" s="8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1.25" customHeight="1">
      <c r="A536" s="5"/>
      <c r="B536" s="8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1.25" customHeight="1">
      <c r="A537" s="5"/>
      <c r="B537" s="8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1.25" customHeight="1">
      <c r="A538" s="5"/>
      <c r="B538" s="8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1.25" customHeight="1">
      <c r="A539" s="5"/>
      <c r="B539" s="8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1.25" customHeight="1">
      <c r="A540" s="5"/>
      <c r="B540" s="8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1.25" customHeight="1">
      <c r="A541" s="5"/>
      <c r="B541" s="8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1.25" customHeight="1">
      <c r="A542" s="5"/>
      <c r="B542" s="8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1.25" customHeight="1">
      <c r="A543" s="5"/>
      <c r="B543" s="8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1.25" customHeight="1">
      <c r="A544" s="5"/>
      <c r="B544" s="8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1.25" customHeight="1">
      <c r="A545" s="5"/>
      <c r="B545" s="8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1.25" customHeight="1">
      <c r="A546" s="5"/>
      <c r="B546" s="8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1.25" customHeight="1">
      <c r="A547" s="5"/>
      <c r="B547" s="8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1.25" customHeight="1">
      <c r="A548" s="5"/>
      <c r="B548" s="8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1.25" customHeight="1">
      <c r="A549" s="5"/>
      <c r="B549" s="8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1.25" customHeight="1">
      <c r="A550" s="5"/>
      <c r="B550" s="8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1.25" customHeight="1">
      <c r="A551" s="5"/>
      <c r="B551" s="8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1.25" customHeight="1">
      <c r="A552" s="5"/>
      <c r="B552" s="8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1.25" customHeight="1">
      <c r="A553" s="5"/>
      <c r="B553" s="8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1.25" customHeight="1">
      <c r="A554" s="5"/>
      <c r="B554" s="8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1.25" customHeight="1">
      <c r="A555" s="5"/>
      <c r="B555" s="8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1.25" customHeight="1">
      <c r="A556" s="5"/>
      <c r="B556" s="8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1.25" customHeight="1">
      <c r="A557" s="5"/>
      <c r="B557" s="8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1.25" customHeight="1">
      <c r="A558" s="5"/>
      <c r="B558" s="8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1.25" customHeight="1">
      <c r="A559" s="5"/>
      <c r="B559" s="8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1.25" customHeight="1">
      <c r="A560" s="5"/>
      <c r="B560" s="8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1.25" customHeight="1">
      <c r="A561" s="5"/>
      <c r="B561" s="8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1.25" customHeight="1">
      <c r="A562" s="5"/>
      <c r="B562" s="8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1.25" customHeight="1">
      <c r="A563" s="5"/>
      <c r="B563" s="8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1.25" customHeight="1">
      <c r="A564" s="5"/>
      <c r="B564" s="8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1.25" customHeight="1">
      <c r="A565" s="5"/>
      <c r="B565" s="8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1.25" customHeight="1">
      <c r="A566" s="5"/>
      <c r="B566" s="8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1.25" customHeight="1">
      <c r="A567" s="5"/>
      <c r="B567" s="8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1.25" customHeight="1">
      <c r="A568" s="5"/>
      <c r="B568" s="8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1.25" customHeight="1">
      <c r="A569" s="5"/>
      <c r="B569" s="8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1.25" customHeight="1">
      <c r="A570" s="5"/>
      <c r="B570" s="8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1.25" customHeight="1">
      <c r="A571" s="5"/>
      <c r="B571" s="8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1.25" customHeight="1">
      <c r="A572" s="5"/>
      <c r="B572" s="8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1.25" customHeight="1">
      <c r="A573" s="5"/>
      <c r="B573" s="8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1.25" customHeight="1">
      <c r="A574" s="5"/>
      <c r="B574" s="8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1.25" customHeight="1">
      <c r="A575" s="5"/>
      <c r="B575" s="8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1.25" customHeight="1">
      <c r="A576" s="5"/>
      <c r="B576" s="8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1.25" customHeight="1">
      <c r="A577" s="5"/>
      <c r="B577" s="8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1.25" customHeight="1">
      <c r="A578" s="5"/>
      <c r="B578" s="8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1.25" customHeight="1">
      <c r="A579" s="5"/>
      <c r="B579" s="8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1.25" customHeight="1">
      <c r="A580" s="5"/>
      <c r="B580" s="8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1.25" customHeight="1">
      <c r="A581" s="5"/>
      <c r="B581" s="8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1.25" customHeight="1">
      <c r="A582" s="5"/>
      <c r="B582" s="8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1.25" customHeight="1">
      <c r="A583" s="5"/>
      <c r="B583" s="8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1.25" customHeight="1">
      <c r="A584" s="5"/>
      <c r="B584" s="8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1.25" customHeight="1">
      <c r="A585" s="5"/>
      <c r="B585" s="8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1.25" customHeight="1">
      <c r="A586" s="5"/>
      <c r="B586" s="8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1.25" customHeight="1">
      <c r="A587" s="5"/>
      <c r="B587" s="8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1.25" customHeight="1">
      <c r="A588" s="5"/>
      <c r="B588" s="8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1.25" customHeight="1">
      <c r="A589" s="5"/>
      <c r="B589" s="8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1.25" customHeight="1">
      <c r="A590" s="5"/>
      <c r="B590" s="8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1.25" customHeight="1">
      <c r="A591" s="5"/>
      <c r="B591" s="8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1.25" customHeight="1">
      <c r="A592" s="5"/>
      <c r="B592" s="8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1.25" customHeight="1">
      <c r="A593" s="5"/>
      <c r="B593" s="8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1.25" customHeight="1">
      <c r="A594" s="5"/>
      <c r="B594" s="8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1.25" customHeight="1">
      <c r="A595" s="5"/>
      <c r="B595" s="8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1.25" customHeight="1">
      <c r="A596" s="5"/>
      <c r="B596" s="8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1.25" customHeight="1">
      <c r="A597" s="5"/>
      <c r="B597" s="8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1.25" customHeight="1">
      <c r="A598" s="5"/>
      <c r="B598" s="8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1.25" customHeight="1">
      <c r="A599" s="5"/>
      <c r="B599" s="8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1.25" customHeight="1">
      <c r="A600" s="5"/>
      <c r="B600" s="8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1.25" customHeight="1">
      <c r="A601" s="5"/>
      <c r="B601" s="8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1.25" customHeight="1">
      <c r="A602" s="5"/>
      <c r="B602" s="8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1.25" customHeight="1">
      <c r="A603" s="5"/>
      <c r="B603" s="8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1.25" customHeight="1">
      <c r="A604" s="5"/>
      <c r="B604" s="8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1.25" customHeight="1">
      <c r="A605" s="5"/>
      <c r="B605" s="8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1.25" customHeight="1">
      <c r="A606" s="5"/>
      <c r="B606" s="8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1.25" customHeight="1">
      <c r="A607" s="5"/>
      <c r="B607" s="8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1.25" customHeight="1">
      <c r="A608" s="5"/>
      <c r="B608" s="8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1.25" customHeight="1">
      <c r="A609" s="5"/>
      <c r="B609" s="8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1.25" customHeight="1">
      <c r="A610" s="5"/>
      <c r="B610" s="8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1.25" customHeight="1">
      <c r="A611" s="5"/>
      <c r="B611" s="8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1.25" customHeight="1">
      <c r="A612" s="5"/>
      <c r="B612" s="8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1.25" customHeight="1">
      <c r="A613" s="5"/>
      <c r="B613" s="8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1.25" customHeight="1">
      <c r="A614" s="5"/>
      <c r="B614" s="8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1.25" customHeight="1">
      <c r="A615" s="5"/>
      <c r="B615" s="8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1.25" customHeight="1">
      <c r="A616" s="5"/>
      <c r="B616" s="8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1.25" customHeight="1">
      <c r="A617" s="5"/>
      <c r="B617" s="8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1.25" customHeight="1">
      <c r="A618" s="5"/>
      <c r="B618" s="8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1.25" customHeight="1">
      <c r="A619" s="5"/>
      <c r="B619" s="8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1.25" customHeight="1">
      <c r="A620" s="5"/>
      <c r="B620" s="8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1.25" customHeight="1">
      <c r="A621" s="5"/>
      <c r="B621" s="8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1.25" customHeight="1">
      <c r="A622" s="5"/>
      <c r="B622" s="8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1.25" customHeight="1">
      <c r="A623" s="5"/>
      <c r="B623" s="8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1.25" customHeight="1">
      <c r="A624" s="5"/>
      <c r="B624" s="8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1.25" customHeight="1">
      <c r="A625" s="5"/>
      <c r="B625" s="8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1.25" customHeight="1">
      <c r="A626" s="5"/>
      <c r="B626" s="8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1.25" customHeight="1">
      <c r="A627" s="5"/>
      <c r="B627" s="8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1.25" customHeight="1">
      <c r="A628" s="5"/>
      <c r="B628" s="8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1.25" customHeight="1">
      <c r="A629" s="5"/>
      <c r="B629" s="8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1.25" customHeight="1">
      <c r="A630" s="5"/>
      <c r="B630" s="8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1.25" customHeight="1">
      <c r="A631" s="5"/>
      <c r="B631" s="8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1.25" customHeight="1">
      <c r="A632" s="5"/>
      <c r="B632" s="8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1.25" customHeight="1">
      <c r="A633" s="5"/>
      <c r="B633" s="8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1.25" customHeight="1">
      <c r="A634" s="5"/>
      <c r="B634" s="8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1.25" customHeight="1">
      <c r="A635" s="5"/>
      <c r="B635" s="8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1.25" customHeight="1">
      <c r="A636" s="5"/>
      <c r="B636" s="8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1.25" customHeight="1">
      <c r="A637" s="5"/>
      <c r="B637" s="8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1.25" customHeight="1">
      <c r="A638" s="5"/>
      <c r="B638" s="8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1.25" customHeight="1">
      <c r="A639" s="5"/>
      <c r="B639" s="8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1.25" customHeight="1">
      <c r="A640" s="5"/>
      <c r="B640" s="8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1.25" customHeight="1">
      <c r="A641" s="5"/>
      <c r="B641" s="8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1.25" customHeight="1">
      <c r="A642" s="5"/>
      <c r="B642" s="8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1.25" customHeight="1">
      <c r="A643" s="5"/>
      <c r="B643" s="8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1.25" customHeight="1">
      <c r="A644" s="5"/>
      <c r="B644" s="8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1.25" customHeight="1">
      <c r="A645" s="5"/>
      <c r="B645" s="8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1.25" customHeight="1">
      <c r="A646" s="5"/>
      <c r="B646" s="8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1.25" customHeight="1">
      <c r="A647" s="5"/>
      <c r="B647" s="8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1.25" customHeight="1">
      <c r="A648" s="5"/>
      <c r="B648" s="8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1.25" customHeight="1">
      <c r="A649" s="5"/>
      <c r="B649" s="8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1.25" customHeight="1">
      <c r="A650" s="5"/>
      <c r="B650" s="8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1.25" customHeight="1">
      <c r="A651" s="5"/>
      <c r="B651" s="8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1.25" customHeight="1">
      <c r="A652" s="5"/>
      <c r="B652" s="8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1.25" customHeight="1">
      <c r="A653" s="5"/>
      <c r="B653" s="8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1.25" customHeight="1">
      <c r="A654" s="5"/>
      <c r="B654" s="8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1.25" customHeight="1">
      <c r="A655" s="5"/>
      <c r="B655" s="8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1.25" customHeight="1">
      <c r="A656" s="5"/>
      <c r="B656" s="8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1.25" customHeight="1">
      <c r="A657" s="5"/>
      <c r="B657" s="8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1.25" customHeight="1">
      <c r="A658" s="5"/>
      <c r="B658" s="8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1.25" customHeight="1">
      <c r="A659" s="5"/>
      <c r="B659" s="8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1.25" customHeight="1">
      <c r="A660" s="5"/>
      <c r="B660" s="8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1.25" customHeight="1">
      <c r="A661" s="5"/>
      <c r="B661" s="8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1.25" customHeight="1">
      <c r="A662" s="5"/>
      <c r="B662" s="8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1.25" customHeight="1">
      <c r="A663" s="5"/>
      <c r="B663" s="8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1.25" customHeight="1">
      <c r="A664" s="5"/>
      <c r="B664" s="8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1.25" customHeight="1">
      <c r="A665" s="5"/>
      <c r="B665" s="8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1.25" customHeight="1">
      <c r="A666" s="5"/>
      <c r="B666" s="8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1.25" customHeight="1">
      <c r="A667" s="5"/>
      <c r="B667" s="8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1.25" customHeight="1">
      <c r="A668" s="5"/>
      <c r="B668" s="8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1.25" customHeight="1">
      <c r="A669" s="5"/>
      <c r="B669" s="8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1.25" customHeight="1">
      <c r="A670" s="5"/>
      <c r="B670" s="8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1.25" customHeight="1">
      <c r="A671" s="5"/>
      <c r="B671" s="8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1.25" customHeight="1">
      <c r="A672" s="5"/>
      <c r="B672" s="8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1.25" customHeight="1">
      <c r="A673" s="5"/>
      <c r="B673" s="8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1.25" customHeight="1">
      <c r="A674" s="5"/>
      <c r="B674" s="8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1.25" customHeight="1">
      <c r="A675" s="5"/>
      <c r="B675" s="8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1.25" customHeight="1">
      <c r="A676" s="5"/>
      <c r="B676" s="8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1.25" customHeight="1">
      <c r="A677" s="5"/>
      <c r="B677" s="8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1.25" customHeight="1">
      <c r="A678" s="5"/>
      <c r="B678" s="8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1.25" customHeight="1">
      <c r="A679" s="5"/>
      <c r="B679" s="8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1.25" customHeight="1">
      <c r="A680" s="5"/>
      <c r="B680" s="8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1.25" customHeight="1">
      <c r="A681" s="5"/>
      <c r="B681" s="8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1.25" customHeight="1">
      <c r="A682" s="5"/>
      <c r="B682" s="8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1.25" customHeight="1">
      <c r="A683" s="5"/>
      <c r="B683" s="8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1.25" customHeight="1">
      <c r="A684" s="5"/>
      <c r="B684" s="8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1.25" customHeight="1">
      <c r="A685" s="5"/>
      <c r="B685" s="8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1.25" customHeight="1">
      <c r="A686" s="5"/>
      <c r="B686" s="8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1.25" customHeight="1">
      <c r="A687" s="5"/>
      <c r="B687" s="8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1.25" customHeight="1">
      <c r="A688" s="5"/>
      <c r="B688" s="8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1.25" customHeight="1">
      <c r="A689" s="5"/>
      <c r="B689" s="8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1.25" customHeight="1">
      <c r="A690" s="5"/>
      <c r="B690" s="8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1.25" customHeight="1">
      <c r="A691" s="5"/>
      <c r="B691" s="8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1.25" customHeight="1">
      <c r="A692" s="5"/>
      <c r="B692" s="8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1.25" customHeight="1">
      <c r="A693" s="5"/>
      <c r="B693" s="8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1.25" customHeight="1">
      <c r="A694" s="5"/>
      <c r="B694" s="8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1.25" customHeight="1">
      <c r="A695" s="5"/>
      <c r="B695" s="8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1.25" customHeight="1">
      <c r="A696" s="5"/>
      <c r="B696" s="8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1.25" customHeight="1">
      <c r="A697" s="5"/>
      <c r="B697" s="8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1.25" customHeight="1">
      <c r="A698" s="5"/>
      <c r="B698" s="8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1.25" customHeight="1">
      <c r="A699" s="5"/>
      <c r="B699" s="8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1.25" customHeight="1">
      <c r="A700" s="5"/>
      <c r="B700" s="8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1.25" customHeight="1">
      <c r="A701" s="5"/>
      <c r="B701" s="8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1.25" customHeight="1">
      <c r="A702" s="5"/>
      <c r="B702" s="8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1.25" customHeight="1">
      <c r="A703" s="5"/>
      <c r="B703" s="8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1.25" customHeight="1">
      <c r="A704" s="5"/>
      <c r="B704" s="8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1.25" customHeight="1">
      <c r="A705" s="5"/>
      <c r="B705" s="8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1.25" customHeight="1">
      <c r="A706" s="5"/>
      <c r="B706" s="8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1.25" customHeight="1">
      <c r="A707" s="5"/>
      <c r="B707" s="8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1.25" customHeight="1">
      <c r="A708" s="5"/>
      <c r="B708" s="8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1.25" customHeight="1">
      <c r="A709" s="5"/>
      <c r="B709" s="8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1.25" customHeight="1">
      <c r="A710" s="5"/>
      <c r="B710" s="8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1.25" customHeight="1">
      <c r="A711" s="5"/>
      <c r="B711" s="8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1.25" customHeight="1">
      <c r="A712" s="5"/>
      <c r="B712" s="8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1.25" customHeight="1">
      <c r="A713" s="5"/>
      <c r="B713" s="8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1.25" customHeight="1">
      <c r="A714" s="5"/>
      <c r="B714" s="8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1.25" customHeight="1">
      <c r="A715" s="5"/>
      <c r="B715" s="8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1.25" customHeight="1">
      <c r="A716" s="5"/>
      <c r="B716" s="8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1.25" customHeight="1">
      <c r="A717" s="5"/>
      <c r="B717" s="8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1.25" customHeight="1">
      <c r="A718" s="5"/>
      <c r="B718" s="8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1.25" customHeight="1">
      <c r="A719" s="5"/>
      <c r="B719" s="8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1.25" customHeight="1">
      <c r="A720" s="5"/>
      <c r="B720" s="8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1.25" customHeight="1">
      <c r="A721" s="5"/>
      <c r="B721" s="8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1.25" customHeight="1">
      <c r="A722" s="5"/>
      <c r="B722" s="8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1.25" customHeight="1">
      <c r="A723" s="5"/>
      <c r="B723" s="8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1.25" customHeight="1">
      <c r="A724" s="5"/>
      <c r="B724" s="8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1.25" customHeight="1">
      <c r="A725" s="5"/>
      <c r="B725" s="8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1.25" customHeight="1">
      <c r="A726" s="5"/>
      <c r="B726" s="8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1.25" customHeight="1">
      <c r="A727" s="5"/>
      <c r="B727" s="8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1.25" customHeight="1">
      <c r="A728" s="5"/>
      <c r="B728" s="8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1.25" customHeight="1">
      <c r="A729" s="5"/>
      <c r="B729" s="8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1.25" customHeight="1">
      <c r="A730" s="5"/>
      <c r="B730" s="8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1.25" customHeight="1">
      <c r="A731" s="5"/>
      <c r="B731" s="8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1.25" customHeight="1">
      <c r="A732" s="5"/>
      <c r="B732" s="8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1.25" customHeight="1">
      <c r="A733" s="5"/>
      <c r="B733" s="8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1.25" customHeight="1">
      <c r="A734" s="5"/>
      <c r="B734" s="8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1.25" customHeight="1">
      <c r="A735" s="5"/>
      <c r="B735" s="8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1.25" customHeight="1">
      <c r="A736" s="5"/>
      <c r="B736" s="8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1.25" customHeight="1">
      <c r="A737" s="5"/>
      <c r="B737" s="8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1.25" customHeight="1">
      <c r="A738" s="5"/>
      <c r="B738" s="8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1.25" customHeight="1">
      <c r="A739" s="5"/>
      <c r="B739" s="8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1.25" customHeight="1">
      <c r="A740" s="5"/>
      <c r="B740" s="8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1.25" customHeight="1">
      <c r="A741" s="5"/>
      <c r="B741" s="8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1.25" customHeight="1">
      <c r="A742" s="5"/>
      <c r="B742" s="8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1.25" customHeight="1">
      <c r="A743" s="5"/>
      <c r="B743" s="8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1.25" customHeight="1">
      <c r="A744" s="5"/>
      <c r="B744" s="8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1.25" customHeight="1">
      <c r="A745" s="5"/>
      <c r="B745" s="8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1.25" customHeight="1">
      <c r="A746" s="5"/>
      <c r="B746" s="8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1.25" customHeight="1">
      <c r="A747" s="5"/>
      <c r="B747" s="8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1.25" customHeight="1">
      <c r="A748" s="5"/>
      <c r="B748" s="8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1.25" customHeight="1">
      <c r="A749" s="5"/>
      <c r="B749" s="8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1.25" customHeight="1">
      <c r="A750" s="5"/>
      <c r="B750" s="8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1.25" customHeight="1">
      <c r="A751" s="5"/>
      <c r="B751" s="8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1.25" customHeight="1">
      <c r="A752" s="5"/>
      <c r="B752" s="8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1.25" customHeight="1">
      <c r="A753" s="5"/>
      <c r="B753" s="8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1.25" customHeight="1">
      <c r="A754" s="5"/>
      <c r="B754" s="8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1.25" customHeight="1">
      <c r="A755" s="5"/>
      <c r="B755" s="8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1.25" customHeight="1">
      <c r="A756" s="5"/>
      <c r="B756" s="8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1.25" customHeight="1">
      <c r="A757" s="5"/>
      <c r="B757" s="8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1.25" customHeight="1">
      <c r="A758" s="5"/>
      <c r="B758" s="8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1.25" customHeight="1">
      <c r="A759" s="5"/>
      <c r="B759" s="8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1.25" customHeight="1">
      <c r="A760" s="5"/>
      <c r="B760" s="8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1.25" customHeight="1">
      <c r="A761" s="5"/>
      <c r="B761" s="8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1.25" customHeight="1">
      <c r="A762" s="5"/>
      <c r="B762" s="8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1.25" customHeight="1">
      <c r="A763" s="5"/>
      <c r="B763" s="8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1.25" customHeight="1">
      <c r="A764" s="5"/>
      <c r="B764" s="8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1.25" customHeight="1">
      <c r="A765" s="5"/>
      <c r="B765" s="8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1.25" customHeight="1">
      <c r="A766" s="5"/>
      <c r="B766" s="8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1.25" customHeight="1">
      <c r="A767" s="5"/>
      <c r="B767" s="8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1.25" customHeight="1">
      <c r="A768" s="5"/>
      <c r="B768" s="8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1.25" customHeight="1">
      <c r="A769" s="5"/>
      <c r="B769" s="8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1.25" customHeight="1">
      <c r="A770" s="5"/>
      <c r="B770" s="8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1.25" customHeight="1">
      <c r="A771" s="5"/>
      <c r="B771" s="8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1.25" customHeight="1">
      <c r="A772" s="5"/>
      <c r="B772" s="8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1.25" customHeight="1">
      <c r="A773" s="5"/>
      <c r="B773" s="8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1.25" customHeight="1">
      <c r="A774" s="5"/>
      <c r="B774" s="8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1.25" customHeight="1">
      <c r="A775" s="5"/>
      <c r="B775" s="8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1.25" customHeight="1">
      <c r="A776" s="5"/>
      <c r="B776" s="8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1.25" customHeight="1">
      <c r="A777" s="5"/>
      <c r="B777" s="8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1.25" customHeight="1">
      <c r="A778" s="5"/>
      <c r="B778" s="8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1.25" customHeight="1">
      <c r="A779" s="5"/>
      <c r="B779" s="8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1.25" customHeight="1">
      <c r="A780" s="5"/>
      <c r="B780" s="8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1.25" customHeight="1">
      <c r="A781" s="5"/>
      <c r="B781" s="8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1.25" customHeight="1">
      <c r="A782" s="5"/>
      <c r="B782" s="8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1.25" customHeight="1">
      <c r="A783" s="5"/>
      <c r="B783" s="8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1.25" customHeight="1">
      <c r="A784" s="5"/>
      <c r="B784" s="8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1.25" customHeight="1">
      <c r="A785" s="5"/>
      <c r="B785" s="8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1.25" customHeight="1">
      <c r="A786" s="5"/>
      <c r="B786" s="8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1.25" customHeight="1">
      <c r="A787" s="5"/>
      <c r="B787" s="8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1.25" customHeight="1">
      <c r="A788" s="5"/>
      <c r="B788" s="8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1.25" customHeight="1">
      <c r="A789" s="5"/>
      <c r="B789" s="8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1.25" customHeight="1">
      <c r="A790" s="5"/>
      <c r="B790" s="8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1.25" customHeight="1">
      <c r="A791" s="5"/>
      <c r="B791" s="8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1.25" customHeight="1">
      <c r="A792" s="5"/>
      <c r="B792" s="8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1.25" customHeight="1">
      <c r="A793" s="5"/>
      <c r="B793" s="8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1.25" customHeight="1">
      <c r="A794" s="5"/>
      <c r="B794" s="8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1.25" customHeight="1">
      <c r="A795" s="5"/>
      <c r="B795" s="8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1.25" customHeight="1">
      <c r="A796" s="5"/>
      <c r="B796" s="8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1.25" customHeight="1">
      <c r="A797" s="5"/>
      <c r="B797" s="8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1.25" customHeight="1">
      <c r="A798" s="5"/>
      <c r="B798" s="8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1.25" customHeight="1">
      <c r="A799" s="5"/>
      <c r="B799" s="8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1.25" customHeight="1">
      <c r="A800" s="5"/>
      <c r="B800" s="8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1.25" customHeight="1">
      <c r="A801" s="5"/>
      <c r="B801" s="8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1.25" customHeight="1">
      <c r="A802" s="5"/>
      <c r="B802" s="8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1.25" customHeight="1">
      <c r="A803" s="5"/>
      <c r="B803" s="8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1.25" customHeight="1">
      <c r="A804" s="5"/>
      <c r="B804" s="8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1.25" customHeight="1">
      <c r="A805" s="5"/>
      <c r="B805" s="8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1.25" customHeight="1">
      <c r="A806" s="5"/>
      <c r="B806" s="8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1.25" customHeight="1">
      <c r="A807" s="5"/>
      <c r="B807" s="8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1.25" customHeight="1">
      <c r="A808" s="5"/>
      <c r="B808" s="8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1.25" customHeight="1">
      <c r="A809" s="5"/>
      <c r="B809" s="8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1.25" customHeight="1">
      <c r="A810" s="5"/>
      <c r="B810" s="8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1.25" customHeight="1">
      <c r="A811" s="5"/>
      <c r="B811" s="8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1.25" customHeight="1">
      <c r="A812" s="5"/>
      <c r="B812" s="8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1.25" customHeight="1">
      <c r="A813" s="5"/>
      <c r="B813" s="8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1.25" customHeight="1">
      <c r="A814" s="5"/>
      <c r="B814" s="8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1.25" customHeight="1">
      <c r="A815" s="5"/>
      <c r="B815" s="8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1.25" customHeight="1">
      <c r="A816" s="5"/>
      <c r="B816" s="8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1.25" customHeight="1">
      <c r="A817" s="5"/>
      <c r="B817" s="8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1.25" customHeight="1">
      <c r="A818" s="5"/>
      <c r="B818" s="8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1.25" customHeight="1">
      <c r="A819" s="5"/>
      <c r="B819" s="8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1.25" customHeight="1">
      <c r="A820" s="5"/>
      <c r="B820" s="8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1.25" customHeight="1">
      <c r="A821" s="5"/>
      <c r="B821" s="8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1.25" customHeight="1">
      <c r="A822" s="5"/>
      <c r="B822" s="8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1.25" customHeight="1">
      <c r="A823" s="5"/>
      <c r="B823" s="8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1.25" customHeight="1">
      <c r="A824" s="5"/>
      <c r="B824" s="8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1.25" customHeight="1">
      <c r="A825" s="5"/>
      <c r="B825" s="8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1.25" customHeight="1">
      <c r="A826" s="5"/>
      <c r="B826" s="8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1.25" customHeight="1">
      <c r="A827" s="5"/>
      <c r="B827" s="8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1.25" customHeight="1">
      <c r="A828" s="5"/>
      <c r="B828" s="8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1.25" customHeight="1">
      <c r="A829" s="5"/>
      <c r="B829" s="8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1.25" customHeight="1">
      <c r="A830" s="5"/>
      <c r="B830" s="8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1.25" customHeight="1">
      <c r="A831" s="5"/>
      <c r="B831" s="8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1.25" customHeight="1">
      <c r="A832" s="5"/>
      <c r="B832" s="8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1.25" customHeight="1">
      <c r="A833" s="5"/>
      <c r="B833" s="8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1.25" customHeight="1">
      <c r="A834" s="5"/>
      <c r="B834" s="8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1.25" customHeight="1">
      <c r="A835" s="5"/>
      <c r="B835" s="8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1.25" customHeight="1">
      <c r="A836" s="5"/>
      <c r="B836" s="8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1.25" customHeight="1">
      <c r="A837" s="5"/>
      <c r="B837" s="8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1.25" customHeight="1">
      <c r="A838" s="5"/>
      <c r="B838" s="8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1.25" customHeight="1">
      <c r="A839" s="5"/>
      <c r="B839" s="8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1.25" customHeight="1">
      <c r="A840" s="5"/>
      <c r="B840" s="8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1.25" customHeight="1">
      <c r="A841" s="5"/>
      <c r="B841" s="8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1.25" customHeight="1">
      <c r="A842" s="5"/>
      <c r="B842" s="8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1.25" customHeight="1">
      <c r="A843" s="5"/>
      <c r="B843" s="8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1.25" customHeight="1">
      <c r="A844" s="5"/>
      <c r="B844" s="8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1.25" customHeight="1">
      <c r="A845" s="5"/>
      <c r="B845" s="8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1.25" customHeight="1">
      <c r="A846" s="5"/>
      <c r="B846" s="8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1.25" customHeight="1">
      <c r="A847" s="5"/>
      <c r="B847" s="8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1.25" customHeight="1">
      <c r="A848" s="5"/>
      <c r="B848" s="8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1.25" customHeight="1">
      <c r="A849" s="5"/>
      <c r="B849" s="8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1.25" customHeight="1">
      <c r="A850" s="5"/>
      <c r="B850" s="8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1.25" customHeight="1">
      <c r="A851" s="5"/>
      <c r="B851" s="8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1.25" customHeight="1">
      <c r="A852" s="5"/>
      <c r="B852" s="8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1.25" customHeight="1">
      <c r="A853" s="5"/>
      <c r="B853" s="8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1.25" customHeight="1">
      <c r="A854" s="5"/>
      <c r="B854" s="8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1.25" customHeight="1">
      <c r="A855" s="5"/>
      <c r="B855" s="8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1.25" customHeight="1">
      <c r="A856" s="5"/>
      <c r="B856" s="8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1.25" customHeight="1">
      <c r="A857" s="5"/>
      <c r="B857" s="8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1.25" customHeight="1">
      <c r="A858" s="5"/>
      <c r="B858" s="8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1.25" customHeight="1">
      <c r="A859" s="5"/>
      <c r="B859" s="8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1.25" customHeight="1">
      <c r="A860" s="5"/>
      <c r="B860" s="8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1.25" customHeight="1">
      <c r="A861" s="5"/>
      <c r="B861" s="8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1.25" customHeight="1">
      <c r="A862" s="5"/>
      <c r="B862" s="8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1.25" customHeight="1">
      <c r="A863" s="5"/>
      <c r="B863" s="8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1.25" customHeight="1">
      <c r="A864" s="5"/>
      <c r="B864" s="8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1.25" customHeight="1">
      <c r="A865" s="5"/>
      <c r="B865" s="8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1.25" customHeight="1">
      <c r="A866" s="5"/>
      <c r="B866" s="8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1.25" customHeight="1">
      <c r="A867" s="5"/>
      <c r="B867" s="8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1.25" customHeight="1">
      <c r="A868" s="5"/>
      <c r="B868" s="8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1.25" customHeight="1">
      <c r="A869" s="5"/>
      <c r="B869" s="8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1.25" customHeight="1">
      <c r="A870" s="5"/>
      <c r="B870" s="8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1.25" customHeight="1">
      <c r="A871" s="5"/>
      <c r="B871" s="8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1.25" customHeight="1">
      <c r="A872" s="5"/>
      <c r="B872" s="8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1.25" customHeight="1">
      <c r="A873" s="5"/>
      <c r="B873" s="8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1.25" customHeight="1">
      <c r="A874" s="5"/>
      <c r="B874" s="8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1.25" customHeight="1">
      <c r="A875" s="5"/>
      <c r="B875" s="8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1.25" customHeight="1">
      <c r="A876" s="5"/>
      <c r="B876" s="8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1.25" customHeight="1">
      <c r="A877" s="5"/>
      <c r="B877" s="8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1.25" customHeight="1">
      <c r="A878" s="5"/>
      <c r="B878" s="8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1.25" customHeight="1">
      <c r="A879" s="5"/>
      <c r="B879" s="8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1.25" customHeight="1">
      <c r="A880" s="5"/>
      <c r="B880" s="8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1.25" customHeight="1">
      <c r="A881" s="5"/>
      <c r="B881" s="8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1.25" customHeight="1">
      <c r="A882" s="5"/>
      <c r="B882" s="8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1.25" customHeight="1">
      <c r="A883" s="5"/>
      <c r="B883" s="8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1.25" customHeight="1">
      <c r="A884" s="5"/>
      <c r="B884" s="8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1.25" customHeight="1">
      <c r="A885" s="5"/>
      <c r="B885" s="8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1.25" customHeight="1">
      <c r="A886" s="5"/>
      <c r="B886" s="8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1.25" customHeight="1">
      <c r="A887" s="5"/>
      <c r="B887" s="8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1.25" customHeight="1">
      <c r="A888" s="5"/>
      <c r="B888" s="8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1.25" customHeight="1">
      <c r="A889" s="5"/>
      <c r="B889" s="8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1.25" customHeight="1">
      <c r="A890" s="5"/>
      <c r="B890" s="8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1.25" customHeight="1">
      <c r="A891" s="5"/>
      <c r="B891" s="8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1.25" customHeight="1">
      <c r="A892" s="5"/>
      <c r="B892" s="8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1.25" customHeight="1">
      <c r="A893" s="5"/>
      <c r="B893" s="8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1.25" customHeight="1">
      <c r="A894" s="5"/>
      <c r="B894" s="8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1.25" customHeight="1">
      <c r="A895" s="5"/>
      <c r="B895" s="8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1.25" customHeight="1">
      <c r="A896" s="5"/>
      <c r="B896" s="8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1.25" customHeight="1">
      <c r="A897" s="5"/>
      <c r="B897" s="8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1.25" customHeight="1">
      <c r="A898" s="5"/>
      <c r="B898" s="8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1.25" customHeight="1">
      <c r="A899" s="5"/>
      <c r="B899" s="8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1.25" customHeight="1">
      <c r="A900" s="5"/>
      <c r="B900" s="8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1.25" customHeight="1">
      <c r="A901" s="5"/>
      <c r="B901" s="8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1.25" customHeight="1">
      <c r="A902" s="5"/>
      <c r="B902" s="8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1.25" customHeight="1">
      <c r="A903" s="5"/>
      <c r="B903" s="8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1.25" customHeight="1">
      <c r="A904" s="5"/>
      <c r="B904" s="8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1.25" customHeight="1">
      <c r="A905" s="5"/>
      <c r="B905" s="8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1.25" customHeight="1">
      <c r="A906" s="5"/>
      <c r="B906" s="8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1.25" customHeight="1">
      <c r="A907" s="5"/>
      <c r="B907" s="8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1.25" customHeight="1">
      <c r="A908" s="5"/>
      <c r="B908" s="8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1.25" customHeight="1">
      <c r="A909" s="5"/>
      <c r="B909" s="8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1.25" customHeight="1">
      <c r="A910" s="5"/>
      <c r="B910" s="8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1.25" customHeight="1">
      <c r="A911" s="5"/>
      <c r="B911" s="8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1.25" customHeight="1">
      <c r="A912" s="5"/>
      <c r="B912" s="8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1.25" customHeight="1">
      <c r="A913" s="5"/>
      <c r="B913" s="8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1.25" customHeight="1">
      <c r="A914" s="5"/>
      <c r="B914" s="8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1.25" customHeight="1">
      <c r="A915" s="5"/>
      <c r="B915" s="8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1.25" customHeight="1">
      <c r="A916" s="5"/>
      <c r="B916" s="8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1.25" customHeight="1">
      <c r="A917" s="5"/>
      <c r="B917" s="8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1.25" customHeight="1">
      <c r="A918" s="5"/>
      <c r="B918" s="8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1.25" customHeight="1">
      <c r="A919" s="5"/>
      <c r="B919" s="8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1.25" customHeight="1">
      <c r="A920" s="5"/>
      <c r="B920" s="8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1.25" customHeight="1">
      <c r="A921" s="5"/>
      <c r="B921" s="8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1.25" customHeight="1">
      <c r="A922" s="5"/>
      <c r="B922" s="8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1.25" customHeight="1">
      <c r="A923" s="5"/>
      <c r="B923" s="8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1.25" customHeight="1">
      <c r="A924" s="5"/>
      <c r="B924" s="8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1.25" customHeight="1">
      <c r="A925" s="5"/>
      <c r="B925" s="8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1.25" customHeight="1">
      <c r="A926" s="5"/>
      <c r="B926" s="8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1.25" customHeight="1">
      <c r="A927" s="5"/>
      <c r="B927" s="8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1.25" customHeight="1">
      <c r="A928" s="5"/>
      <c r="B928" s="8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1.25" customHeight="1">
      <c r="A929" s="5"/>
      <c r="B929" s="8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1.25" customHeight="1">
      <c r="A930" s="5"/>
      <c r="B930" s="8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1.25" customHeight="1">
      <c r="A931" s="5"/>
      <c r="B931" s="8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1.25" customHeight="1">
      <c r="A932" s="5"/>
      <c r="B932" s="8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1.25" customHeight="1">
      <c r="A933" s="5"/>
      <c r="B933" s="8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1.25" customHeight="1">
      <c r="A934" s="5"/>
      <c r="B934" s="8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1.25" customHeight="1">
      <c r="A935" s="5"/>
      <c r="B935" s="8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1.25" customHeight="1">
      <c r="A936" s="5"/>
      <c r="B936" s="8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1.25" customHeight="1">
      <c r="A937" s="5"/>
      <c r="B937" s="8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1.25" customHeight="1">
      <c r="A938" s="5"/>
      <c r="B938" s="8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1.25" customHeight="1">
      <c r="A939" s="5"/>
      <c r="B939" s="8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1.25" customHeight="1">
      <c r="A940" s="5"/>
      <c r="B940" s="8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1.25" customHeight="1">
      <c r="A941" s="5"/>
      <c r="B941" s="8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1.25" customHeight="1">
      <c r="A942" s="5"/>
      <c r="B942" s="8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1.25" customHeight="1">
      <c r="A943" s="5"/>
      <c r="B943" s="8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1.25" customHeight="1">
      <c r="A944" s="5"/>
      <c r="B944" s="8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1.25" customHeight="1">
      <c r="A945" s="5"/>
      <c r="B945" s="8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1.25" customHeight="1">
      <c r="A946" s="5"/>
      <c r="B946" s="8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1.25" customHeight="1">
      <c r="A947" s="5"/>
      <c r="B947" s="8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1.25" customHeight="1">
      <c r="A948" s="5"/>
      <c r="B948" s="8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1.25" customHeight="1">
      <c r="A949" s="5"/>
      <c r="B949" s="8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1.25" customHeight="1">
      <c r="A950" s="5"/>
      <c r="B950" s="8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1.25" customHeight="1">
      <c r="A951" s="5"/>
      <c r="B951" s="8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1.25" customHeight="1">
      <c r="A952" s="5"/>
      <c r="B952" s="8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1.25" customHeight="1">
      <c r="A953" s="5"/>
      <c r="B953" s="8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1.25" customHeight="1">
      <c r="A954" s="5"/>
      <c r="B954" s="8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1.25" customHeight="1">
      <c r="A955" s="5"/>
      <c r="B955" s="8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1.25" customHeight="1">
      <c r="A956" s="5"/>
      <c r="B956" s="8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1.25" customHeight="1">
      <c r="A957" s="5"/>
      <c r="B957" s="8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1.25" customHeight="1">
      <c r="A958" s="5"/>
      <c r="B958" s="8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1.25" customHeight="1">
      <c r="A959" s="5"/>
      <c r="B959" s="8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1.25" customHeight="1">
      <c r="A960" s="5"/>
      <c r="B960" s="8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1.25" customHeight="1">
      <c r="A961" s="5"/>
      <c r="B961" s="8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1.25" customHeight="1">
      <c r="A962" s="5"/>
      <c r="B962" s="8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1.25" customHeight="1">
      <c r="A963" s="5"/>
      <c r="B963" s="8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1.25" customHeight="1">
      <c r="A964" s="5"/>
      <c r="B964" s="8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1.25" customHeight="1">
      <c r="A965" s="5"/>
      <c r="B965" s="8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1.25" customHeight="1">
      <c r="A966" s="5"/>
      <c r="B966" s="8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1.25" customHeight="1">
      <c r="A967" s="5"/>
      <c r="B967" s="8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1.25" customHeight="1">
      <c r="A968" s="5"/>
      <c r="B968" s="8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1.25" customHeight="1">
      <c r="A969" s="5"/>
      <c r="B969" s="8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1.25" customHeight="1">
      <c r="A970" s="5"/>
      <c r="B970" s="8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1.25" customHeight="1">
      <c r="A971" s="5"/>
      <c r="B971" s="8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1.25" customHeight="1">
      <c r="A972" s="5"/>
      <c r="B972" s="8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1.25" customHeight="1">
      <c r="A973" s="5"/>
      <c r="B973" s="8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1.25" customHeight="1">
      <c r="A974" s="5"/>
      <c r="B974" s="8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1.25" customHeight="1">
      <c r="A975" s="5"/>
      <c r="B975" s="8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1.25" customHeight="1">
      <c r="A976" s="5"/>
      <c r="B976" s="8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1.25" customHeight="1">
      <c r="A977" s="5"/>
      <c r="B977" s="8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1.25" customHeight="1">
      <c r="A978" s="5"/>
      <c r="B978" s="8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1.25" customHeight="1">
      <c r="A979" s="5"/>
      <c r="B979" s="8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1.25" customHeight="1">
      <c r="A980" s="5"/>
      <c r="B980" s="8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1.25" customHeight="1">
      <c r="A981" s="5"/>
      <c r="B981" s="8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1.25" customHeight="1">
      <c r="A982" s="5"/>
      <c r="B982" s="8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1.25" customHeight="1">
      <c r="A983" s="5"/>
      <c r="B983" s="8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1.25" customHeight="1">
      <c r="A984" s="5"/>
      <c r="B984" s="8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1.25" customHeight="1">
      <c r="A985" s="5"/>
      <c r="B985" s="8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1.25" customHeight="1">
      <c r="A986" s="5"/>
      <c r="B986" s="8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1.25" customHeight="1">
      <c r="A987" s="5"/>
      <c r="B987" s="8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1.25" customHeight="1">
      <c r="A988" s="5"/>
      <c r="B988" s="8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1.25" customHeight="1">
      <c r="A989" s="5"/>
      <c r="B989" s="8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1.25" customHeight="1">
      <c r="A990" s="5"/>
      <c r="B990" s="8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1.25" customHeight="1">
      <c r="A991" s="5"/>
      <c r="B991" s="8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1.25" customHeight="1">
      <c r="A992" s="5"/>
      <c r="B992" s="8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1.25" customHeight="1">
      <c r="A993" s="5"/>
      <c r="B993" s="8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1.25" customHeight="1">
      <c r="A994" s="5"/>
      <c r="B994" s="8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1.25" customHeight="1">
      <c r="A995" s="5"/>
      <c r="B995" s="8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1.25" customHeight="1">
      <c r="A996" s="5"/>
      <c r="B996" s="8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1.25" customHeight="1">
      <c r="A997" s="5"/>
      <c r="B997" s="8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1.25" customHeight="1">
      <c r="A998" s="5"/>
      <c r="B998" s="8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1.25" customHeight="1">
      <c r="A999" s="5"/>
      <c r="B999" s="8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mergeCells count="3">
    <mergeCell ref="D1:M1"/>
    <mergeCell ref="G3:I3"/>
    <mergeCell ref="D6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5703125" defaultRowHeight="12.75"/>
  <cols>
    <col min="1" max="1" width="26.42578125" customWidth="1"/>
    <col min="2" max="2" width="19.42578125" customWidth="1"/>
    <col min="3" max="3" width="94.7109375" customWidth="1"/>
    <col min="4" max="4" width="36.85546875" customWidth="1"/>
    <col min="5" max="5" width="26.28515625" customWidth="1"/>
    <col min="6" max="26" width="10.5703125" customWidth="1"/>
  </cols>
  <sheetData>
    <row r="1" spans="1:26" ht="23.25" customHeight="1">
      <c r="A1" s="2" t="s">
        <v>245</v>
      </c>
      <c r="B1" s="4" t="s">
        <v>246</v>
      </c>
      <c r="C1" s="7" t="s">
        <v>247</v>
      </c>
      <c r="D1" s="7" t="s">
        <v>248</v>
      </c>
      <c r="E1" s="7" t="s">
        <v>249</v>
      </c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28.5">
      <c r="A2" s="12" t="s">
        <v>39</v>
      </c>
      <c r="B2" s="12" t="s">
        <v>54</v>
      </c>
      <c r="C2" s="15" t="s">
        <v>250</v>
      </c>
      <c r="D2" s="17" t="s">
        <v>11</v>
      </c>
      <c r="E2" s="17" t="s">
        <v>63</v>
      </c>
    </row>
    <row r="3" spans="1:26" ht="28.5">
      <c r="A3" s="12" t="s">
        <v>73</v>
      </c>
      <c r="B3" s="12" t="s">
        <v>116</v>
      </c>
      <c r="C3" s="15" t="s">
        <v>251</v>
      </c>
      <c r="D3" s="17" t="s">
        <v>59</v>
      </c>
      <c r="E3" s="17" t="s">
        <v>52</v>
      </c>
    </row>
    <row r="4" spans="1:26" ht="28.5">
      <c r="A4" s="12" t="s">
        <v>103</v>
      </c>
      <c r="B4" s="12" t="s">
        <v>40</v>
      </c>
      <c r="C4" s="15" t="s">
        <v>252</v>
      </c>
      <c r="D4" s="17" t="s">
        <v>70</v>
      </c>
      <c r="E4" s="17"/>
    </row>
    <row r="5" spans="1:26" ht="28.5">
      <c r="A5" s="12" t="s">
        <v>53</v>
      </c>
      <c r="B5" s="12" t="s">
        <v>65</v>
      </c>
      <c r="C5" s="15" t="s">
        <v>253</v>
      </c>
      <c r="D5" s="17" t="s">
        <v>63</v>
      </c>
      <c r="E5" s="17"/>
    </row>
    <row r="6" spans="1:26" ht="28.5">
      <c r="A6" s="12" t="s">
        <v>80</v>
      </c>
      <c r="B6" s="12" t="s">
        <v>138</v>
      </c>
      <c r="C6" s="15" t="s">
        <v>254</v>
      </c>
      <c r="D6" s="17"/>
      <c r="E6" s="17"/>
    </row>
    <row r="7" spans="1:26" ht="14.25">
      <c r="A7" s="12" t="s">
        <v>64</v>
      </c>
      <c r="B7" s="12"/>
      <c r="C7" s="15" t="s">
        <v>255</v>
      </c>
      <c r="D7" s="17"/>
      <c r="E7" s="17"/>
    </row>
    <row r="8" spans="1:26" ht="14.25">
      <c r="A8" s="12" t="s">
        <v>137</v>
      </c>
      <c r="B8" s="12"/>
      <c r="C8" s="15"/>
      <c r="D8" s="12"/>
      <c r="E8" s="12"/>
    </row>
    <row r="9" spans="1:26" ht="12.75" customHeight="1">
      <c r="A9" s="23"/>
      <c r="B9" s="23"/>
      <c r="C9" s="23"/>
      <c r="D9" s="23"/>
      <c r="E9" s="23"/>
    </row>
    <row r="10" spans="1:26" ht="12.75" customHeight="1">
      <c r="A10" s="23"/>
      <c r="B10" s="23"/>
      <c r="C10" s="23"/>
      <c r="D10" s="23"/>
      <c r="E10" s="23"/>
    </row>
    <row r="11" spans="1:26" ht="12.75" customHeight="1">
      <c r="A11" s="23"/>
      <c r="B11" s="23"/>
      <c r="C11" s="23"/>
      <c r="D11" s="23"/>
      <c r="E11" s="23"/>
    </row>
    <row r="12" spans="1:26" ht="12.75" customHeight="1">
      <c r="A12" s="23"/>
      <c r="B12" s="23"/>
      <c r="C12" s="23"/>
      <c r="D12" s="23"/>
      <c r="E12" s="23"/>
    </row>
    <row r="13" spans="1:26" ht="12.75" customHeight="1">
      <c r="A13" s="23"/>
      <c r="B13" s="23"/>
      <c r="C13" s="23"/>
      <c r="D13" s="23"/>
      <c r="E13" s="23"/>
    </row>
    <row r="14" spans="1:26" ht="12.75" customHeight="1">
      <c r="A14" s="23"/>
      <c r="B14" s="23"/>
      <c r="C14" s="23"/>
      <c r="D14" s="23"/>
      <c r="E14" s="23"/>
    </row>
    <row r="15" spans="1:26" ht="12.75" customHeight="1">
      <c r="A15" s="23"/>
      <c r="B15" s="23"/>
      <c r="C15" s="23"/>
      <c r="D15" s="23"/>
      <c r="E15" s="23"/>
    </row>
    <row r="16" spans="1:26" ht="12.75" customHeight="1">
      <c r="A16" s="23"/>
      <c r="B16" s="23"/>
      <c r="C16" s="23"/>
      <c r="D16" s="23"/>
      <c r="E16" s="23"/>
    </row>
    <row r="17" spans="1:5" ht="12.75" customHeight="1">
      <c r="A17" s="23"/>
      <c r="B17" s="23"/>
      <c r="C17" s="23"/>
      <c r="D17" s="23"/>
      <c r="E17" s="23"/>
    </row>
    <row r="18" spans="1:5" ht="12.75" customHeight="1">
      <c r="A18" s="23"/>
      <c r="B18" s="23"/>
      <c r="C18" s="23"/>
      <c r="D18" s="23"/>
      <c r="E18" s="23"/>
    </row>
    <row r="19" spans="1:5" ht="12.75" customHeight="1">
      <c r="A19" s="23"/>
      <c r="B19" s="23"/>
      <c r="C19" s="23"/>
      <c r="D19" s="23"/>
      <c r="E19" s="23"/>
    </row>
    <row r="20" spans="1:5" ht="12.75" customHeight="1">
      <c r="A20" s="23"/>
      <c r="B20" s="23"/>
      <c r="C20" s="23"/>
      <c r="D20" s="23"/>
      <c r="E20" s="23"/>
    </row>
    <row r="21" spans="1:5" ht="12.75" customHeight="1">
      <c r="A21" s="23"/>
      <c r="B21" s="23"/>
      <c r="C21" s="23"/>
      <c r="D21" s="23"/>
      <c r="E21" s="23"/>
    </row>
    <row r="22" spans="1:5" ht="12.75" customHeight="1">
      <c r="A22" s="23"/>
      <c r="B22" s="23"/>
      <c r="C22" s="23"/>
      <c r="D22" s="23"/>
      <c r="E22" s="23"/>
    </row>
    <row r="23" spans="1:5" ht="12.75" customHeight="1">
      <c r="A23" s="23"/>
      <c r="B23" s="23"/>
      <c r="C23" s="23"/>
      <c r="D23" s="23"/>
      <c r="E23" s="23"/>
    </row>
    <row r="24" spans="1:5" ht="12.75" customHeight="1">
      <c r="A24" s="23"/>
      <c r="B24" s="23"/>
      <c r="C24" s="23"/>
      <c r="D24" s="23"/>
      <c r="E24" s="23"/>
    </row>
    <row r="25" spans="1:5" ht="12.75" customHeight="1">
      <c r="A25" s="23"/>
      <c r="B25" s="23"/>
      <c r="C25" s="23"/>
      <c r="D25" s="23"/>
      <c r="E25" s="23"/>
    </row>
    <row r="26" spans="1:5" ht="12.75" customHeight="1">
      <c r="A26" s="23"/>
      <c r="B26" s="23"/>
      <c r="C26" s="23"/>
      <c r="D26" s="23"/>
      <c r="E26" s="23"/>
    </row>
    <row r="27" spans="1:5" ht="12.75" customHeight="1">
      <c r="A27" s="23"/>
      <c r="B27" s="23"/>
      <c r="C27" s="23"/>
      <c r="D27" s="23"/>
      <c r="E27" s="23"/>
    </row>
    <row r="28" spans="1:5" ht="12.75" customHeight="1">
      <c r="A28" s="23"/>
      <c r="B28" s="23"/>
      <c r="C28" s="23"/>
      <c r="D28" s="23"/>
      <c r="E28" s="23"/>
    </row>
    <row r="29" spans="1:5" ht="12.75" customHeight="1">
      <c r="A29" s="23"/>
      <c r="B29" s="23"/>
      <c r="C29" s="23"/>
      <c r="D29" s="23"/>
      <c r="E29" s="23"/>
    </row>
    <row r="30" spans="1:5" ht="12.75" customHeight="1">
      <c r="A30" s="23"/>
      <c r="B30" s="23"/>
      <c r="C30" s="23"/>
      <c r="D30" s="23"/>
      <c r="E30" s="23"/>
    </row>
    <row r="31" spans="1:5" ht="12.75" customHeight="1">
      <c r="A31" s="23"/>
      <c r="B31" s="23"/>
      <c r="C31" s="23"/>
      <c r="D31" s="23"/>
      <c r="E31" s="23"/>
    </row>
    <row r="32" spans="1:5" ht="12.75" customHeight="1">
      <c r="A32" s="23"/>
      <c r="B32" s="23"/>
      <c r="C32" s="23"/>
      <c r="D32" s="23"/>
      <c r="E32" s="23"/>
    </row>
    <row r="33" spans="1:5" ht="12.75" customHeight="1">
      <c r="A33" s="38"/>
      <c r="B33" s="38"/>
      <c r="C33" s="38"/>
      <c r="D33" s="38"/>
      <c r="E33" s="38"/>
    </row>
    <row r="34" spans="1:5" ht="12.75" customHeight="1">
      <c r="A34" s="38"/>
      <c r="B34" s="38"/>
      <c r="C34" s="38"/>
      <c r="D34" s="38"/>
      <c r="E34" s="38"/>
    </row>
    <row r="35" spans="1:5" ht="12.75" customHeight="1">
      <c r="A35" s="38"/>
      <c r="B35" s="38"/>
      <c r="C35" s="38"/>
      <c r="D35" s="38"/>
      <c r="E35" s="38"/>
    </row>
    <row r="36" spans="1:5" ht="12.75" customHeight="1">
      <c r="A36" s="38"/>
      <c r="B36" s="38"/>
      <c r="C36" s="38"/>
      <c r="D36" s="38"/>
      <c r="E36" s="38"/>
    </row>
    <row r="37" spans="1:5" ht="12.75" customHeight="1">
      <c r="A37" s="38"/>
      <c r="B37" s="38"/>
      <c r="C37" s="38"/>
      <c r="D37" s="38"/>
      <c r="E37" s="38"/>
    </row>
    <row r="38" spans="1:5" ht="12.75" customHeight="1">
      <c r="A38" s="38"/>
      <c r="B38" s="38"/>
      <c r="C38" s="38"/>
      <c r="D38" s="38"/>
      <c r="E38" s="38"/>
    </row>
    <row r="39" spans="1:5" ht="12.75" customHeight="1">
      <c r="A39" s="38"/>
      <c r="B39" s="38"/>
      <c r="C39" s="38"/>
      <c r="D39" s="38"/>
      <c r="E39" s="38"/>
    </row>
    <row r="40" spans="1:5" ht="12.75" customHeight="1">
      <c r="A40" s="38"/>
      <c r="B40" s="38"/>
      <c r="C40" s="38"/>
      <c r="D40" s="38"/>
      <c r="E40" s="38"/>
    </row>
    <row r="41" spans="1:5" ht="12.75" customHeight="1">
      <c r="A41" s="38"/>
      <c r="B41" s="38"/>
      <c r="C41" s="38"/>
      <c r="D41" s="38"/>
      <c r="E41" s="38"/>
    </row>
    <row r="42" spans="1:5" ht="12.75" customHeight="1">
      <c r="A42" s="38"/>
      <c r="B42" s="38"/>
      <c r="C42" s="38"/>
      <c r="D42" s="38"/>
      <c r="E42" s="38"/>
    </row>
    <row r="43" spans="1:5" ht="12.75" customHeight="1">
      <c r="A43" s="38"/>
      <c r="B43" s="38"/>
      <c r="C43" s="38"/>
      <c r="D43" s="38"/>
      <c r="E43" s="38"/>
    </row>
    <row r="44" spans="1:5" ht="12.75" customHeight="1">
      <c r="A44" s="38"/>
      <c r="B44" s="38"/>
      <c r="C44" s="38"/>
      <c r="D44" s="38"/>
      <c r="E44" s="38"/>
    </row>
    <row r="45" spans="1:5" ht="12.75" customHeight="1">
      <c r="A45" s="38"/>
      <c r="B45" s="38"/>
      <c r="C45" s="38"/>
      <c r="D45" s="38"/>
      <c r="E45" s="38"/>
    </row>
    <row r="46" spans="1:5" ht="12.75" customHeight="1">
      <c r="A46" s="38"/>
      <c r="B46" s="38"/>
      <c r="C46" s="38"/>
      <c r="D46" s="38"/>
      <c r="E46" s="38"/>
    </row>
    <row r="47" spans="1:5" ht="12.75" customHeight="1">
      <c r="A47" s="38"/>
      <c r="B47" s="38"/>
      <c r="C47" s="38"/>
      <c r="D47" s="38"/>
      <c r="E47" s="38"/>
    </row>
    <row r="48" spans="1:5" ht="12.75" customHeight="1">
      <c r="A48" s="38"/>
      <c r="B48" s="38"/>
      <c r="C48" s="38"/>
      <c r="D48" s="38"/>
      <c r="E48" s="38"/>
    </row>
    <row r="49" spans="1:5" ht="12.75" customHeight="1">
      <c r="A49" s="38"/>
      <c r="B49" s="38"/>
      <c r="C49" s="38"/>
      <c r="D49" s="38"/>
      <c r="E49" s="38"/>
    </row>
    <row r="50" spans="1:5" ht="12.75" customHeight="1">
      <c r="A50" s="38"/>
      <c r="B50" s="38"/>
      <c r="C50" s="38"/>
      <c r="D50" s="38"/>
      <c r="E50" s="38"/>
    </row>
    <row r="51" spans="1:5" ht="12.75" customHeight="1">
      <c r="A51" s="38"/>
      <c r="B51" s="38"/>
      <c r="C51" s="38"/>
      <c r="D51" s="38"/>
      <c r="E51" s="38"/>
    </row>
    <row r="52" spans="1:5" ht="12.75" customHeight="1">
      <c r="A52" s="38"/>
      <c r="B52" s="38"/>
      <c r="C52" s="38"/>
      <c r="D52" s="38"/>
      <c r="E52" s="38"/>
    </row>
    <row r="53" spans="1:5" ht="12.75" customHeight="1">
      <c r="A53" s="38"/>
      <c r="B53" s="38"/>
      <c r="C53" s="38"/>
      <c r="D53" s="38"/>
      <c r="E53" s="38"/>
    </row>
    <row r="54" spans="1:5" ht="12.75" customHeight="1">
      <c r="A54" s="38"/>
      <c r="B54" s="38"/>
      <c r="C54" s="38"/>
      <c r="D54" s="38"/>
      <c r="E54" s="38"/>
    </row>
    <row r="55" spans="1:5" ht="12.75" customHeight="1">
      <c r="A55" s="38"/>
      <c r="B55" s="38"/>
      <c r="C55" s="38"/>
      <c r="D55" s="38"/>
      <c r="E55" s="38"/>
    </row>
    <row r="56" spans="1:5" ht="12.75" customHeight="1">
      <c r="A56" s="38"/>
      <c r="B56" s="38"/>
      <c r="C56" s="38"/>
      <c r="D56" s="38"/>
      <c r="E56" s="38"/>
    </row>
    <row r="57" spans="1:5" ht="12.75" customHeight="1">
      <c r="A57" s="38"/>
      <c r="B57" s="38"/>
      <c r="C57" s="38"/>
      <c r="D57" s="38"/>
      <c r="E57" s="38"/>
    </row>
    <row r="58" spans="1:5" ht="12.75" customHeight="1">
      <c r="A58" s="38"/>
      <c r="B58" s="38"/>
      <c r="C58" s="38"/>
      <c r="D58" s="38"/>
      <c r="E58" s="38"/>
    </row>
    <row r="59" spans="1:5" ht="12.75" customHeight="1">
      <c r="A59" s="38"/>
      <c r="B59" s="38"/>
      <c r="C59" s="38"/>
      <c r="D59" s="38"/>
      <c r="E59" s="38"/>
    </row>
    <row r="60" spans="1:5" ht="12.75" customHeight="1">
      <c r="A60" s="38"/>
      <c r="B60" s="38"/>
      <c r="C60" s="38"/>
      <c r="D60" s="38"/>
      <c r="E60" s="38"/>
    </row>
    <row r="61" spans="1:5" ht="12.75" customHeight="1">
      <c r="A61" s="38"/>
      <c r="B61" s="38"/>
      <c r="C61" s="38"/>
      <c r="D61" s="38"/>
      <c r="E61" s="38"/>
    </row>
    <row r="62" spans="1:5" ht="12.75" customHeight="1">
      <c r="A62" s="38"/>
      <c r="B62" s="38"/>
      <c r="C62" s="38"/>
      <c r="D62" s="38"/>
      <c r="E62" s="38"/>
    </row>
    <row r="63" spans="1:5" ht="12.75" customHeight="1">
      <c r="A63" s="38"/>
      <c r="B63" s="38"/>
      <c r="C63" s="38"/>
      <c r="D63" s="38"/>
      <c r="E63" s="38"/>
    </row>
    <row r="64" spans="1:5" ht="12.75" customHeight="1">
      <c r="A64" s="38"/>
      <c r="B64" s="38"/>
      <c r="C64" s="38"/>
      <c r="D64" s="38"/>
      <c r="E64" s="38"/>
    </row>
    <row r="65" spans="1:5" ht="12.75" customHeight="1">
      <c r="A65" s="38"/>
      <c r="B65" s="38"/>
      <c r="C65" s="38"/>
      <c r="D65" s="38"/>
      <c r="E65" s="38"/>
    </row>
    <row r="66" spans="1:5" ht="12.75" customHeight="1">
      <c r="A66" s="38"/>
      <c r="B66" s="38"/>
      <c r="C66" s="38"/>
      <c r="D66" s="38"/>
      <c r="E66" s="38"/>
    </row>
    <row r="67" spans="1:5" ht="12.75" customHeight="1">
      <c r="A67" s="38"/>
      <c r="B67" s="38"/>
      <c r="C67" s="38"/>
      <c r="D67" s="38"/>
      <c r="E67" s="38"/>
    </row>
    <row r="68" spans="1:5" ht="12.75" customHeight="1">
      <c r="A68" s="38"/>
      <c r="B68" s="38"/>
      <c r="C68" s="38"/>
      <c r="D68" s="38"/>
      <c r="E68" s="38"/>
    </row>
    <row r="69" spans="1:5" ht="12.75" customHeight="1">
      <c r="A69" s="38"/>
      <c r="B69" s="38"/>
      <c r="C69" s="38"/>
      <c r="D69" s="38"/>
      <c r="E69" s="38"/>
    </row>
    <row r="70" spans="1:5" ht="12.75" customHeight="1">
      <c r="A70" s="38"/>
      <c r="B70" s="38"/>
      <c r="C70" s="38"/>
      <c r="D70" s="38"/>
      <c r="E70" s="38"/>
    </row>
    <row r="71" spans="1:5" ht="12.75" customHeight="1">
      <c r="A71" s="38"/>
      <c r="B71" s="38"/>
      <c r="C71" s="38"/>
      <c r="D71" s="38"/>
      <c r="E71" s="38"/>
    </row>
    <row r="72" spans="1:5" ht="12.75" customHeight="1">
      <c r="A72" s="38"/>
      <c r="B72" s="38"/>
      <c r="C72" s="38"/>
      <c r="D72" s="38"/>
      <c r="E72" s="38"/>
    </row>
    <row r="73" spans="1:5" ht="12.75" customHeight="1">
      <c r="A73" s="38"/>
      <c r="B73" s="38"/>
      <c r="C73" s="38"/>
      <c r="D73" s="38"/>
      <c r="E73" s="38"/>
    </row>
    <row r="74" spans="1:5" ht="12.75" customHeight="1">
      <c r="A74" s="38"/>
      <c r="B74" s="38"/>
      <c r="C74" s="38"/>
      <c r="D74" s="38"/>
      <c r="E74" s="38"/>
    </row>
    <row r="75" spans="1:5" ht="12.75" customHeight="1">
      <c r="A75" s="38"/>
      <c r="B75" s="38"/>
      <c r="C75" s="38"/>
      <c r="D75" s="38"/>
      <c r="E75" s="38"/>
    </row>
    <row r="76" spans="1:5" ht="12.75" customHeight="1">
      <c r="A76" s="38"/>
      <c r="B76" s="38"/>
      <c r="C76" s="38"/>
      <c r="D76" s="38"/>
      <c r="E76" s="38"/>
    </row>
    <row r="77" spans="1:5" ht="12.75" customHeight="1">
      <c r="A77" s="38"/>
      <c r="B77" s="38"/>
      <c r="C77" s="38"/>
      <c r="D77" s="38"/>
      <c r="E77" s="38"/>
    </row>
    <row r="78" spans="1:5" ht="12.75" customHeight="1">
      <c r="A78" s="38"/>
      <c r="B78" s="38"/>
      <c r="C78" s="38"/>
      <c r="D78" s="38"/>
      <c r="E78" s="38"/>
    </row>
    <row r="79" spans="1:5" ht="12.75" customHeight="1">
      <c r="A79" s="38"/>
      <c r="B79" s="38"/>
      <c r="C79" s="38"/>
      <c r="D79" s="38"/>
      <c r="E79" s="38"/>
    </row>
    <row r="80" spans="1:5" ht="12.75" customHeight="1">
      <c r="A80" s="38"/>
      <c r="B80" s="38"/>
      <c r="C80" s="38"/>
      <c r="D80" s="38"/>
      <c r="E80" s="38"/>
    </row>
    <row r="81" spans="1:5" ht="12.75" customHeight="1">
      <c r="A81" s="38"/>
      <c r="B81" s="38"/>
      <c r="C81" s="38"/>
      <c r="D81" s="38"/>
      <c r="E81" s="38"/>
    </row>
    <row r="82" spans="1:5" ht="12.75" customHeight="1">
      <c r="A82" s="38"/>
      <c r="B82" s="38"/>
      <c r="C82" s="38"/>
      <c r="D82" s="38"/>
      <c r="E82" s="38"/>
    </row>
    <row r="83" spans="1:5" ht="12.75" customHeight="1">
      <c r="A83" s="38"/>
      <c r="B83" s="38"/>
      <c r="C83" s="38"/>
      <c r="D83" s="38"/>
      <c r="E83" s="38"/>
    </row>
    <row r="84" spans="1:5" ht="12.75" customHeight="1">
      <c r="A84" s="38"/>
      <c r="B84" s="38"/>
      <c r="C84" s="38"/>
      <c r="D84" s="38"/>
      <c r="E84" s="38"/>
    </row>
    <row r="85" spans="1:5" ht="12.75" customHeight="1">
      <c r="A85" s="38"/>
      <c r="B85" s="38"/>
      <c r="C85" s="38"/>
      <c r="D85" s="38"/>
      <c r="E85" s="38"/>
    </row>
    <row r="86" spans="1:5" ht="12.75" customHeight="1">
      <c r="A86" s="38"/>
      <c r="B86" s="38"/>
      <c r="C86" s="38"/>
      <c r="D86" s="38"/>
      <c r="E86" s="38"/>
    </row>
    <row r="87" spans="1:5" ht="12.75" customHeight="1">
      <c r="A87" s="38"/>
      <c r="B87" s="38"/>
      <c r="C87" s="38"/>
      <c r="D87" s="38"/>
      <c r="E87" s="38"/>
    </row>
    <row r="88" spans="1:5" ht="12.75" customHeight="1">
      <c r="A88" s="38"/>
      <c r="B88" s="38"/>
      <c r="C88" s="38"/>
      <c r="D88" s="38"/>
      <c r="E88" s="38"/>
    </row>
    <row r="89" spans="1:5" ht="12.75" customHeight="1">
      <c r="A89" s="38"/>
      <c r="B89" s="38"/>
      <c r="C89" s="38"/>
      <c r="D89" s="38"/>
      <c r="E89" s="38"/>
    </row>
    <row r="90" spans="1:5" ht="12.75" customHeight="1">
      <c r="A90" s="38"/>
      <c r="B90" s="38"/>
      <c r="C90" s="38"/>
      <c r="D90" s="38"/>
      <c r="E90" s="38"/>
    </row>
    <row r="91" spans="1:5" ht="12.75" customHeight="1">
      <c r="A91" s="38"/>
      <c r="B91" s="38"/>
      <c r="C91" s="38"/>
      <c r="D91" s="38"/>
      <c r="E91" s="38"/>
    </row>
    <row r="92" spans="1:5" ht="12.75" customHeight="1">
      <c r="A92" s="38"/>
      <c r="B92" s="38"/>
      <c r="C92" s="38"/>
      <c r="D92" s="38"/>
      <c r="E92" s="38"/>
    </row>
    <row r="93" spans="1:5" ht="12.75" customHeight="1">
      <c r="A93" s="38"/>
      <c r="B93" s="38"/>
      <c r="C93" s="38"/>
      <c r="D93" s="38"/>
      <c r="E93" s="38"/>
    </row>
    <row r="94" spans="1:5" ht="12.75" customHeight="1">
      <c r="A94" s="38"/>
      <c r="B94" s="38"/>
      <c r="C94" s="38"/>
      <c r="D94" s="38"/>
      <c r="E94" s="38"/>
    </row>
    <row r="95" spans="1:5" ht="12.75" customHeight="1">
      <c r="A95" s="38"/>
      <c r="B95" s="38"/>
      <c r="C95" s="38"/>
      <c r="D95" s="38"/>
      <c r="E95" s="38"/>
    </row>
    <row r="96" spans="1:5" ht="12.75" customHeight="1">
      <c r="A96" s="38"/>
      <c r="B96" s="38"/>
      <c r="C96" s="38"/>
      <c r="D96" s="38"/>
      <c r="E96" s="38"/>
    </row>
    <row r="97" spans="1:5" ht="12.75" customHeight="1">
      <c r="A97" s="38"/>
      <c r="B97" s="38"/>
      <c r="C97" s="38"/>
      <c r="D97" s="38"/>
      <c r="E97" s="38"/>
    </row>
    <row r="98" spans="1:5" ht="12.75" customHeight="1">
      <c r="A98" s="38"/>
      <c r="B98" s="38"/>
      <c r="C98" s="38"/>
      <c r="D98" s="38"/>
      <c r="E98" s="38"/>
    </row>
    <row r="99" spans="1:5" ht="12.75" customHeight="1">
      <c r="A99" s="38"/>
      <c r="B99" s="38"/>
      <c r="C99" s="38"/>
      <c r="D99" s="38"/>
      <c r="E99" s="38"/>
    </row>
    <row r="100" spans="1:5" ht="12.75" customHeight="1">
      <c r="A100" s="38"/>
      <c r="B100" s="38"/>
      <c r="C100" s="38"/>
      <c r="D100" s="38"/>
      <c r="E100" s="38"/>
    </row>
    <row r="101" spans="1:5" ht="12.75" customHeight="1">
      <c r="A101" s="38"/>
      <c r="B101" s="38"/>
      <c r="C101" s="38"/>
      <c r="D101" s="38"/>
      <c r="E101" s="38"/>
    </row>
    <row r="102" spans="1:5" ht="12.75" customHeight="1">
      <c r="A102" s="38"/>
      <c r="B102" s="38"/>
      <c r="C102" s="38"/>
      <c r="D102" s="38"/>
      <c r="E102" s="38"/>
    </row>
    <row r="103" spans="1:5" ht="12.75" customHeight="1">
      <c r="A103" s="38"/>
      <c r="B103" s="38"/>
      <c r="C103" s="38"/>
      <c r="D103" s="38"/>
      <c r="E103" s="38"/>
    </row>
    <row r="104" spans="1:5" ht="12.75" customHeight="1">
      <c r="A104" s="38"/>
      <c r="B104" s="38"/>
      <c r="C104" s="38"/>
      <c r="D104" s="38"/>
      <c r="E104" s="38"/>
    </row>
    <row r="105" spans="1:5" ht="12.75" customHeight="1">
      <c r="A105" s="38"/>
      <c r="B105" s="38"/>
      <c r="C105" s="38"/>
      <c r="D105" s="38"/>
      <c r="E105" s="38"/>
    </row>
    <row r="106" spans="1:5" ht="12.75" customHeight="1">
      <c r="A106" s="38"/>
      <c r="B106" s="38"/>
      <c r="C106" s="38"/>
      <c r="D106" s="38"/>
      <c r="E106" s="38"/>
    </row>
    <row r="107" spans="1:5" ht="12.75" customHeight="1">
      <c r="A107" s="38"/>
      <c r="B107" s="38"/>
      <c r="C107" s="38"/>
      <c r="D107" s="38"/>
      <c r="E107" s="38"/>
    </row>
    <row r="108" spans="1:5" ht="12.75" customHeight="1">
      <c r="A108" s="38"/>
      <c r="B108" s="38"/>
      <c r="C108" s="38"/>
      <c r="D108" s="38"/>
      <c r="E108" s="38"/>
    </row>
    <row r="109" spans="1:5" ht="12.75" customHeight="1">
      <c r="A109" s="38"/>
      <c r="B109" s="38"/>
      <c r="C109" s="38"/>
      <c r="D109" s="38"/>
      <c r="E109" s="38"/>
    </row>
    <row r="110" spans="1:5" ht="12.75" customHeight="1">
      <c r="A110" s="38"/>
      <c r="B110" s="38"/>
      <c r="C110" s="38"/>
      <c r="D110" s="38"/>
      <c r="E110" s="38"/>
    </row>
    <row r="111" spans="1:5" ht="12.75" customHeight="1">
      <c r="A111" s="38"/>
      <c r="B111" s="38"/>
      <c r="C111" s="38"/>
      <c r="D111" s="38"/>
      <c r="E111" s="38"/>
    </row>
    <row r="112" spans="1:5" ht="12.75" customHeight="1">
      <c r="A112" s="38"/>
      <c r="B112" s="38"/>
      <c r="C112" s="38"/>
      <c r="D112" s="38"/>
      <c r="E112" s="38"/>
    </row>
    <row r="113" spans="1:5" ht="12.75" customHeight="1">
      <c r="A113" s="38"/>
      <c r="B113" s="38"/>
      <c r="C113" s="38"/>
      <c r="D113" s="38"/>
      <c r="E113" s="38"/>
    </row>
    <row r="114" spans="1:5" ht="12.75" customHeight="1">
      <c r="A114" s="38"/>
      <c r="B114" s="38"/>
      <c r="C114" s="38"/>
      <c r="D114" s="38"/>
      <c r="E114" s="38"/>
    </row>
    <row r="115" spans="1:5" ht="12.75" customHeight="1">
      <c r="A115" s="38"/>
      <c r="B115" s="38"/>
      <c r="C115" s="38"/>
      <c r="D115" s="38"/>
      <c r="E115" s="38"/>
    </row>
    <row r="116" spans="1:5" ht="12.75" customHeight="1">
      <c r="A116" s="38"/>
      <c r="B116" s="38"/>
      <c r="C116" s="38"/>
      <c r="D116" s="38"/>
      <c r="E116" s="38"/>
    </row>
    <row r="117" spans="1:5" ht="12.75" customHeight="1">
      <c r="A117" s="38"/>
      <c r="B117" s="38"/>
      <c r="C117" s="38"/>
      <c r="D117" s="38"/>
      <c r="E117" s="38"/>
    </row>
    <row r="118" spans="1:5" ht="12.75" customHeight="1">
      <c r="A118" s="38"/>
      <c r="B118" s="38"/>
      <c r="C118" s="38"/>
      <c r="D118" s="38"/>
      <c r="E118" s="38"/>
    </row>
    <row r="119" spans="1:5" ht="12.75" customHeight="1">
      <c r="A119" s="38"/>
      <c r="B119" s="38"/>
      <c r="C119" s="38"/>
      <c r="D119" s="38"/>
      <c r="E119" s="38"/>
    </row>
    <row r="120" spans="1:5" ht="12.75" customHeight="1">
      <c r="A120" s="38"/>
      <c r="B120" s="38"/>
      <c r="C120" s="38"/>
      <c r="D120" s="38"/>
      <c r="E120" s="38"/>
    </row>
    <row r="121" spans="1:5" ht="12.75" customHeight="1">
      <c r="A121" s="38"/>
      <c r="B121" s="38"/>
      <c r="C121" s="38"/>
      <c r="D121" s="38"/>
      <c r="E121" s="38"/>
    </row>
    <row r="122" spans="1:5" ht="12.75" customHeight="1">
      <c r="A122" s="38"/>
      <c r="B122" s="38"/>
      <c r="C122" s="38"/>
      <c r="D122" s="38"/>
      <c r="E122" s="38"/>
    </row>
    <row r="123" spans="1:5" ht="12.75" customHeight="1">
      <c r="A123" s="38"/>
      <c r="B123" s="38"/>
      <c r="C123" s="38"/>
      <c r="D123" s="38"/>
      <c r="E123" s="38"/>
    </row>
    <row r="124" spans="1:5" ht="12.75" customHeight="1">
      <c r="A124" s="38"/>
      <c r="B124" s="38"/>
      <c r="C124" s="38"/>
      <c r="D124" s="38"/>
      <c r="E124" s="38"/>
    </row>
    <row r="125" spans="1:5" ht="12.75" customHeight="1">
      <c r="A125" s="38"/>
      <c r="B125" s="38"/>
      <c r="C125" s="38"/>
      <c r="D125" s="38"/>
      <c r="E125" s="38"/>
    </row>
    <row r="126" spans="1:5" ht="12.75" customHeight="1">
      <c r="A126" s="38"/>
      <c r="B126" s="38"/>
      <c r="C126" s="38"/>
      <c r="D126" s="38"/>
      <c r="E126" s="38"/>
    </row>
    <row r="127" spans="1:5" ht="12.75" customHeight="1">
      <c r="A127" s="38"/>
      <c r="B127" s="38"/>
      <c r="C127" s="38"/>
      <c r="D127" s="38"/>
      <c r="E127" s="38"/>
    </row>
    <row r="128" spans="1:5" ht="12.75" customHeight="1">
      <c r="A128" s="38"/>
      <c r="B128" s="38"/>
      <c r="C128" s="38"/>
      <c r="D128" s="38"/>
      <c r="E128" s="38"/>
    </row>
    <row r="129" spans="1:5" ht="12.75" customHeight="1">
      <c r="A129" s="38"/>
      <c r="B129" s="38"/>
      <c r="C129" s="38"/>
      <c r="D129" s="38"/>
      <c r="E129" s="38"/>
    </row>
    <row r="130" spans="1:5" ht="12.75" customHeight="1">
      <c r="A130" s="38"/>
      <c r="B130" s="38"/>
      <c r="C130" s="38"/>
      <c r="D130" s="38"/>
      <c r="E130" s="38"/>
    </row>
    <row r="131" spans="1:5" ht="12.75" customHeight="1">
      <c r="A131" s="38"/>
      <c r="B131" s="38"/>
      <c r="C131" s="38"/>
      <c r="D131" s="38"/>
      <c r="E131" s="38"/>
    </row>
    <row r="132" spans="1:5" ht="12.75" customHeight="1">
      <c r="A132" s="38"/>
      <c r="B132" s="38"/>
      <c r="C132" s="38"/>
      <c r="D132" s="38"/>
      <c r="E132" s="38"/>
    </row>
    <row r="133" spans="1:5" ht="12.75" customHeight="1">
      <c r="A133" s="38"/>
      <c r="B133" s="38"/>
      <c r="C133" s="38"/>
      <c r="D133" s="38"/>
      <c r="E133" s="38"/>
    </row>
    <row r="134" spans="1:5" ht="12.75" customHeight="1">
      <c r="A134" s="38"/>
      <c r="B134" s="38"/>
      <c r="C134" s="38"/>
      <c r="D134" s="38"/>
      <c r="E134" s="38"/>
    </row>
    <row r="135" spans="1:5" ht="12.75" customHeight="1">
      <c r="A135" s="38"/>
      <c r="B135" s="38"/>
      <c r="C135" s="38"/>
      <c r="D135" s="38"/>
      <c r="E135" s="38"/>
    </row>
    <row r="136" spans="1:5" ht="12.75" customHeight="1">
      <c r="A136" s="38"/>
      <c r="B136" s="38"/>
      <c r="C136" s="38"/>
      <c r="D136" s="38"/>
      <c r="E136" s="38"/>
    </row>
    <row r="137" spans="1:5" ht="12.75" customHeight="1">
      <c r="A137" s="38"/>
      <c r="B137" s="38"/>
      <c r="C137" s="38"/>
      <c r="D137" s="38"/>
      <c r="E137" s="38"/>
    </row>
    <row r="138" spans="1:5" ht="12.75" customHeight="1">
      <c r="A138" s="38"/>
      <c r="B138" s="38"/>
      <c r="C138" s="38"/>
      <c r="D138" s="38"/>
      <c r="E138" s="38"/>
    </row>
    <row r="139" spans="1:5" ht="12.75" customHeight="1">
      <c r="A139" s="38"/>
      <c r="B139" s="38"/>
      <c r="C139" s="38"/>
      <c r="D139" s="38"/>
      <c r="E139" s="38"/>
    </row>
    <row r="140" spans="1:5" ht="12.75" customHeight="1">
      <c r="A140" s="38"/>
      <c r="B140" s="38"/>
      <c r="C140" s="38"/>
      <c r="D140" s="38"/>
      <c r="E140" s="38"/>
    </row>
    <row r="141" spans="1:5" ht="12.75" customHeight="1">
      <c r="A141" s="38"/>
      <c r="B141" s="38"/>
      <c r="C141" s="38"/>
      <c r="D141" s="38"/>
      <c r="E141" s="38"/>
    </row>
    <row r="142" spans="1:5" ht="12.75" customHeight="1">
      <c r="A142" s="38"/>
      <c r="B142" s="38"/>
      <c r="C142" s="38"/>
      <c r="D142" s="38"/>
      <c r="E142" s="38"/>
    </row>
    <row r="143" spans="1:5" ht="12.75" customHeight="1">
      <c r="A143" s="38"/>
      <c r="B143" s="38"/>
      <c r="C143" s="38"/>
      <c r="D143" s="38"/>
      <c r="E143" s="38"/>
    </row>
    <row r="144" spans="1:5" ht="12.75" customHeight="1">
      <c r="A144" s="38"/>
      <c r="B144" s="38"/>
      <c r="C144" s="38"/>
      <c r="D144" s="38"/>
      <c r="E144" s="38"/>
    </row>
    <row r="145" spans="1:5" ht="12.75" customHeight="1">
      <c r="A145" s="38"/>
      <c r="B145" s="38"/>
      <c r="C145" s="38"/>
      <c r="D145" s="38"/>
      <c r="E145" s="38"/>
    </row>
    <row r="146" spans="1:5" ht="12.75" customHeight="1">
      <c r="A146" s="38"/>
      <c r="B146" s="38"/>
      <c r="C146" s="38"/>
      <c r="D146" s="38"/>
      <c r="E146" s="38"/>
    </row>
    <row r="147" spans="1:5" ht="12.75" customHeight="1">
      <c r="A147" s="38"/>
      <c r="B147" s="38"/>
      <c r="C147" s="38"/>
      <c r="D147" s="38"/>
      <c r="E147" s="38"/>
    </row>
    <row r="148" spans="1:5" ht="12.75" customHeight="1">
      <c r="A148" s="38"/>
      <c r="B148" s="38"/>
      <c r="C148" s="38"/>
      <c r="D148" s="38"/>
      <c r="E148" s="38"/>
    </row>
    <row r="149" spans="1:5" ht="12.75" customHeight="1">
      <c r="A149" s="38"/>
      <c r="B149" s="38"/>
      <c r="C149" s="38"/>
      <c r="D149" s="38"/>
      <c r="E149" s="38"/>
    </row>
    <row r="150" spans="1:5" ht="12.75" customHeight="1">
      <c r="A150" s="38"/>
      <c r="B150" s="38"/>
      <c r="C150" s="38"/>
      <c r="D150" s="38"/>
      <c r="E150" s="38"/>
    </row>
    <row r="151" spans="1:5" ht="12.75" customHeight="1">
      <c r="A151" s="38"/>
      <c r="B151" s="38"/>
      <c r="C151" s="38"/>
      <c r="D151" s="38"/>
      <c r="E151" s="38"/>
    </row>
    <row r="152" spans="1:5" ht="12.75" customHeight="1">
      <c r="A152" s="38"/>
      <c r="B152" s="38"/>
      <c r="C152" s="38"/>
      <c r="D152" s="38"/>
      <c r="E152" s="38"/>
    </row>
    <row r="153" spans="1:5" ht="12.75" customHeight="1">
      <c r="A153" s="38"/>
      <c r="B153" s="38"/>
      <c r="C153" s="38"/>
      <c r="D153" s="38"/>
      <c r="E153" s="38"/>
    </row>
    <row r="154" spans="1:5" ht="12.75" customHeight="1">
      <c r="A154" s="38"/>
      <c r="B154" s="38"/>
      <c r="C154" s="38"/>
      <c r="D154" s="38"/>
      <c r="E154" s="38"/>
    </row>
    <row r="155" spans="1:5" ht="12.75" customHeight="1">
      <c r="A155" s="38"/>
      <c r="B155" s="38"/>
      <c r="C155" s="38"/>
      <c r="D155" s="38"/>
      <c r="E155" s="38"/>
    </row>
    <row r="156" spans="1:5" ht="12.75" customHeight="1">
      <c r="A156" s="38"/>
      <c r="B156" s="38"/>
      <c r="C156" s="38"/>
      <c r="D156" s="38"/>
      <c r="E156" s="38"/>
    </row>
    <row r="157" spans="1:5" ht="12.75" customHeight="1">
      <c r="A157" s="38"/>
      <c r="B157" s="38"/>
      <c r="C157" s="38"/>
      <c r="D157" s="38"/>
      <c r="E157" s="38"/>
    </row>
    <row r="158" spans="1:5" ht="12.75" customHeight="1">
      <c r="A158" s="38"/>
      <c r="B158" s="38"/>
      <c r="C158" s="38"/>
      <c r="D158" s="38"/>
      <c r="E158" s="38"/>
    </row>
    <row r="159" spans="1:5" ht="12.75" customHeight="1">
      <c r="A159" s="38"/>
      <c r="B159" s="38"/>
      <c r="C159" s="38"/>
      <c r="D159" s="38"/>
      <c r="E159" s="38"/>
    </row>
    <row r="160" spans="1:5" ht="12.75" customHeight="1">
      <c r="A160" s="38"/>
      <c r="B160" s="38"/>
      <c r="C160" s="38"/>
      <c r="D160" s="38"/>
      <c r="E160" s="38"/>
    </row>
    <row r="161" spans="1:5" ht="12.75" customHeight="1">
      <c r="A161" s="38"/>
      <c r="B161" s="38"/>
      <c r="C161" s="38"/>
      <c r="D161" s="38"/>
      <c r="E161" s="38"/>
    </row>
    <row r="162" spans="1:5" ht="12.75" customHeight="1">
      <c r="A162" s="38"/>
      <c r="B162" s="38"/>
      <c r="C162" s="38"/>
      <c r="D162" s="38"/>
      <c r="E162" s="38"/>
    </row>
    <row r="163" spans="1:5" ht="12.75" customHeight="1">
      <c r="A163" s="38"/>
      <c r="B163" s="38"/>
      <c r="C163" s="38"/>
      <c r="D163" s="38"/>
      <c r="E163" s="38"/>
    </row>
    <row r="164" spans="1:5" ht="12.75" customHeight="1">
      <c r="A164" s="38"/>
      <c r="B164" s="38"/>
      <c r="C164" s="38"/>
      <c r="D164" s="38"/>
      <c r="E164" s="38"/>
    </row>
    <row r="165" spans="1:5" ht="12.75" customHeight="1">
      <c r="A165" s="38"/>
      <c r="B165" s="38"/>
      <c r="C165" s="38"/>
      <c r="D165" s="38"/>
      <c r="E165" s="38"/>
    </row>
    <row r="166" spans="1:5" ht="12.75" customHeight="1">
      <c r="A166" s="38"/>
      <c r="B166" s="38"/>
      <c r="C166" s="38"/>
      <c r="D166" s="38"/>
      <c r="E166" s="38"/>
    </row>
    <row r="167" spans="1:5" ht="12.75" customHeight="1">
      <c r="A167" s="38"/>
      <c r="B167" s="38"/>
      <c r="C167" s="38"/>
      <c r="D167" s="38"/>
      <c r="E167" s="38"/>
    </row>
    <row r="168" spans="1:5" ht="12.75" customHeight="1">
      <c r="A168" s="38"/>
      <c r="B168" s="38"/>
      <c r="C168" s="38"/>
      <c r="D168" s="38"/>
      <c r="E168" s="38"/>
    </row>
    <row r="169" spans="1:5" ht="12.75" customHeight="1">
      <c r="A169" s="38"/>
      <c r="B169" s="38"/>
      <c r="C169" s="38"/>
      <c r="D169" s="38"/>
      <c r="E169" s="38"/>
    </row>
    <row r="170" spans="1:5" ht="12.75" customHeight="1">
      <c r="A170" s="38"/>
      <c r="B170" s="38"/>
      <c r="C170" s="38"/>
      <c r="D170" s="38"/>
      <c r="E170" s="38"/>
    </row>
    <row r="171" spans="1:5" ht="12.75" customHeight="1">
      <c r="A171" s="38"/>
      <c r="B171" s="38"/>
      <c r="C171" s="38"/>
      <c r="D171" s="38"/>
      <c r="E171" s="38"/>
    </row>
    <row r="172" spans="1:5" ht="12.75" customHeight="1">
      <c r="A172" s="38"/>
      <c r="B172" s="38"/>
      <c r="C172" s="38"/>
      <c r="D172" s="38"/>
      <c r="E172" s="38"/>
    </row>
    <row r="173" spans="1:5" ht="12.75" customHeight="1">
      <c r="A173" s="38"/>
      <c r="B173" s="38"/>
      <c r="C173" s="38"/>
      <c r="D173" s="38"/>
      <c r="E173" s="38"/>
    </row>
    <row r="174" spans="1:5" ht="12.75" customHeight="1">
      <c r="A174" s="38"/>
      <c r="B174" s="38"/>
      <c r="C174" s="38"/>
      <c r="D174" s="38"/>
      <c r="E174" s="38"/>
    </row>
    <row r="175" spans="1:5" ht="12.75" customHeight="1">
      <c r="A175" s="38"/>
      <c r="B175" s="38"/>
      <c r="C175" s="38"/>
      <c r="D175" s="38"/>
      <c r="E175" s="38"/>
    </row>
    <row r="176" spans="1:5" ht="12.75" customHeight="1">
      <c r="A176" s="38"/>
      <c r="B176" s="38"/>
      <c r="C176" s="38"/>
      <c r="D176" s="38"/>
      <c r="E176" s="38"/>
    </row>
    <row r="177" spans="1:5" ht="12.75" customHeight="1">
      <c r="A177" s="38"/>
      <c r="B177" s="38"/>
      <c r="C177" s="38"/>
      <c r="D177" s="38"/>
      <c r="E177" s="38"/>
    </row>
    <row r="178" spans="1:5" ht="12.75" customHeight="1">
      <c r="A178" s="38"/>
      <c r="B178" s="38"/>
      <c r="C178" s="38"/>
      <c r="D178" s="38"/>
      <c r="E178" s="38"/>
    </row>
    <row r="179" spans="1:5" ht="12.75" customHeight="1">
      <c r="A179" s="38"/>
      <c r="B179" s="38"/>
      <c r="C179" s="38"/>
      <c r="D179" s="38"/>
      <c r="E179" s="38"/>
    </row>
    <row r="180" spans="1:5" ht="12.75" customHeight="1">
      <c r="A180" s="38"/>
      <c r="B180" s="38"/>
      <c r="C180" s="38"/>
      <c r="D180" s="38"/>
      <c r="E180" s="38"/>
    </row>
    <row r="181" spans="1:5" ht="12.75" customHeight="1">
      <c r="A181" s="38"/>
      <c r="B181" s="38"/>
      <c r="C181" s="38"/>
      <c r="D181" s="38"/>
      <c r="E181" s="38"/>
    </row>
    <row r="182" spans="1:5" ht="12.75" customHeight="1">
      <c r="A182" s="38"/>
      <c r="B182" s="38"/>
      <c r="C182" s="38"/>
      <c r="D182" s="38"/>
      <c r="E182" s="38"/>
    </row>
    <row r="183" spans="1:5" ht="12.75" customHeight="1">
      <c r="A183" s="38"/>
      <c r="B183" s="38"/>
      <c r="C183" s="38"/>
      <c r="D183" s="38"/>
      <c r="E183" s="38"/>
    </row>
    <row r="184" spans="1:5" ht="12.75" customHeight="1">
      <c r="A184" s="38"/>
      <c r="B184" s="38"/>
      <c r="C184" s="38"/>
      <c r="D184" s="38"/>
      <c r="E184" s="38"/>
    </row>
    <row r="185" spans="1:5" ht="12.75" customHeight="1">
      <c r="A185" s="38"/>
      <c r="B185" s="38"/>
      <c r="C185" s="38"/>
      <c r="D185" s="38"/>
      <c r="E185" s="38"/>
    </row>
    <row r="186" spans="1:5" ht="12.75" customHeight="1">
      <c r="A186" s="38"/>
      <c r="B186" s="38"/>
      <c r="C186" s="38"/>
      <c r="D186" s="38"/>
      <c r="E186" s="38"/>
    </row>
    <row r="187" spans="1:5" ht="12.75" customHeight="1">
      <c r="A187" s="38"/>
      <c r="B187" s="38"/>
      <c r="C187" s="38"/>
      <c r="D187" s="38"/>
      <c r="E187" s="38"/>
    </row>
    <row r="188" spans="1:5" ht="12.75" customHeight="1">
      <c r="A188" s="38"/>
      <c r="B188" s="38"/>
      <c r="C188" s="38"/>
      <c r="D188" s="38"/>
      <c r="E188" s="38"/>
    </row>
    <row r="189" spans="1:5" ht="12.75" customHeight="1">
      <c r="A189" s="38"/>
      <c r="B189" s="38"/>
      <c r="C189" s="38"/>
      <c r="D189" s="38"/>
      <c r="E189" s="38"/>
    </row>
    <row r="190" spans="1:5" ht="12.75" customHeight="1">
      <c r="A190" s="38"/>
      <c r="B190" s="38"/>
      <c r="C190" s="38"/>
      <c r="D190" s="38"/>
      <c r="E190" s="38"/>
    </row>
    <row r="191" spans="1:5" ht="12.75" customHeight="1">
      <c r="A191" s="38"/>
      <c r="B191" s="38"/>
      <c r="C191" s="38"/>
      <c r="D191" s="38"/>
      <c r="E191" s="38"/>
    </row>
    <row r="192" spans="1:5" ht="12.75" customHeight="1">
      <c r="A192" s="38"/>
      <c r="B192" s="38"/>
      <c r="C192" s="38"/>
      <c r="D192" s="38"/>
      <c r="E192" s="38"/>
    </row>
    <row r="193" spans="1:5" ht="12.75" customHeight="1">
      <c r="A193" s="38"/>
      <c r="B193" s="38"/>
      <c r="C193" s="38"/>
      <c r="D193" s="38"/>
      <c r="E193" s="38"/>
    </row>
    <row r="194" spans="1:5" ht="12.75" customHeight="1">
      <c r="A194" s="38"/>
      <c r="B194" s="38"/>
      <c r="C194" s="38"/>
      <c r="D194" s="38"/>
      <c r="E194" s="38"/>
    </row>
    <row r="195" spans="1:5" ht="12.75" customHeight="1">
      <c r="A195" s="38"/>
      <c r="B195" s="38"/>
      <c r="C195" s="38"/>
      <c r="D195" s="38"/>
      <c r="E195" s="38"/>
    </row>
    <row r="196" spans="1:5" ht="12.75" customHeight="1">
      <c r="A196" s="38"/>
      <c r="B196" s="38"/>
      <c r="C196" s="38"/>
      <c r="D196" s="38"/>
      <c r="E196" s="38"/>
    </row>
    <row r="197" spans="1:5" ht="12.75" customHeight="1">
      <c r="A197" s="38"/>
      <c r="B197" s="38"/>
      <c r="C197" s="38"/>
      <c r="D197" s="38"/>
      <c r="E197" s="38"/>
    </row>
    <row r="198" spans="1:5" ht="12.75" customHeight="1">
      <c r="A198" s="38"/>
      <c r="B198" s="38"/>
      <c r="C198" s="38"/>
      <c r="D198" s="38"/>
      <c r="E198" s="38"/>
    </row>
    <row r="199" spans="1:5" ht="12.75" customHeight="1">
      <c r="A199" s="38"/>
      <c r="B199" s="38"/>
      <c r="C199" s="38"/>
      <c r="D199" s="38"/>
      <c r="E199" s="38"/>
    </row>
    <row r="200" spans="1:5" ht="12.75" customHeight="1">
      <c r="A200" s="38"/>
      <c r="B200" s="38"/>
      <c r="C200" s="38"/>
      <c r="D200" s="38"/>
      <c r="E200" s="38"/>
    </row>
    <row r="201" spans="1:5" ht="12.75" customHeight="1">
      <c r="A201" s="38"/>
      <c r="B201" s="38"/>
      <c r="C201" s="38"/>
      <c r="D201" s="38"/>
      <c r="E201" s="38"/>
    </row>
    <row r="202" spans="1:5" ht="12.75" customHeight="1">
      <c r="A202" s="38"/>
      <c r="B202" s="38"/>
      <c r="C202" s="38"/>
      <c r="D202" s="38"/>
      <c r="E202" s="38"/>
    </row>
    <row r="203" spans="1:5" ht="12.75" customHeight="1">
      <c r="A203" s="38"/>
      <c r="B203" s="38"/>
      <c r="C203" s="38"/>
      <c r="D203" s="38"/>
      <c r="E203" s="38"/>
    </row>
    <row r="204" spans="1:5" ht="12.75" customHeight="1">
      <c r="A204" s="38"/>
      <c r="B204" s="38"/>
      <c r="C204" s="38"/>
      <c r="D204" s="38"/>
      <c r="E204" s="38"/>
    </row>
    <row r="205" spans="1:5" ht="12.75" customHeight="1">
      <c r="A205" s="38"/>
      <c r="B205" s="38"/>
      <c r="C205" s="38"/>
      <c r="D205" s="38"/>
      <c r="E205" s="38"/>
    </row>
    <row r="206" spans="1:5" ht="12.75" customHeight="1">
      <c r="A206" s="38"/>
      <c r="B206" s="38"/>
      <c r="C206" s="38"/>
      <c r="D206" s="38"/>
      <c r="E206" s="38"/>
    </row>
    <row r="207" spans="1:5" ht="12.75" customHeight="1">
      <c r="A207" s="38"/>
      <c r="B207" s="38"/>
      <c r="C207" s="38"/>
      <c r="D207" s="38"/>
      <c r="E207" s="38"/>
    </row>
    <row r="208" spans="1:5" ht="12.75" customHeight="1">
      <c r="A208" s="38"/>
      <c r="B208" s="38"/>
      <c r="C208" s="38"/>
      <c r="D208" s="38"/>
      <c r="E208" s="38"/>
    </row>
    <row r="209" spans="1:5" ht="12.75" customHeight="1">
      <c r="A209" s="38"/>
      <c r="B209" s="38"/>
      <c r="C209" s="38"/>
      <c r="D209" s="38"/>
      <c r="E209" s="38"/>
    </row>
    <row r="210" spans="1:5" ht="12.75" customHeight="1">
      <c r="A210" s="38"/>
      <c r="B210" s="38"/>
      <c r="C210" s="38"/>
      <c r="D210" s="38"/>
      <c r="E210" s="38"/>
    </row>
    <row r="211" spans="1:5" ht="12.75" customHeight="1">
      <c r="A211" s="38"/>
      <c r="B211" s="38"/>
      <c r="C211" s="38"/>
      <c r="D211" s="38"/>
      <c r="E211" s="38"/>
    </row>
    <row r="212" spans="1:5" ht="12.75" customHeight="1">
      <c r="A212" s="38"/>
      <c r="B212" s="38"/>
      <c r="C212" s="38"/>
      <c r="D212" s="38"/>
      <c r="E212" s="38"/>
    </row>
    <row r="213" spans="1:5" ht="12.75" customHeight="1">
      <c r="A213" s="38"/>
      <c r="B213" s="38"/>
      <c r="C213" s="38"/>
      <c r="D213" s="38"/>
      <c r="E213" s="38"/>
    </row>
    <row r="214" spans="1:5" ht="12.75" customHeight="1">
      <c r="A214" s="38"/>
      <c r="B214" s="38"/>
      <c r="C214" s="38"/>
      <c r="D214" s="38"/>
      <c r="E214" s="38"/>
    </row>
    <row r="215" spans="1:5" ht="12.75" customHeight="1">
      <c r="A215" s="38"/>
      <c r="B215" s="38"/>
      <c r="C215" s="38"/>
      <c r="D215" s="38"/>
      <c r="E215" s="38"/>
    </row>
    <row r="216" spans="1:5" ht="12.75" customHeight="1">
      <c r="A216" s="38"/>
      <c r="B216" s="38"/>
      <c r="C216" s="38"/>
      <c r="D216" s="38"/>
      <c r="E216" s="38"/>
    </row>
    <row r="217" spans="1:5" ht="12.75" customHeight="1">
      <c r="A217" s="38"/>
      <c r="B217" s="38"/>
      <c r="C217" s="38"/>
      <c r="D217" s="38"/>
      <c r="E217" s="38"/>
    </row>
    <row r="218" spans="1:5" ht="12.75" customHeight="1">
      <c r="A218" s="38"/>
      <c r="B218" s="38"/>
      <c r="C218" s="38"/>
      <c r="D218" s="38"/>
      <c r="E218" s="38"/>
    </row>
    <row r="219" spans="1:5" ht="12.75" customHeight="1">
      <c r="A219" s="38"/>
      <c r="B219" s="38"/>
      <c r="C219" s="38"/>
      <c r="D219" s="38"/>
      <c r="E219" s="38"/>
    </row>
    <row r="220" spans="1:5" ht="12.75" customHeight="1">
      <c r="A220" s="38"/>
      <c r="B220" s="38"/>
      <c r="C220" s="38"/>
      <c r="D220" s="38"/>
      <c r="E220" s="38"/>
    </row>
    <row r="221" spans="1:5" ht="12.75" customHeight="1">
      <c r="A221" s="38"/>
      <c r="B221" s="38"/>
      <c r="C221" s="38"/>
      <c r="D221" s="38"/>
      <c r="E221" s="38"/>
    </row>
    <row r="222" spans="1:5" ht="12.75" customHeight="1">
      <c r="A222" s="38"/>
      <c r="B222" s="38"/>
      <c r="C222" s="38"/>
      <c r="D222" s="38"/>
      <c r="E222" s="38"/>
    </row>
    <row r="223" spans="1:5" ht="12.75" customHeight="1">
      <c r="A223" s="38"/>
      <c r="B223" s="38"/>
      <c r="C223" s="38"/>
      <c r="D223" s="38"/>
      <c r="E223" s="38"/>
    </row>
    <row r="224" spans="1:5" ht="12.75" customHeight="1">
      <c r="A224" s="38"/>
      <c r="B224" s="38"/>
      <c r="C224" s="38"/>
      <c r="D224" s="38"/>
      <c r="E224" s="38"/>
    </row>
    <row r="225" spans="1:5" ht="12.75" customHeight="1">
      <c r="A225" s="38"/>
      <c r="B225" s="38"/>
      <c r="C225" s="38"/>
      <c r="D225" s="38"/>
      <c r="E225" s="38"/>
    </row>
    <row r="226" spans="1:5" ht="12.75" customHeight="1">
      <c r="A226" s="38"/>
      <c r="B226" s="38"/>
      <c r="C226" s="38"/>
      <c r="D226" s="38"/>
      <c r="E226" s="38"/>
    </row>
    <row r="227" spans="1:5" ht="12.75" customHeight="1">
      <c r="A227" s="38"/>
      <c r="B227" s="38"/>
      <c r="C227" s="38"/>
      <c r="D227" s="38"/>
      <c r="E227" s="38"/>
    </row>
    <row r="228" spans="1:5" ht="12.75" customHeight="1">
      <c r="A228" s="38"/>
      <c r="B228" s="38"/>
      <c r="C228" s="38"/>
      <c r="D228" s="38"/>
      <c r="E228" s="38"/>
    </row>
    <row r="229" spans="1:5" ht="12.75" customHeight="1">
      <c r="A229" s="38"/>
      <c r="B229" s="38"/>
      <c r="C229" s="38"/>
      <c r="D229" s="38"/>
      <c r="E229" s="38"/>
    </row>
    <row r="230" spans="1:5" ht="12.75" customHeight="1">
      <c r="A230" s="38"/>
      <c r="B230" s="38"/>
      <c r="C230" s="38"/>
      <c r="D230" s="38"/>
      <c r="E230" s="38"/>
    </row>
    <row r="231" spans="1:5" ht="12.75" customHeight="1">
      <c r="A231" s="38"/>
      <c r="B231" s="38"/>
      <c r="C231" s="38"/>
      <c r="D231" s="38"/>
      <c r="E231" s="38"/>
    </row>
    <row r="232" spans="1:5" ht="12.75" customHeight="1">
      <c r="A232" s="38"/>
      <c r="B232" s="38"/>
      <c r="C232" s="38"/>
      <c r="D232" s="38"/>
      <c r="E232" s="38"/>
    </row>
    <row r="233" spans="1:5" ht="12.75" customHeight="1">
      <c r="A233" s="38"/>
      <c r="B233" s="38"/>
      <c r="C233" s="38"/>
      <c r="D233" s="38"/>
      <c r="E233" s="38"/>
    </row>
    <row r="234" spans="1:5" ht="12.75" customHeight="1">
      <c r="A234" s="38"/>
      <c r="B234" s="38"/>
      <c r="C234" s="38"/>
      <c r="D234" s="38"/>
      <c r="E234" s="38"/>
    </row>
    <row r="235" spans="1:5" ht="12.75" customHeight="1">
      <c r="A235" s="38"/>
      <c r="B235" s="38"/>
      <c r="C235" s="38"/>
      <c r="D235" s="38"/>
      <c r="E235" s="38"/>
    </row>
    <row r="236" spans="1:5" ht="12.75" customHeight="1">
      <c r="A236" s="38"/>
      <c r="B236" s="38"/>
      <c r="C236" s="38"/>
      <c r="D236" s="38"/>
      <c r="E236" s="38"/>
    </row>
    <row r="237" spans="1:5" ht="12.75" customHeight="1">
      <c r="A237" s="38"/>
      <c r="B237" s="38"/>
      <c r="C237" s="38"/>
      <c r="D237" s="38"/>
      <c r="E237" s="38"/>
    </row>
    <row r="238" spans="1:5" ht="12.75" customHeight="1">
      <c r="A238" s="38"/>
      <c r="B238" s="38"/>
      <c r="C238" s="38"/>
      <c r="D238" s="38"/>
      <c r="E238" s="38"/>
    </row>
    <row r="239" spans="1:5" ht="12.75" customHeight="1">
      <c r="A239" s="38"/>
      <c r="B239" s="38"/>
      <c r="C239" s="38"/>
      <c r="D239" s="38"/>
      <c r="E239" s="38"/>
    </row>
    <row r="240" spans="1:5" ht="12.75" customHeight="1">
      <c r="A240" s="38"/>
      <c r="B240" s="38"/>
      <c r="C240" s="38"/>
      <c r="D240" s="38"/>
      <c r="E240" s="38"/>
    </row>
    <row r="241" spans="1:5" ht="12.75" customHeight="1">
      <c r="A241" s="38"/>
      <c r="B241" s="38"/>
      <c r="C241" s="38"/>
      <c r="D241" s="38"/>
      <c r="E241" s="38"/>
    </row>
    <row r="242" spans="1:5" ht="12.75" customHeight="1">
      <c r="A242" s="38"/>
      <c r="B242" s="38"/>
      <c r="C242" s="38"/>
      <c r="D242" s="38"/>
      <c r="E242" s="38"/>
    </row>
    <row r="243" spans="1:5" ht="12.75" customHeight="1">
      <c r="A243" s="38"/>
      <c r="B243" s="38"/>
      <c r="C243" s="38"/>
      <c r="D243" s="38"/>
      <c r="E243" s="38"/>
    </row>
    <row r="244" spans="1:5" ht="12.75" customHeight="1">
      <c r="A244" s="38"/>
      <c r="B244" s="38"/>
      <c r="C244" s="38"/>
      <c r="D244" s="38"/>
      <c r="E244" s="38"/>
    </row>
    <row r="245" spans="1:5" ht="12.75" customHeight="1">
      <c r="A245" s="38"/>
      <c r="B245" s="38"/>
      <c r="C245" s="38"/>
      <c r="D245" s="38"/>
      <c r="E245" s="38"/>
    </row>
    <row r="246" spans="1:5" ht="12.75" customHeight="1">
      <c r="A246" s="38"/>
      <c r="B246" s="38"/>
      <c r="C246" s="38"/>
      <c r="D246" s="38"/>
      <c r="E246" s="38"/>
    </row>
    <row r="247" spans="1:5" ht="12.75" customHeight="1">
      <c r="A247" s="38"/>
      <c r="B247" s="38"/>
      <c r="C247" s="38"/>
      <c r="D247" s="38"/>
      <c r="E247" s="38"/>
    </row>
    <row r="248" spans="1:5" ht="12.75" customHeight="1">
      <c r="A248" s="38"/>
      <c r="B248" s="38"/>
      <c r="C248" s="38"/>
      <c r="D248" s="38"/>
      <c r="E248" s="38"/>
    </row>
    <row r="249" spans="1:5" ht="12.75" customHeight="1">
      <c r="A249" s="38"/>
      <c r="B249" s="38"/>
      <c r="C249" s="38"/>
      <c r="D249" s="38"/>
      <c r="E249" s="38"/>
    </row>
    <row r="250" spans="1:5" ht="12.75" customHeight="1">
      <c r="A250" s="38"/>
      <c r="B250" s="38"/>
      <c r="C250" s="38"/>
      <c r="D250" s="38"/>
      <c r="E250" s="38"/>
    </row>
    <row r="251" spans="1:5" ht="12.75" customHeight="1">
      <c r="A251" s="38"/>
      <c r="B251" s="38"/>
      <c r="C251" s="38"/>
      <c r="D251" s="38"/>
      <c r="E251" s="38"/>
    </row>
    <row r="252" spans="1:5" ht="12.75" customHeight="1">
      <c r="A252" s="38"/>
      <c r="B252" s="38"/>
      <c r="C252" s="38"/>
      <c r="D252" s="38"/>
      <c r="E252" s="38"/>
    </row>
    <row r="253" spans="1:5" ht="12.75" customHeight="1">
      <c r="A253" s="38"/>
      <c r="B253" s="38"/>
      <c r="C253" s="38"/>
      <c r="D253" s="38"/>
      <c r="E253" s="38"/>
    </row>
    <row r="254" spans="1:5" ht="12.75" customHeight="1">
      <c r="A254" s="38"/>
      <c r="B254" s="38"/>
      <c r="C254" s="38"/>
      <c r="D254" s="38"/>
      <c r="E254" s="38"/>
    </row>
    <row r="255" spans="1:5" ht="12.75" customHeight="1">
      <c r="A255" s="38"/>
      <c r="B255" s="38"/>
      <c r="C255" s="38"/>
      <c r="D255" s="38"/>
      <c r="E255" s="38"/>
    </row>
    <row r="256" spans="1:5" ht="12.75" customHeight="1">
      <c r="A256" s="38"/>
      <c r="B256" s="38"/>
      <c r="C256" s="38"/>
      <c r="D256" s="38"/>
      <c r="E256" s="38"/>
    </row>
    <row r="257" spans="1:5" ht="12.75" customHeight="1">
      <c r="A257" s="38"/>
      <c r="B257" s="38"/>
      <c r="C257" s="38"/>
      <c r="D257" s="38"/>
      <c r="E257" s="38"/>
    </row>
    <row r="258" spans="1:5" ht="12.75" customHeight="1">
      <c r="A258" s="38"/>
      <c r="B258" s="38"/>
      <c r="C258" s="38"/>
      <c r="D258" s="38"/>
      <c r="E258" s="38"/>
    </row>
    <row r="259" spans="1:5" ht="12.75" customHeight="1">
      <c r="A259" s="38"/>
      <c r="B259" s="38"/>
      <c r="C259" s="38"/>
      <c r="D259" s="38"/>
      <c r="E259" s="38"/>
    </row>
    <row r="260" spans="1:5" ht="12.75" customHeight="1">
      <c r="A260" s="38"/>
      <c r="B260" s="38"/>
      <c r="C260" s="38"/>
      <c r="D260" s="38"/>
      <c r="E260" s="38"/>
    </row>
    <row r="261" spans="1:5" ht="12.75" customHeight="1">
      <c r="A261" s="38"/>
      <c r="B261" s="38"/>
      <c r="C261" s="38"/>
      <c r="D261" s="38"/>
      <c r="E261" s="38"/>
    </row>
    <row r="262" spans="1:5" ht="12.75" customHeight="1">
      <c r="A262" s="38"/>
      <c r="B262" s="38"/>
      <c r="C262" s="38"/>
      <c r="D262" s="38"/>
      <c r="E262" s="38"/>
    </row>
    <row r="263" spans="1:5" ht="12.75" customHeight="1">
      <c r="A263" s="38"/>
      <c r="B263" s="38"/>
      <c r="C263" s="38"/>
      <c r="D263" s="38"/>
      <c r="E263" s="38"/>
    </row>
    <row r="264" spans="1:5" ht="12.75" customHeight="1">
      <c r="A264" s="38"/>
      <c r="B264" s="38"/>
      <c r="C264" s="38"/>
      <c r="D264" s="38"/>
      <c r="E264" s="38"/>
    </row>
    <row r="265" spans="1:5" ht="12.75" customHeight="1">
      <c r="A265" s="38"/>
      <c r="B265" s="38"/>
      <c r="C265" s="38"/>
      <c r="D265" s="38"/>
      <c r="E265" s="38"/>
    </row>
    <row r="266" spans="1:5" ht="12.75" customHeight="1">
      <c r="A266" s="38"/>
      <c r="B266" s="38"/>
      <c r="C266" s="38"/>
      <c r="D266" s="38"/>
      <c r="E266" s="38"/>
    </row>
    <row r="267" spans="1:5" ht="12.75" customHeight="1">
      <c r="A267" s="38"/>
      <c r="B267" s="38"/>
      <c r="C267" s="38"/>
      <c r="D267" s="38"/>
      <c r="E267" s="38"/>
    </row>
    <row r="268" spans="1:5" ht="12.75" customHeight="1">
      <c r="A268" s="38"/>
      <c r="B268" s="38"/>
      <c r="C268" s="38"/>
      <c r="D268" s="38"/>
      <c r="E268" s="38"/>
    </row>
    <row r="269" spans="1:5" ht="12.75" customHeight="1">
      <c r="A269" s="38"/>
      <c r="B269" s="38"/>
      <c r="C269" s="38"/>
      <c r="D269" s="38"/>
      <c r="E269" s="38"/>
    </row>
    <row r="270" spans="1:5" ht="12.75" customHeight="1">
      <c r="A270" s="38"/>
      <c r="B270" s="38"/>
      <c r="C270" s="38"/>
      <c r="D270" s="38"/>
      <c r="E270" s="38"/>
    </row>
    <row r="271" spans="1:5" ht="12.75" customHeight="1">
      <c r="A271" s="38"/>
      <c r="B271" s="38"/>
      <c r="C271" s="38"/>
      <c r="D271" s="38"/>
      <c r="E271" s="38"/>
    </row>
    <row r="272" spans="1:5" ht="12.75" customHeight="1">
      <c r="A272" s="38"/>
      <c r="B272" s="38"/>
      <c r="C272" s="38"/>
      <c r="D272" s="38"/>
      <c r="E272" s="38"/>
    </row>
    <row r="273" spans="1:5" ht="12.75" customHeight="1">
      <c r="A273" s="38"/>
      <c r="B273" s="38"/>
      <c r="C273" s="38"/>
      <c r="D273" s="38"/>
      <c r="E273" s="38"/>
    </row>
    <row r="274" spans="1:5" ht="12.75" customHeight="1">
      <c r="A274" s="38"/>
      <c r="B274" s="38"/>
      <c r="C274" s="38"/>
      <c r="D274" s="38"/>
      <c r="E274" s="38"/>
    </row>
    <row r="275" spans="1:5" ht="12.75" customHeight="1">
      <c r="A275" s="38"/>
      <c r="B275" s="38"/>
      <c r="C275" s="38"/>
      <c r="D275" s="38"/>
      <c r="E275" s="38"/>
    </row>
    <row r="276" spans="1:5" ht="12.75" customHeight="1">
      <c r="A276" s="38"/>
      <c r="B276" s="38"/>
      <c r="C276" s="38"/>
      <c r="D276" s="38"/>
      <c r="E276" s="38"/>
    </row>
    <row r="277" spans="1:5" ht="12.75" customHeight="1">
      <c r="A277" s="38"/>
      <c r="B277" s="38"/>
      <c r="C277" s="38"/>
      <c r="D277" s="38"/>
      <c r="E277" s="38"/>
    </row>
    <row r="278" spans="1:5" ht="12.75" customHeight="1">
      <c r="A278" s="38"/>
      <c r="B278" s="38"/>
      <c r="C278" s="38"/>
      <c r="D278" s="38"/>
      <c r="E278" s="38"/>
    </row>
    <row r="279" spans="1:5" ht="12.75" customHeight="1">
      <c r="A279" s="38"/>
      <c r="B279" s="38"/>
      <c r="C279" s="38"/>
      <c r="D279" s="38"/>
      <c r="E279" s="38"/>
    </row>
    <row r="280" spans="1:5" ht="12.75" customHeight="1">
      <c r="A280" s="38"/>
      <c r="B280" s="38"/>
      <c r="C280" s="38"/>
      <c r="D280" s="38"/>
      <c r="E280" s="38"/>
    </row>
    <row r="281" spans="1:5" ht="12.75" customHeight="1">
      <c r="A281" s="38"/>
      <c r="B281" s="38"/>
      <c r="C281" s="38"/>
      <c r="D281" s="38"/>
      <c r="E281" s="38"/>
    </row>
    <row r="282" spans="1:5" ht="12.75" customHeight="1">
      <c r="A282" s="38"/>
      <c r="B282" s="38"/>
      <c r="C282" s="38"/>
      <c r="D282" s="38"/>
      <c r="E282" s="38"/>
    </row>
    <row r="283" spans="1:5" ht="12.75" customHeight="1">
      <c r="A283" s="38"/>
      <c r="B283" s="38"/>
      <c r="C283" s="38"/>
      <c r="D283" s="38"/>
      <c r="E283" s="38"/>
    </row>
    <row r="284" spans="1:5" ht="12.75" customHeight="1">
      <c r="A284" s="38"/>
      <c r="B284" s="38"/>
      <c r="C284" s="38"/>
      <c r="D284" s="38"/>
      <c r="E284" s="38"/>
    </row>
    <row r="285" spans="1:5" ht="12.75" customHeight="1">
      <c r="A285" s="38"/>
      <c r="B285" s="38"/>
      <c r="C285" s="38"/>
      <c r="D285" s="38"/>
      <c r="E285" s="38"/>
    </row>
    <row r="286" spans="1:5" ht="12.75" customHeight="1">
      <c r="A286" s="38"/>
      <c r="B286" s="38"/>
      <c r="C286" s="38"/>
      <c r="D286" s="38"/>
      <c r="E286" s="38"/>
    </row>
    <row r="287" spans="1:5" ht="12.75" customHeight="1">
      <c r="A287" s="38"/>
      <c r="B287" s="38"/>
      <c r="C287" s="38"/>
      <c r="D287" s="38"/>
      <c r="E287" s="38"/>
    </row>
    <row r="288" spans="1:5" ht="12.75" customHeight="1">
      <c r="A288" s="38"/>
      <c r="B288" s="38"/>
      <c r="C288" s="38"/>
      <c r="D288" s="38"/>
      <c r="E288" s="38"/>
    </row>
    <row r="289" spans="1:5" ht="12.75" customHeight="1">
      <c r="A289" s="38"/>
      <c r="B289" s="38"/>
      <c r="C289" s="38"/>
      <c r="D289" s="38"/>
      <c r="E289" s="38"/>
    </row>
    <row r="290" spans="1:5" ht="12.75" customHeight="1">
      <c r="A290" s="38"/>
      <c r="B290" s="38"/>
      <c r="C290" s="38"/>
      <c r="D290" s="38"/>
      <c r="E290" s="38"/>
    </row>
    <row r="291" spans="1:5" ht="12.75" customHeight="1">
      <c r="A291" s="38"/>
      <c r="B291" s="38"/>
      <c r="C291" s="38"/>
      <c r="D291" s="38"/>
      <c r="E291" s="38"/>
    </row>
    <row r="292" spans="1:5" ht="12.75" customHeight="1">
      <c r="A292" s="38"/>
      <c r="B292" s="38"/>
      <c r="C292" s="38"/>
      <c r="D292" s="38"/>
      <c r="E292" s="38"/>
    </row>
    <row r="293" spans="1:5" ht="12.75" customHeight="1">
      <c r="A293" s="38"/>
      <c r="B293" s="38"/>
      <c r="C293" s="38"/>
      <c r="D293" s="38"/>
      <c r="E293" s="38"/>
    </row>
    <row r="294" spans="1:5" ht="12.75" customHeight="1">
      <c r="A294" s="38"/>
      <c r="B294" s="38"/>
      <c r="C294" s="38"/>
      <c r="D294" s="38"/>
      <c r="E294" s="38"/>
    </row>
    <row r="295" spans="1:5" ht="12.75" customHeight="1">
      <c r="A295" s="38"/>
      <c r="B295" s="38"/>
      <c r="C295" s="38"/>
      <c r="D295" s="38"/>
      <c r="E295" s="38"/>
    </row>
    <row r="296" spans="1:5" ht="12.75" customHeight="1">
      <c r="A296" s="38"/>
      <c r="B296" s="38"/>
      <c r="C296" s="38"/>
      <c r="D296" s="38"/>
      <c r="E296" s="38"/>
    </row>
    <row r="297" spans="1:5" ht="12.75" customHeight="1">
      <c r="A297" s="38"/>
      <c r="B297" s="38"/>
      <c r="C297" s="38"/>
      <c r="D297" s="38"/>
      <c r="E297" s="38"/>
    </row>
    <row r="298" spans="1:5" ht="12.75" customHeight="1">
      <c r="A298" s="38"/>
      <c r="B298" s="38"/>
      <c r="C298" s="38"/>
      <c r="D298" s="38"/>
      <c r="E298" s="38"/>
    </row>
    <row r="299" spans="1:5" ht="12.75" customHeight="1">
      <c r="A299" s="38"/>
      <c r="B299" s="38"/>
      <c r="C299" s="38"/>
      <c r="D299" s="38"/>
      <c r="E299" s="38"/>
    </row>
    <row r="300" spans="1:5" ht="12.75" customHeight="1">
      <c r="A300" s="38"/>
      <c r="B300" s="38"/>
      <c r="C300" s="38"/>
      <c r="D300" s="38"/>
      <c r="E300" s="38"/>
    </row>
    <row r="301" spans="1:5" ht="12.75" customHeight="1">
      <c r="A301" s="38"/>
      <c r="B301" s="38"/>
      <c r="C301" s="38"/>
      <c r="D301" s="38"/>
      <c r="E301" s="38"/>
    </row>
    <row r="302" spans="1:5" ht="12.75" customHeight="1">
      <c r="A302" s="38"/>
      <c r="B302" s="38"/>
      <c r="C302" s="38"/>
      <c r="D302" s="38"/>
      <c r="E302" s="38"/>
    </row>
    <row r="303" spans="1:5" ht="12.75" customHeight="1">
      <c r="A303" s="38"/>
      <c r="B303" s="38"/>
      <c r="C303" s="38"/>
      <c r="D303" s="38"/>
      <c r="E303" s="38"/>
    </row>
    <row r="304" spans="1:5" ht="12.75" customHeight="1">
      <c r="A304" s="38"/>
      <c r="B304" s="38"/>
      <c r="C304" s="38"/>
      <c r="D304" s="38"/>
      <c r="E304" s="38"/>
    </row>
    <row r="305" spans="1:5" ht="12.75" customHeight="1">
      <c r="A305" s="38"/>
      <c r="B305" s="38"/>
      <c r="C305" s="38"/>
      <c r="D305" s="38"/>
      <c r="E305" s="38"/>
    </row>
    <row r="306" spans="1:5" ht="12.75" customHeight="1">
      <c r="A306" s="38"/>
      <c r="B306" s="38"/>
      <c r="C306" s="38"/>
      <c r="D306" s="38"/>
      <c r="E306" s="38"/>
    </row>
    <row r="307" spans="1:5" ht="12.75" customHeight="1">
      <c r="A307" s="38"/>
      <c r="B307" s="38"/>
      <c r="C307" s="38"/>
      <c r="D307" s="38"/>
      <c r="E307" s="38"/>
    </row>
    <row r="308" spans="1:5" ht="12.75" customHeight="1">
      <c r="A308" s="38"/>
      <c r="B308" s="38"/>
      <c r="C308" s="38"/>
      <c r="D308" s="38"/>
      <c r="E308" s="38"/>
    </row>
    <row r="309" spans="1:5" ht="12.75" customHeight="1">
      <c r="A309" s="38"/>
      <c r="B309" s="38"/>
      <c r="C309" s="38"/>
      <c r="D309" s="38"/>
      <c r="E309" s="38"/>
    </row>
    <row r="310" spans="1:5" ht="12.75" customHeight="1">
      <c r="A310" s="38"/>
      <c r="B310" s="38"/>
      <c r="C310" s="38"/>
      <c r="D310" s="38"/>
      <c r="E310" s="38"/>
    </row>
    <row r="311" spans="1:5" ht="12.75" customHeight="1">
      <c r="A311" s="38"/>
      <c r="B311" s="38"/>
      <c r="C311" s="38"/>
      <c r="D311" s="38"/>
      <c r="E311" s="38"/>
    </row>
    <row r="312" spans="1:5" ht="12.75" customHeight="1">
      <c r="A312" s="38"/>
      <c r="B312" s="38"/>
      <c r="C312" s="38"/>
      <c r="D312" s="38"/>
      <c r="E312" s="38"/>
    </row>
    <row r="313" spans="1:5" ht="12.75" customHeight="1">
      <c r="A313" s="38"/>
      <c r="B313" s="38"/>
      <c r="C313" s="38"/>
      <c r="D313" s="38"/>
      <c r="E313" s="38"/>
    </row>
    <row r="314" spans="1:5" ht="12.75" customHeight="1">
      <c r="A314" s="38"/>
      <c r="B314" s="38"/>
      <c r="C314" s="38"/>
      <c r="D314" s="38"/>
      <c r="E314" s="38"/>
    </row>
    <row r="315" spans="1:5" ht="12.75" customHeight="1">
      <c r="A315" s="38"/>
      <c r="B315" s="38"/>
      <c r="C315" s="38"/>
      <c r="D315" s="38"/>
      <c r="E315" s="38"/>
    </row>
    <row r="316" spans="1:5" ht="12.75" customHeight="1">
      <c r="A316" s="38"/>
      <c r="B316" s="38"/>
      <c r="C316" s="38"/>
      <c r="D316" s="38"/>
      <c r="E316" s="38"/>
    </row>
    <row r="317" spans="1:5" ht="12.75" customHeight="1">
      <c r="A317" s="38"/>
      <c r="B317" s="38"/>
      <c r="C317" s="38"/>
      <c r="D317" s="38"/>
      <c r="E317" s="38"/>
    </row>
    <row r="318" spans="1:5" ht="12.75" customHeight="1">
      <c r="A318" s="38"/>
      <c r="B318" s="38"/>
      <c r="C318" s="38"/>
      <c r="D318" s="38"/>
      <c r="E318" s="38"/>
    </row>
    <row r="319" spans="1:5" ht="12.75" customHeight="1">
      <c r="A319" s="38"/>
      <c r="B319" s="38"/>
      <c r="C319" s="38"/>
      <c r="D319" s="38"/>
      <c r="E319" s="38"/>
    </row>
    <row r="320" spans="1:5" ht="12.75" customHeight="1">
      <c r="A320" s="38"/>
      <c r="B320" s="38"/>
      <c r="C320" s="38"/>
      <c r="D320" s="38"/>
      <c r="E320" s="38"/>
    </row>
    <row r="321" spans="1:5" ht="12.75" customHeight="1">
      <c r="A321" s="38"/>
      <c r="B321" s="38"/>
      <c r="C321" s="38"/>
      <c r="D321" s="38"/>
      <c r="E321" s="38"/>
    </row>
    <row r="322" spans="1:5" ht="12.75" customHeight="1">
      <c r="A322" s="38"/>
      <c r="B322" s="38"/>
      <c r="C322" s="38"/>
      <c r="D322" s="38"/>
      <c r="E322" s="38"/>
    </row>
    <row r="323" spans="1:5" ht="12.75" customHeight="1">
      <c r="A323" s="38"/>
      <c r="B323" s="38"/>
      <c r="C323" s="38"/>
      <c r="D323" s="38"/>
      <c r="E323" s="38"/>
    </row>
    <row r="324" spans="1:5" ht="12.75" customHeight="1">
      <c r="A324" s="38"/>
      <c r="B324" s="38"/>
      <c r="C324" s="38"/>
      <c r="D324" s="38"/>
      <c r="E324" s="38"/>
    </row>
    <row r="325" spans="1:5" ht="12.75" customHeight="1">
      <c r="A325" s="38"/>
      <c r="B325" s="38"/>
      <c r="C325" s="38"/>
      <c r="D325" s="38"/>
      <c r="E325" s="38"/>
    </row>
    <row r="326" spans="1:5" ht="12.75" customHeight="1">
      <c r="A326" s="38"/>
      <c r="B326" s="38"/>
      <c r="C326" s="38"/>
      <c r="D326" s="38"/>
      <c r="E326" s="38"/>
    </row>
    <row r="327" spans="1:5" ht="12.75" customHeight="1">
      <c r="A327" s="38"/>
      <c r="B327" s="38"/>
      <c r="C327" s="38"/>
      <c r="D327" s="38"/>
      <c r="E327" s="38"/>
    </row>
    <row r="328" spans="1:5" ht="12.75" customHeight="1">
      <c r="A328" s="38"/>
      <c r="B328" s="38"/>
      <c r="C328" s="38"/>
      <c r="D328" s="38"/>
      <c r="E328" s="38"/>
    </row>
    <row r="329" spans="1:5" ht="12.75" customHeight="1">
      <c r="A329" s="38"/>
      <c r="B329" s="38"/>
      <c r="C329" s="38"/>
      <c r="D329" s="38"/>
      <c r="E329" s="38"/>
    </row>
    <row r="330" spans="1:5" ht="12.75" customHeight="1">
      <c r="A330" s="38"/>
      <c r="B330" s="38"/>
      <c r="C330" s="38"/>
      <c r="D330" s="38"/>
      <c r="E330" s="38"/>
    </row>
    <row r="331" spans="1:5" ht="12.75" customHeight="1">
      <c r="A331" s="38"/>
      <c r="B331" s="38"/>
      <c r="C331" s="38"/>
      <c r="D331" s="38"/>
      <c r="E331" s="38"/>
    </row>
    <row r="332" spans="1:5" ht="12.75" customHeight="1">
      <c r="A332" s="38"/>
      <c r="B332" s="38"/>
      <c r="C332" s="38"/>
      <c r="D332" s="38"/>
      <c r="E332" s="38"/>
    </row>
    <row r="333" spans="1:5" ht="12.75" customHeight="1">
      <c r="A333" s="38"/>
      <c r="B333" s="38"/>
      <c r="C333" s="38"/>
      <c r="D333" s="38"/>
      <c r="E333" s="38"/>
    </row>
    <row r="334" spans="1:5" ht="12.75" customHeight="1">
      <c r="A334" s="38"/>
      <c r="B334" s="38"/>
      <c r="C334" s="38"/>
      <c r="D334" s="38"/>
      <c r="E334" s="38"/>
    </row>
    <row r="335" spans="1:5" ht="12.75" customHeight="1">
      <c r="A335" s="38"/>
      <c r="B335" s="38"/>
      <c r="C335" s="38"/>
      <c r="D335" s="38"/>
      <c r="E335" s="38"/>
    </row>
    <row r="336" spans="1:5" ht="12.75" customHeight="1">
      <c r="A336" s="38"/>
      <c r="B336" s="38"/>
      <c r="C336" s="38"/>
      <c r="D336" s="38"/>
      <c r="E336" s="38"/>
    </row>
    <row r="337" spans="1:5" ht="12.75" customHeight="1">
      <c r="A337" s="38"/>
      <c r="B337" s="38"/>
      <c r="C337" s="38"/>
      <c r="D337" s="38"/>
      <c r="E337" s="38"/>
    </row>
    <row r="338" spans="1:5" ht="12.75" customHeight="1">
      <c r="A338" s="38"/>
      <c r="B338" s="38"/>
      <c r="C338" s="38"/>
      <c r="D338" s="38"/>
      <c r="E338" s="38"/>
    </row>
    <row r="339" spans="1:5" ht="12.75" customHeight="1">
      <c r="A339" s="38"/>
      <c r="B339" s="38"/>
      <c r="C339" s="38"/>
      <c r="D339" s="38"/>
      <c r="E339" s="38"/>
    </row>
    <row r="340" spans="1:5" ht="12.75" customHeight="1">
      <c r="A340" s="38"/>
      <c r="B340" s="38"/>
      <c r="C340" s="38"/>
      <c r="D340" s="38"/>
      <c r="E340" s="38"/>
    </row>
    <row r="341" spans="1:5" ht="12.75" customHeight="1">
      <c r="A341" s="38"/>
      <c r="B341" s="38"/>
      <c r="C341" s="38"/>
      <c r="D341" s="38"/>
      <c r="E341" s="38"/>
    </row>
    <row r="342" spans="1:5" ht="12.75" customHeight="1">
      <c r="A342" s="38"/>
      <c r="B342" s="38"/>
      <c r="C342" s="38"/>
      <c r="D342" s="38"/>
      <c r="E342" s="38"/>
    </row>
    <row r="343" spans="1:5" ht="12.75" customHeight="1">
      <c r="A343" s="38"/>
      <c r="B343" s="38"/>
      <c r="C343" s="38"/>
      <c r="D343" s="38"/>
      <c r="E343" s="38"/>
    </row>
    <row r="344" spans="1:5" ht="12.75" customHeight="1">
      <c r="A344" s="38"/>
      <c r="B344" s="38"/>
      <c r="C344" s="38"/>
      <c r="D344" s="38"/>
      <c r="E344" s="38"/>
    </row>
    <row r="345" spans="1:5" ht="12.75" customHeight="1">
      <c r="A345" s="38"/>
      <c r="B345" s="38"/>
      <c r="C345" s="38"/>
      <c r="D345" s="38"/>
      <c r="E345" s="38"/>
    </row>
    <row r="346" spans="1:5" ht="12.75" customHeight="1">
      <c r="A346" s="38"/>
      <c r="B346" s="38"/>
      <c r="C346" s="38"/>
      <c r="D346" s="38"/>
      <c r="E346" s="38"/>
    </row>
    <row r="347" spans="1:5" ht="12.75" customHeight="1">
      <c r="A347" s="38"/>
      <c r="B347" s="38"/>
      <c r="C347" s="38"/>
      <c r="D347" s="38"/>
      <c r="E347" s="38"/>
    </row>
    <row r="348" spans="1:5" ht="12.75" customHeight="1">
      <c r="A348" s="38"/>
      <c r="B348" s="38"/>
      <c r="C348" s="38"/>
      <c r="D348" s="38"/>
      <c r="E348" s="38"/>
    </row>
    <row r="349" spans="1:5" ht="12.75" customHeight="1">
      <c r="A349" s="38"/>
      <c r="B349" s="38"/>
      <c r="C349" s="38"/>
      <c r="D349" s="38"/>
      <c r="E349" s="38"/>
    </row>
    <row r="350" spans="1:5" ht="12.75" customHeight="1">
      <c r="A350" s="38"/>
      <c r="B350" s="38"/>
      <c r="C350" s="38"/>
      <c r="D350" s="38"/>
      <c r="E350" s="38"/>
    </row>
    <row r="351" spans="1:5" ht="12.75" customHeight="1">
      <c r="A351" s="38"/>
      <c r="B351" s="38"/>
      <c r="C351" s="38"/>
      <c r="D351" s="38"/>
      <c r="E351" s="38"/>
    </row>
    <row r="352" spans="1:5" ht="12.75" customHeight="1">
      <c r="A352" s="38"/>
      <c r="B352" s="38"/>
      <c r="C352" s="38"/>
      <c r="D352" s="38"/>
      <c r="E352" s="38"/>
    </row>
    <row r="353" spans="1:5" ht="12.75" customHeight="1">
      <c r="A353" s="38"/>
      <c r="B353" s="38"/>
      <c r="C353" s="38"/>
      <c r="D353" s="38"/>
      <c r="E353" s="38"/>
    </row>
    <row r="354" spans="1:5" ht="12.75" customHeight="1">
      <c r="A354" s="38"/>
      <c r="B354" s="38"/>
      <c r="C354" s="38"/>
      <c r="D354" s="38"/>
      <c r="E354" s="38"/>
    </row>
    <row r="355" spans="1:5" ht="12.75" customHeight="1">
      <c r="A355" s="38"/>
      <c r="B355" s="38"/>
      <c r="C355" s="38"/>
      <c r="D355" s="38"/>
      <c r="E355" s="38"/>
    </row>
    <row r="356" spans="1:5" ht="12.75" customHeight="1">
      <c r="A356" s="38"/>
      <c r="B356" s="38"/>
      <c r="C356" s="38"/>
      <c r="D356" s="38"/>
      <c r="E356" s="38"/>
    </row>
    <row r="357" spans="1:5" ht="12.75" customHeight="1">
      <c r="A357" s="38"/>
      <c r="B357" s="38"/>
      <c r="C357" s="38"/>
      <c r="D357" s="38"/>
      <c r="E357" s="38"/>
    </row>
    <row r="358" spans="1:5" ht="12.75" customHeight="1">
      <c r="A358" s="38"/>
      <c r="B358" s="38"/>
      <c r="C358" s="38"/>
      <c r="D358" s="38"/>
      <c r="E358" s="38"/>
    </row>
    <row r="359" spans="1:5" ht="12.75" customHeight="1">
      <c r="A359" s="38"/>
      <c r="B359" s="38"/>
      <c r="C359" s="38"/>
      <c r="D359" s="38"/>
      <c r="E359" s="38"/>
    </row>
    <row r="360" spans="1:5" ht="12.75" customHeight="1">
      <c r="A360" s="38"/>
      <c r="B360" s="38"/>
      <c r="C360" s="38"/>
      <c r="D360" s="38"/>
      <c r="E360" s="38"/>
    </row>
    <row r="361" spans="1:5" ht="12.75" customHeight="1">
      <c r="A361" s="38"/>
      <c r="B361" s="38"/>
      <c r="C361" s="38"/>
      <c r="D361" s="38"/>
      <c r="E361" s="38"/>
    </row>
    <row r="362" spans="1:5" ht="12.75" customHeight="1">
      <c r="A362" s="38"/>
      <c r="B362" s="38"/>
      <c r="C362" s="38"/>
      <c r="D362" s="38"/>
      <c r="E362" s="38"/>
    </row>
    <row r="363" spans="1:5" ht="12.75" customHeight="1">
      <c r="A363" s="38"/>
      <c r="B363" s="38"/>
      <c r="C363" s="38"/>
      <c r="D363" s="38"/>
      <c r="E363" s="38"/>
    </row>
    <row r="364" spans="1:5" ht="12.75" customHeight="1">
      <c r="A364" s="38"/>
      <c r="B364" s="38"/>
      <c r="C364" s="38"/>
      <c r="D364" s="38"/>
      <c r="E364" s="38"/>
    </row>
    <row r="365" spans="1:5" ht="12.75" customHeight="1">
      <c r="A365" s="38"/>
      <c r="B365" s="38"/>
      <c r="C365" s="38"/>
      <c r="D365" s="38"/>
      <c r="E365" s="38"/>
    </row>
    <row r="366" spans="1:5" ht="12.75" customHeight="1">
      <c r="A366" s="38"/>
      <c r="B366" s="38"/>
      <c r="C366" s="38"/>
      <c r="D366" s="38"/>
      <c r="E366" s="38"/>
    </row>
    <row r="367" spans="1:5" ht="12.75" customHeight="1">
      <c r="A367" s="38"/>
      <c r="B367" s="38"/>
      <c r="C367" s="38"/>
      <c r="D367" s="38"/>
      <c r="E367" s="38"/>
    </row>
    <row r="368" spans="1:5" ht="12.75" customHeight="1">
      <c r="A368" s="38"/>
      <c r="B368" s="38"/>
      <c r="C368" s="38"/>
      <c r="D368" s="38"/>
      <c r="E368" s="38"/>
    </row>
    <row r="369" spans="1:5" ht="12.75" customHeight="1">
      <c r="A369" s="38"/>
      <c r="B369" s="38"/>
      <c r="C369" s="38"/>
      <c r="D369" s="38"/>
      <c r="E369" s="38"/>
    </row>
    <row r="370" spans="1:5" ht="12.75" customHeight="1">
      <c r="A370" s="38"/>
      <c r="B370" s="38"/>
      <c r="C370" s="38"/>
      <c r="D370" s="38"/>
      <c r="E370" s="38"/>
    </row>
    <row r="371" spans="1:5" ht="12.75" customHeight="1">
      <c r="A371" s="38"/>
      <c r="B371" s="38"/>
      <c r="C371" s="38"/>
      <c r="D371" s="38"/>
      <c r="E371" s="38"/>
    </row>
    <row r="372" spans="1:5" ht="12.75" customHeight="1">
      <c r="A372" s="38"/>
      <c r="B372" s="38"/>
      <c r="C372" s="38"/>
      <c r="D372" s="38"/>
      <c r="E372" s="38"/>
    </row>
    <row r="373" spans="1:5" ht="12.75" customHeight="1">
      <c r="A373" s="38"/>
      <c r="B373" s="38"/>
      <c r="C373" s="38"/>
      <c r="D373" s="38"/>
      <c r="E373" s="38"/>
    </row>
    <row r="374" spans="1:5" ht="12.75" customHeight="1">
      <c r="A374" s="38"/>
      <c r="B374" s="38"/>
      <c r="C374" s="38"/>
      <c r="D374" s="38"/>
      <c r="E374" s="38"/>
    </row>
    <row r="375" spans="1:5" ht="12.75" customHeight="1">
      <c r="A375" s="38"/>
      <c r="B375" s="38"/>
      <c r="C375" s="38"/>
      <c r="D375" s="38"/>
      <c r="E375" s="38"/>
    </row>
    <row r="376" spans="1:5" ht="12.75" customHeight="1">
      <c r="A376" s="38"/>
      <c r="B376" s="38"/>
      <c r="C376" s="38"/>
      <c r="D376" s="38"/>
      <c r="E376" s="38"/>
    </row>
    <row r="377" spans="1:5" ht="12.75" customHeight="1">
      <c r="A377" s="38"/>
      <c r="B377" s="38"/>
      <c r="C377" s="38"/>
      <c r="D377" s="38"/>
      <c r="E377" s="38"/>
    </row>
    <row r="378" spans="1:5" ht="12.75" customHeight="1">
      <c r="A378" s="38"/>
      <c r="B378" s="38"/>
      <c r="C378" s="38"/>
      <c r="D378" s="38"/>
      <c r="E378" s="38"/>
    </row>
    <row r="379" spans="1:5" ht="12.75" customHeight="1">
      <c r="A379" s="38"/>
      <c r="B379" s="38"/>
      <c r="C379" s="38"/>
      <c r="D379" s="38"/>
      <c r="E379" s="38"/>
    </row>
    <row r="380" spans="1:5" ht="12.75" customHeight="1">
      <c r="A380" s="38"/>
      <c r="B380" s="38"/>
      <c r="C380" s="38"/>
      <c r="D380" s="38"/>
      <c r="E380" s="38"/>
    </row>
    <row r="381" spans="1:5" ht="12.75" customHeight="1">
      <c r="A381" s="38"/>
      <c r="B381" s="38"/>
      <c r="C381" s="38"/>
      <c r="D381" s="38"/>
      <c r="E381" s="38"/>
    </row>
    <row r="382" spans="1:5" ht="12.75" customHeight="1">
      <c r="A382" s="38"/>
      <c r="B382" s="38"/>
      <c r="C382" s="38"/>
      <c r="D382" s="38"/>
      <c r="E382" s="38"/>
    </row>
    <row r="383" spans="1:5" ht="12.75" customHeight="1">
      <c r="A383" s="38"/>
      <c r="B383" s="38"/>
      <c r="C383" s="38"/>
      <c r="D383" s="38"/>
      <c r="E383" s="38"/>
    </row>
    <row r="384" spans="1:5" ht="12.75" customHeight="1">
      <c r="A384" s="38"/>
      <c r="B384" s="38"/>
      <c r="C384" s="38"/>
      <c r="D384" s="38"/>
      <c r="E384" s="38"/>
    </row>
    <row r="385" spans="1:5" ht="12.75" customHeight="1">
      <c r="A385" s="38"/>
      <c r="B385" s="38"/>
      <c r="C385" s="38"/>
      <c r="D385" s="38"/>
      <c r="E385" s="38"/>
    </row>
    <row r="386" spans="1:5" ht="12.75" customHeight="1">
      <c r="A386" s="38"/>
      <c r="B386" s="38"/>
      <c r="C386" s="38"/>
      <c r="D386" s="38"/>
      <c r="E386" s="38"/>
    </row>
    <row r="387" spans="1:5" ht="12.75" customHeight="1">
      <c r="A387" s="38"/>
      <c r="B387" s="38"/>
      <c r="C387" s="38"/>
      <c r="D387" s="38"/>
      <c r="E387" s="38"/>
    </row>
    <row r="388" spans="1:5" ht="12.75" customHeight="1">
      <c r="A388" s="38"/>
      <c r="B388" s="38"/>
      <c r="C388" s="38"/>
      <c r="D388" s="38"/>
      <c r="E388" s="38"/>
    </row>
    <row r="389" spans="1:5" ht="12.75" customHeight="1">
      <c r="A389" s="38"/>
      <c r="B389" s="38"/>
      <c r="C389" s="38"/>
      <c r="D389" s="38"/>
      <c r="E389" s="38"/>
    </row>
    <row r="390" spans="1:5" ht="12.75" customHeight="1">
      <c r="A390" s="38"/>
      <c r="B390" s="38"/>
      <c r="C390" s="38"/>
      <c r="D390" s="38"/>
      <c r="E390" s="38"/>
    </row>
    <row r="391" spans="1:5" ht="12.75" customHeight="1">
      <c r="A391" s="38"/>
      <c r="B391" s="38"/>
      <c r="C391" s="38"/>
      <c r="D391" s="38"/>
      <c r="E391" s="38"/>
    </row>
    <row r="392" spans="1:5" ht="12.75" customHeight="1">
      <c r="A392" s="38"/>
      <c r="B392" s="38"/>
      <c r="C392" s="38"/>
      <c r="D392" s="38"/>
      <c r="E392" s="38"/>
    </row>
    <row r="393" spans="1:5" ht="12.75" customHeight="1">
      <c r="A393" s="38"/>
      <c r="B393" s="38"/>
      <c r="C393" s="38"/>
      <c r="D393" s="38"/>
      <c r="E393" s="38"/>
    </row>
    <row r="394" spans="1:5" ht="12.75" customHeight="1">
      <c r="A394" s="38"/>
      <c r="B394" s="38"/>
      <c r="C394" s="38"/>
      <c r="D394" s="38"/>
      <c r="E394" s="38"/>
    </row>
    <row r="395" spans="1:5" ht="12.75" customHeight="1">
      <c r="A395" s="38"/>
      <c r="B395" s="38"/>
      <c r="C395" s="38"/>
      <c r="D395" s="38"/>
      <c r="E395" s="38"/>
    </row>
    <row r="396" spans="1:5" ht="12.75" customHeight="1">
      <c r="A396" s="38"/>
      <c r="B396" s="38"/>
      <c r="C396" s="38"/>
      <c r="D396" s="38"/>
      <c r="E396" s="38"/>
    </row>
    <row r="397" spans="1:5" ht="12.75" customHeight="1">
      <c r="A397" s="38"/>
      <c r="B397" s="38"/>
      <c r="C397" s="38"/>
      <c r="D397" s="38"/>
      <c r="E397" s="38"/>
    </row>
    <row r="398" spans="1:5" ht="12.75" customHeight="1">
      <c r="A398" s="38"/>
      <c r="B398" s="38"/>
      <c r="C398" s="38"/>
      <c r="D398" s="38"/>
      <c r="E398" s="38"/>
    </row>
    <row r="399" spans="1:5" ht="12.75" customHeight="1">
      <c r="A399" s="38"/>
      <c r="B399" s="38"/>
      <c r="C399" s="38"/>
      <c r="D399" s="38"/>
      <c r="E399" s="38"/>
    </row>
    <row r="400" spans="1:5" ht="12.75" customHeight="1">
      <c r="A400" s="38"/>
      <c r="B400" s="38"/>
      <c r="C400" s="38"/>
      <c r="D400" s="38"/>
      <c r="E400" s="38"/>
    </row>
    <row r="401" spans="1:5" ht="12.75" customHeight="1">
      <c r="A401" s="38"/>
      <c r="B401" s="38"/>
      <c r="C401" s="38"/>
      <c r="D401" s="38"/>
      <c r="E401" s="38"/>
    </row>
    <row r="402" spans="1:5" ht="12.75" customHeight="1">
      <c r="A402" s="38"/>
      <c r="B402" s="38"/>
      <c r="C402" s="38"/>
      <c r="D402" s="38"/>
      <c r="E402" s="38"/>
    </row>
    <row r="403" spans="1:5" ht="12.75" customHeight="1">
      <c r="A403" s="38"/>
      <c r="B403" s="38"/>
      <c r="C403" s="38"/>
      <c r="D403" s="38"/>
      <c r="E403" s="38"/>
    </row>
    <row r="404" spans="1:5" ht="12.75" customHeight="1">
      <c r="A404" s="38"/>
      <c r="B404" s="38"/>
      <c r="C404" s="38"/>
      <c r="D404" s="38"/>
      <c r="E404" s="38"/>
    </row>
    <row r="405" spans="1:5" ht="12.75" customHeight="1">
      <c r="A405" s="38"/>
      <c r="B405" s="38"/>
      <c r="C405" s="38"/>
      <c r="D405" s="38"/>
      <c r="E405" s="38"/>
    </row>
    <row r="406" spans="1:5" ht="12.75" customHeight="1">
      <c r="A406" s="38"/>
      <c r="B406" s="38"/>
      <c r="C406" s="38"/>
      <c r="D406" s="38"/>
      <c r="E406" s="38"/>
    </row>
    <row r="407" spans="1:5" ht="12.75" customHeight="1">
      <c r="A407" s="38"/>
      <c r="B407" s="38"/>
      <c r="C407" s="38"/>
      <c r="D407" s="38"/>
      <c r="E407" s="38"/>
    </row>
    <row r="408" spans="1:5" ht="12.75" customHeight="1">
      <c r="A408" s="38"/>
      <c r="B408" s="38"/>
      <c r="C408" s="38"/>
      <c r="D408" s="38"/>
      <c r="E408" s="38"/>
    </row>
    <row r="409" spans="1:5" ht="12.75" customHeight="1">
      <c r="A409" s="38"/>
      <c r="B409" s="38"/>
      <c r="C409" s="38"/>
      <c r="D409" s="38"/>
      <c r="E409" s="38"/>
    </row>
    <row r="410" spans="1:5" ht="12.75" customHeight="1">
      <c r="A410" s="38"/>
      <c r="B410" s="38"/>
      <c r="C410" s="38"/>
      <c r="D410" s="38"/>
      <c r="E410" s="38"/>
    </row>
    <row r="411" spans="1:5" ht="12.75" customHeight="1">
      <c r="A411" s="38"/>
      <c r="B411" s="38"/>
      <c r="C411" s="38"/>
      <c r="D411" s="38"/>
      <c r="E411" s="38"/>
    </row>
    <row r="412" spans="1:5" ht="12.75" customHeight="1">
      <c r="A412" s="38"/>
      <c r="B412" s="38"/>
      <c r="C412" s="38"/>
      <c r="D412" s="38"/>
      <c r="E412" s="38"/>
    </row>
    <row r="413" spans="1:5" ht="12.75" customHeight="1">
      <c r="A413" s="38"/>
      <c r="B413" s="38"/>
      <c r="C413" s="38"/>
      <c r="D413" s="38"/>
      <c r="E413" s="38"/>
    </row>
    <row r="414" spans="1:5" ht="12.75" customHeight="1">
      <c r="A414" s="38"/>
      <c r="B414" s="38"/>
      <c r="C414" s="38"/>
      <c r="D414" s="38"/>
      <c r="E414" s="38"/>
    </row>
    <row r="415" spans="1:5" ht="12.75" customHeight="1">
      <c r="A415" s="38"/>
      <c r="B415" s="38"/>
      <c r="C415" s="38"/>
      <c r="D415" s="38"/>
      <c r="E415" s="38"/>
    </row>
    <row r="416" spans="1:5" ht="12.75" customHeight="1">
      <c r="A416" s="38"/>
      <c r="B416" s="38"/>
      <c r="C416" s="38"/>
      <c r="D416" s="38"/>
      <c r="E416" s="38"/>
    </row>
    <row r="417" spans="1:5" ht="12.75" customHeight="1">
      <c r="A417" s="38"/>
      <c r="B417" s="38"/>
      <c r="C417" s="38"/>
      <c r="D417" s="38"/>
      <c r="E417" s="38"/>
    </row>
    <row r="418" spans="1:5" ht="12.75" customHeight="1">
      <c r="A418" s="38"/>
      <c r="B418" s="38"/>
      <c r="C418" s="38"/>
      <c r="D418" s="38"/>
      <c r="E418" s="38"/>
    </row>
    <row r="419" spans="1:5" ht="12.75" customHeight="1">
      <c r="A419" s="38"/>
      <c r="B419" s="38"/>
      <c r="C419" s="38"/>
      <c r="D419" s="38"/>
      <c r="E419" s="38"/>
    </row>
    <row r="420" spans="1:5" ht="12.75" customHeight="1">
      <c r="A420" s="38"/>
      <c r="B420" s="38"/>
      <c r="C420" s="38"/>
      <c r="D420" s="38"/>
      <c r="E420" s="38"/>
    </row>
    <row r="421" spans="1:5" ht="12.75" customHeight="1">
      <c r="A421" s="38"/>
      <c r="B421" s="38"/>
      <c r="C421" s="38"/>
      <c r="D421" s="38"/>
      <c r="E421" s="38"/>
    </row>
    <row r="422" spans="1:5" ht="12.75" customHeight="1">
      <c r="A422" s="38"/>
      <c r="B422" s="38"/>
      <c r="C422" s="38"/>
      <c r="D422" s="38"/>
      <c r="E422" s="38"/>
    </row>
    <row r="423" spans="1:5" ht="12.75" customHeight="1">
      <c r="A423" s="38"/>
      <c r="B423" s="38"/>
      <c r="C423" s="38"/>
      <c r="D423" s="38"/>
      <c r="E423" s="38"/>
    </row>
    <row r="424" spans="1:5" ht="12.75" customHeight="1">
      <c r="A424" s="38"/>
      <c r="B424" s="38"/>
      <c r="C424" s="38"/>
      <c r="D424" s="38"/>
      <c r="E424" s="38"/>
    </row>
    <row r="425" spans="1:5" ht="12.75" customHeight="1">
      <c r="A425" s="38"/>
      <c r="B425" s="38"/>
      <c r="C425" s="38"/>
      <c r="D425" s="38"/>
      <c r="E425" s="38"/>
    </row>
    <row r="426" spans="1:5" ht="12.75" customHeight="1">
      <c r="A426" s="38"/>
      <c r="B426" s="38"/>
      <c r="C426" s="38"/>
      <c r="D426" s="38"/>
      <c r="E426" s="38"/>
    </row>
    <row r="427" spans="1:5" ht="12.75" customHeight="1">
      <c r="A427" s="38"/>
      <c r="B427" s="38"/>
      <c r="C427" s="38"/>
      <c r="D427" s="38"/>
      <c r="E427" s="38"/>
    </row>
    <row r="428" spans="1:5" ht="12.75" customHeight="1">
      <c r="A428" s="38"/>
      <c r="B428" s="38"/>
      <c r="C428" s="38"/>
      <c r="D428" s="38"/>
      <c r="E428" s="38"/>
    </row>
    <row r="429" spans="1:5" ht="12.75" customHeight="1">
      <c r="A429" s="38"/>
      <c r="B429" s="38"/>
      <c r="C429" s="38"/>
      <c r="D429" s="38"/>
      <c r="E429" s="38"/>
    </row>
    <row r="430" spans="1:5" ht="12.75" customHeight="1">
      <c r="A430" s="38"/>
      <c r="B430" s="38"/>
      <c r="C430" s="38"/>
      <c r="D430" s="38"/>
      <c r="E430" s="38"/>
    </row>
    <row r="431" spans="1:5" ht="12.75" customHeight="1">
      <c r="A431" s="38"/>
      <c r="B431" s="38"/>
      <c r="C431" s="38"/>
      <c r="D431" s="38"/>
      <c r="E431" s="38"/>
    </row>
    <row r="432" spans="1:5" ht="12.75" customHeight="1">
      <c r="A432" s="38"/>
      <c r="B432" s="38"/>
      <c r="C432" s="38"/>
      <c r="D432" s="38"/>
      <c r="E432" s="38"/>
    </row>
    <row r="433" spans="1:5" ht="12.75" customHeight="1">
      <c r="A433" s="38"/>
      <c r="B433" s="38"/>
      <c r="C433" s="38"/>
      <c r="D433" s="38"/>
      <c r="E433" s="38"/>
    </row>
    <row r="434" spans="1:5" ht="12.75" customHeight="1">
      <c r="A434" s="38"/>
      <c r="B434" s="38"/>
      <c r="C434" s="38"/>
      <c r="D434" s="38"/>
      <c r="E434" s="38"/>
    </row>
    <row r="435" spans="1:5" ht="12.75" customHeight="1">
      <c r="A435" s="38"/>
      <c r="B435" s="38"/>
      <c r="C435" s="38"/>
      <c r="D435" s="38"/>
      <c r="E435" s="38"/>
    </row>
    <row r="436" spans="1:5" ht="12.75" customHeight="1">
      <c r="A436" s="38"/>
      <c r="B436" s="38"/>
      <c r="C436" s="38"/>
      <c r="D436" s="38"/>
      <c r="E436" s="38"/>
    </row>
    <row r="437" spans="1:5" ht="12.75" customHeight="1">
      <c r="A437" s="38"/>
      <c r="B437" s="38"/>
      <c r="C437" s="38"/>
      <c r="D437" s="38"/>
      <c r="E437" s="38"/>
    </row>
    <row r="438" spans="1:5" ht="12.75" customHeight="1">
      <c r="A438" s="38"/>
      <c r="B438" s="38"/>
      <c r="C438" s="38"/>
      <c r="D438" s="38"/>
      <c r="E438" s="38"/>
    </row>
    <row r="439" spans="1:5" ht="12.75" customHeight="1">
      <c r="A439" s="38"/>
      <c r="B439" s="38"/>
      <c r="C439" s="38"/>
      <c r="D439" s="38"/>
      <c r="E439" s="38"/>
    </row>
    <row r="440" spans="1:5" ht="12.75" customHeight="1">
      <c r="A440" s="38"/>
      <c r="B440" s="38"/>
      <c r="C440" s="38"/>
      <c r="D440" s="38"/>
      <c r="E440" s="38"/>
    </row>
    <row r="441" spans="1:5" ht="12.75" customHeight="1">
      <c r="A441" s="38"/>
      <c r="B441" s="38"/>
      <c r="C441" s="38"/>
      <c r="D441" s="38"/>
      <c r="E441" s="38"/>
    </row>
    <row r="442" spans="1:5" ht="12.75" customHeight="1">
      <c r="A442" s="38"/>
      <c r="B442" s="38"/>
      <c r="C442" s="38"/>
      <c r="D442" s="38"/>
      <c r="E442" s="38"/>
    </row>
    <row r="443" spans="1:5" ht="12.75" customHeight="1">
      <c r="A443" s="38"/>
      <c r="B443" s="38"/>
      <c r="C443" s="38"/>
      <c r="D443" s="38"/>
      <c r="E443" s="38"/>
    </row>
    <row r="444" spans="1:5" ht="12.75" customHeight="1">
      <c r="A444" s="38"/>
      <c r="B444" s="38"/>
      <c r="C444" s="38"/>
      <c r="D444" s="38"/>
      <c r="E444" s="38"/>
    </row>
    <row r="445" spans="1:5" ht="12.75" customHeight="1">
      <c r="A445" s="38"/>
      <c r="B445" s="38"/>
      <c r="C445" s="38"/>
      <c r="D445" s="38"/>
      <c r="E445" s="38"/>
    </row>
    <row r="446" spans="1:5" ht="12.75" customHeight="1">
      <c r="A446" s="38"/>
      <c r="B446" s="38"/>
      <c r="C446" s="38"/>
      <c r="D446" s="38"/>
      <c r="E446" s="38"/>
    </row>
    <row r="447" spans="1:5" ht="12.75" customHeight="1">
      <c r="A447" s="38"/>
      <c r="B447" s="38"/>
      <c r="C447" s="38"/>
      <c r="D447" s="38"/>
      <c r="E447" s="38"/>
    </row>
    <row r="448" spans="1:5" ht="12.75" customHeight="1">
      <c r="A448" s="38"/>
      <c r="B448" s="38"/>
      <c r="C448" s="38"/>
      <c r="D448" s="38"/>
      <c r="E448" s="38"/>
    </row>
    <row r="449" spans="1:5" ht="12.75" customHeight="1">
      <c r="A449" s="38"/>
      <c r="B449" s="38"/>
      <c r="C449" s="38"/>
      <c r="D449" s="38"/>
      <c r="E449" s="38"/>
    </row>
    <row r="450" spans="1:5" ht="12.75" customHeight="1">
      <c r="A450" s="38"/>
      <c r="B450" s="38"/>
      <c r="C450" s="38"/>
      <c r="D450" s="38"/>
      <c r="E450" s="38"/>
    </row>
    <row r="451" spans="1:5" ht="12.75" customHeight="1">
      <c r="A451" s="38"/>
      <c r="B451" s="38"/>
      <c r="C451" s="38"/>
      <c r="D451" s="38"/>
      <c r="E451" s="38"/>
    </row>
    <row r="452" spans="1:5" ht="12.75" customHeight="1">
      <c r="A452" s="38"/>
      <c r="B452" s="38"/>
      <c r="C452" s="38"/>
      <c r="D452" s="38"/>
      <c r="E452" s="38"/>
    </row>
    <row r="453" spans="1:5" ht="12.75" customHeight="1">
      <c r="A453" s="38"/>
      <c r="B453" s="38"/>
      <c r="C453" s="38"/>
      <c r="D453" s="38"/>
      <c r="E453" s="38"/>
    </row>
    <row r="454" spans="1:5" ht="12.75" customHeight="1">
      <c r="A454" s="38"/>
      <c r="B454" s="38"/>
      <c r="C454" s="38"/>
      <c r="D454" s="38"/>
      <c r="E454" s="38"/>
    </row>
    <row r="455" spans="1:5" ht="12.75" customHeight="1">
      <c r="A455" s="38"/>
      <c r="B455" s="38"/>
      <c r="C455" s="38"/>
      <c r="D455" s="38"/>
      <c r="E455" s="38"/>
    </row>
    <row r="456" spans="1:5" ht="12.75" customHeight="1">
      <c r="A456" s="38"/>
      <c r="B456" s="38"/>
      <c r="C456" s="38"/>
      <c r="D456" s="38"/>
      <c r="E456" s="38"/>
    </row>
    <row r="457" spans="1:5" ht="12.75" customHeight="1">
      <c r="A457" s="38"/>
      <c r="B457" s="38"/>
      <c r="C457" s="38"/>
      <c r="D457" s="38"/>
      <c r="E457" s="38"/>
    </row>
    <row r="458" spans="1:5" ht="12.75" customHeight="1">
      <c r="A458" s="38"/>
      <c r="B458" s="38"/>
      <c r="C458" s="38"/>
      <c r="D458" s="38"/>
      <c r="E458" s="38"/>
    </row>
    <row r="459" spans="1:5" ht="12.75" customHeight="1">
      <c r="A459" s="38"/>
      <c r="B459" s="38"/>
      <c r="C459" s="38"/>
      <c r="D459" s="38"/>
      <c r="E459" s="38"/>
    </row>
    <row r="460" spans="1:5" ht="12.75" customHeight="1">
      <c r="A460" s="38"/>
      <c r="B460" s="38"/>
      <c r="C460" s="38"/>
      <c r="D460" s="38"/>
      <c r="E460" s="38"/>
    </row>
    <row r="461" spans="1:5" ht="12.75" customHeight="1">
      <c r="A461" s="38"/>
      <c r="B461" s="38"/>
      <c r="C461" s="38"/>
      <c r="D461" s="38"/>
      <c r="E461" s="38"/>
    </row>
    <row r="462" spans="1:5" ht="12.75" customHeight="1">
      <c r="A462" s="38"/>
      <c r="B462" s="38"/>
      <c r="C462" s="38"/>
      <c r="D462" s="38"/>
      <c r="E462" s="38"/>
    </row>
    <row r="463" spans="1:5" ht="12.75" customHeight="1">
      <c r="A463" s="38"/>
      <c r="B463" s="38"/>
      <c r="C463" s="38"/>
      <c r="D463" s="38"/>
      <c r="E463" s="38"/>
    </row>
    <row r="464" spans="1:5" ht="12.75" customHeight="1">
      <c r="A464" s="38"/>
      <c r="B464" s="38"/>
      <c r="C464" s="38"/>
      <c r="D464" s="38"/>
      <c r="E464" s="38"/>
    </row>
    <row r="465" spans="1:5" ht="12.75" customHeight="1">
      <c r="A465" s="38"/>
      <c r="B465" s="38"/>
      <c r="C465" s="38"/>
      <c r="D465" s="38"/>
      <c r="E465" s="38"/>
    </row>
    <row r="466" spans="1:5" ht="12.75" customHeight="1">
      <c r="A466" s="38"/>
      <c r="B466" s="38"/>
      <c r="C466" s="38"/>
      <c r="D466" s="38"/>
      <c r="E466" s="38"/>
    </row>
    <row r="467" spans="1:5" ht="12.75" customHeight="1">
      <c r="A467" s="38"/>
      <c r="B467" s="38"/>
      <c r="C467" s="38"/>
      <c r="D467" s="38"/>
      <c r="E467" s="38"/>
    </row>
    <row r="468" spans="1:5" ht="12.75" customHeight="1">
      <c r="A468" s="38"/>
      <c r="B468" s="38"/>
      <c r="C468" s="38"/>
      <c r="D468" s="38"/>
      <c r="E468" s="38"/>
    </row>
    <row r="469" spans="1:5" ht="12.75" customHeight="1">
      <c r="A469" s="38"/>
      <c r="B469" s="38"/>
      <c r="C469" s="38"/>
      <c r="D469" s="38"/>
      <c r="E469" s="38"/>
    </row>
    <row r="470" spans="1:5" ht="12.75" customHeight="1">
      <c r="A470" s="38"/>
      <c r="B470" s="38"/>
      <c r="C470" s="38"/>
      <c r="D470" s="38"/>
      <c r="E470" s="38"/>
    </row>
    <row r="471" spans="1:5" ht="12.75" customHeight="1">
      <c r="A471" s="38"/>
      <c r="B471" s="38"/>
      <c r="C471" s="38"/>
      <c r="D471" s="38"/>
      <c r="E471" s="38"/>
    </row>
    <row r="472" spans="1:5" ht="12.75" customHeight="1">
      <c r="A472" s="38"/>
      <c r="B472" s="38"/>
      <c r="C472" s="38"/>
      <c r="D472" s="38"/>
      <c r="E472" s="38"/>
    </row>
    <row r="473" spans="1:5" ht="12.75" customHeight="1">
      <c r="A473" s="38"/>
      <c r="B473" s="38"/>
      <c r="C473" s="38"/>
      <c r="D473" s="38"/>
      <c r="E473" s="38"/>
    </row>
    <row r="474" spans="1:5" ht="12.75" customHeight="1">
      <c r="A474" s="38"/>
      <c r="B474" s="38"/>
      <c r="C474" s="38"/>
      <c r="D474" s="38"/>
      <c r="E474" s="38"/>
    </row>
    <row r="475" spans="1:5" ht="12.75" customHeight="1">
      <c r="A475" s="38"/>
      <c r="B475" s="38"/>
      <c r="C475" s="38"/>
      <c r="D475" s="38"/>
      <c r="E475" s="38"/>
    </row>
    <row r="476" spans="1:5" ht="12.75" customHeight="1">
      <c r="A476" s="38"/>
      <c r="B476" s="38"/>
      <c r="C476" s="38"/>
      <c r="D476" s="38"/>
      <c r="E476" s="38"/>
    </row>
    <row r="477" spans="1:5" ht="12.75" customHeight="1">
      <c r="A477" s="38"/>
      <c r="B477" s="38"/>
      <c r="C477" s="38"/>
      <c r="D477" s="38"/>
      <c r="E477" s="38"/>
    </row>
    <row r="478" spans="1:5" ht="12.75" customHeight="1">
      <c r="A478" s="38"/>
      <c r="B478" s="38"/>
      <c r="C478" s="38"/>
      <c r="D478" s="38"/>
      <c r="E478" s="38"/>
    </row>
    <row r="479" spans="1:5" ht="12.75" customHeight="1">
      <c r="A479" s="38"/>
      <c r="B479" s="38"/>
      <c r="C479" s="38"/>
      <c r="D479" s="38"/>
      <c r="E479" s="38"/>
    </row>
    <row r="480" spans="1:5" ht="12.75" customHeight="1">
      <c r="A480" s="38"/>
      <c r="B480" s="38"/>
      <c r="C480" s="38"/>
      <c r="D480" s="38"/>
      <c r="E480" s="38"/>
    </row>
    <row r="481" spans="1:5" ht="12.75" customHeight="1">
      <c r="A481" s="38"/>
      <c r="B481" s="38"/>
      <c r="C481" s="38"/>
      <c r="D481" s="38"/>
      <c r="E481" s="38"/>
    </row>
    <row r="482" spans="1:5" ht="12.75" customHeight="1">
      <c r="A482" s="38"/>
      <c r="B482" s="38"/>
      <c r="C482" s="38"/>
      <c r="D482" s="38"/>
      <c r="E482" s="38"/>
    </row>
    <row r="483" spans="1:5" ht="12.75" customHeight="1">
      <c r="A483" s="38"/>
      <c r="B483" s="38"/>
      <c r="C483" s="38"/>
      <c r="D483" s="38"/>
      <c r="E483" s="38"/>
    </row>
    <row r="484" spans="1:5" ht="12.75" customHeight="1">
      <c r="A484" s="38"/>
      <c r="B484" s="38"/>
      <c r="C484" s="38"/>
      <c r="D484" s="38"/>
      <c r="E484" s="38"/>
    </row>
    <row r="485" spans="1:5" ht="12.75" customHeight="1">
      <c r="A485" s="38"/>
      <c r="B485" s="38"/>
      <c r="C485" s="38"/>
      <c r="D485" s="38"/>
      <c r="E485" s="38"/>
    </row>
    <row r="486" spans="1:5" ht="12.75" customHeight="1">
      <c r="A486" s="38"/>
      <c r="B486" s="38"/>
      <c r="C486" s="38"/>
      <c r="D486" s="38"/>
      <c r="E486" s="38"/>
    </row>
    <row r="487" spans="1:5" ht="12.75" customHeight="1">
      <c r="A487" s="38"/>
      <c r="B487" s="38"/>
      <c r="C487" s="38"/>
      <c r="D487" s="38"/>
      <c r="E487" s="38"/>
    </row>
    <row r="488" spans="1:5" ht="12.75" customHeight="1">
      <c r="A488" s="38"/>
      <c r="B488" s="38"/>
      <c r="C488" s="38"/>
      <c r="D488" s="38"/>
      <c r="E488" s="38"/>
    </row>
    <row r="489" spans="1:5" ht="12.75" customHeight="1">
      <c r="A489" s="38"/>
      <c r="B489" s="38"/>
      <c r="C489" s="38"/>
      <c r="D489" s="38"/>
      <c r="E489" s="38"/>
    </row>
    <row r="490" spans="1:5" ht="12.75" customHeight="1">
      <c r="A490" s="38"/>
      <c r="B490" s="38"/>
      <c r="C490" s="38"/>
      <c r="D490" s="38"/>
      <c r="E490" s="38"/>
    </row>
    <row r="491" spans="1:5" ht="12.75" customHeight="1">
      <c r="A491" s="38"/>
      <c r="B491" s="38"/>
      <c r="C491" s="38"/>
      <c r="D491" s="38"/>
      <c r="E491" s="38"/>
    </row>
    <row r="492" spans="1:5" ht="12.75" customHeight="1">
      <c r="A492" s="38"/>
      <c r="B492" s="38"/>
      <c r="C492" s="38"/>
      <c r="D492" s="38"/>
      <c r="E492" s="38"/>
    </row>
    <row r="493" spans="1:5" ht="12.75" customHeight="1">
      <c r="A493" s="38"/>
      <c r="B493" s="38"/>
      <c r="C493" s="38"/>
      <c r="D493" s="38"/>
      <c r="E493" s="38"/>
    </row>
    <row r="494" spans="1:5" ht="12.75" customHeight="1">
      <c r="A494" s="38"/>
      <c r="B494" s="38"/>
      <c r="C494" s="38"/>
      <c r="D494" s="38"/>
      <c r="E494" s="38"/>
    </row>
    <row r="495" spans="1:5" ht="12.75" customHeight="1">
      <c r="A495" s="38"/>
      <c r="B495" s="38"/>
      <c r="C495" s="38"/>
      <c r="D495" s="38"/>
      <c r="E495" s="38"/>
    </row>
    <row r="496" spans="1:5" ht="12.75" customHeight="1">
      <c r="A496" s="38"/>
      <c r="B496" s="38"/>
      <c r="C496" s="38"/>
      <c r="D496" s="38"/>
      <c r="E496" s="38"/>
    </row>
    <row r="497" spans="1:5" ht="12.75" customHeight="1">
      <c r="A497" s="38"/>
      <c r="B497" s="38"/>
      <c r="C497" s="38"/>
      <c r="D497" s="38"/>
      <c r="E497" s="38"/>
    </row>
    <row r="498" spans="1:5" ht="12.75" customHeight="1">
      <c r="A498" s="38"/>
      <c r="B498" s="38"/>
      <c r="C498" s="38"/>
      <c r="D498" s="38"/>
      <c r="E498" s="38"/>
    </row>
    <row r="499" spans="1:5" ht="12.75" customHeight="1">
      <c r="A499" s="38"/>
      <c r="B499" s="38"/>
      <c r="C499" s="38"/>
      <c r="D499" s="38"/>
      <c r="E499" s="38"/>
    </row>
    <row r="500" spans="1:5" ht="12.75" customHeight="1">
      <c r="A500" s="38"/>
      <c r="B500" s="38"/>
      <c r="C500" s="38"/>
      <c r="D500" s="38"/>
      <c r="E500" s="38"/>
    </row>
    <row r="501" spans="1:5" ht="12.75" customHeight="1">
      <c r="A501" s="38"/>
      <c r="B501" s="38"/>
      <c r="C501" s="38"/>
      <c r="D501" s="38"/>
      <c r="E501" s="38"/>
    </row>
    <row r="502" spans="1:5" ht="12.75" customHeight="1">
      <c r="A502" s="38"/>
      <c r="B502" s="38"/>
      <c r="C502" s="38"/>
      <c r="D502" s="38"/>
      <c r="E502" s="38"/>
    </row>
    <row r="503" spans="1:5" ht="12.75" customHeight="1">
      <c r="A503" s="38"/>
      <c r="B503" s="38"/>
      <c r="C503" s="38"/>
      <c r="D503" s="38"/>
      <c r="E503" s="38"/>
    </row>
    <row r="504" spans="1:5" ht="12.75" customHeight="1">
      <c r="A504" s="38"/>
      <c r="B504" s="38"/>
      <c r="C504" s="38"/>
      <c r="D504" s="38"/>
      <c r="E504" s="38"/>
    </row>
    <row r="505" spans="1:5" ht="12.75" customHeight="1">
      <c r="A505" s="38"/>
      <c r="B505" s="38"/>
      <c r="C505" s="38"/>
      <c r="D505" s="38"/>
      <c r="E505" s="38"/>
    </row>
    <row r="506" spans="1:5" ht="12.75" customHeight="1">
      <c r="A506" s="38"/>
      <c r="B506" s="38"/>
      <c r="C506" s="38"/>
      <c r="D506" s="38"/>
      <c r="E506" s="38"/>
    </row>
    <row r="507" spans="1:5" ht="12.75" customHeight="1">
      <c r="A507" s="38"/>
      <c r="B507" s="38"/>
      <c r="C507" s="38"/>
      <c r="D507" s="38"/>
      <c r="E507" s="38"/>
    </row>
    <row r="508" spans="1:5" ht="12.75" customHeight="1">
      <c r="A508" s="38"/>
      <c r="B508" s="38"/>
      <c r="C508" s="38"/>
      <c r="D508" s="38"/>
      <c r="E508" s="38"/>
    </row>
    <row r="509" spans="1:5" ht="12.75" customHeight="1">
      <c r="A509" s="38"/>
      <c r="B509" s="38"/>
      <c r="C509" s="38"/>
      <c r="D509" s="38"/>
      <c r="E509" s="38"/>
    </row>
    <row r="510" spans="1:5" ht="12.75" customHeight="1">
      <c r="A510" s="38"/>
      <c r="B510" s="38"/>
      <c r="C510" s="38"/>
      <c r="D510" s="38"/>
      <c r="E510" s="38"/>
    </row>
    <row r="511" spans="1:5" ht="12.75" customHeight="1">
      <c r="A511" s="38"/>
      <c r="B511" s="38"/>
      <c r="C511" s="38"/>
      <c r="D511" s="38"/>
      <c r="E511" s="38"/>
    </row>
    <row r="512" spans="1:5" ht="12.75" customHeight="1">
      <c r="A512" s="38"/>
      <c r="B512" s="38"/>
      <c r="C512" s="38"/>
      <c r="D512" s="38"/>
      <c r="E512" s="38"/>
    </row>
    <row r="513" spans="1:5" ht="12.75" customHeight="1">
      <c r="A513" s="38"/>
      <c r="B513" s="38"/>
      <c r="C513" s="38"/>
      <c r="D513" s="38"/>
      <c r="E513" s="38"/>
    </row>
    <row r="514" spans="1:5" ht="12.75" customHeight="1">
      <c r="A514" s="38"/>
      <c r="B514" s="38"/>
      <c r="C514" s="38"/>
      <c r="D514" s="38"/>
      <c r="E514" s="38"/>
    </row>
    <row r="515" spans="1:5" ht="12.75" customHeight="1">
      <c r="A515" s="38"/>
      <c r="B515" s="38"/>
      <c r="C515" s="38"/>
      <c r="D515" s="38"/>
      <c r="E515" s="38"/>
    </row>
    <row r="516" spans="1:5" ht="12.75" customHeight="1">
      <c r="A516" s="38"/>
      <c r="B516" s="38"/>
      <c r="C516" s="38"/>
      <c r="D516" s="38"/>
      <c r="E516" s="38"/>
    </row>
    <row r="517" spans="1:5" ht="12.75" customHeight="1">
      <c r="A517" s="38"/>
      <c r="B517" s="38"/>
      <c r="C517" s="38"/>
      <c r="D517" s="38"/>
      <c r="E517" s="38"/>
    </row>
    <row r="518" spans="1:5" ht="12.75" customHeight="1">
      <c r="A518" s="38"/>
      <c r="B518" s="38"/>
      <c r="C518" s="38"/>
      <c r="D518" s="38"/>
      <c r="E518" s="38"/>
    </row>
    <row r="519" spans="1:5" ht="12.75" customHeight="1">
      <c r="A519" s="38"/>
      <c r="B519" s="38"/>
      <c r="C519" s="38"/>
      <c r="D519" s="38"/>
      <c r="E519" s="38"/>
    </row>
    <row r="520" spans="1:5" ht="12.75" customHeight="1">
      <c r="A520" s="38"/>
      <c r="B520" s="38"/>
      <c r="C520" s="38"/>
      <c r="D520" s="38"/>
      <c r="E520" s="38"/>
    </row>
    <row r="521" spans="1:5" ht="12.75" customHeight="1">
      <c r="A521" s="38"/>
      <c r="B521" s="38"/>
      <c r="C521" s="38"/>
      <c r="D521" s="38"/>
      <c r="E521" s="38"/>
    </row>
    <row r="522" spans="1:5" ht="12.75" customHeight="1">
      <c r="A522" s="38"/>
      <c r="B522" s="38"/>
      <c r="C522" s="38"/>
      <c r="D522" s="38"/>
      <c r="E522" s="38"/>
    </row>
    <row r="523" spans="1:5" ht="12.75" customHeight="1">
      <c r="A523" s="38"/>
      <c r="B523" s="38"/>
      <c r="C523" s="38"/>
      <c r="D523" s="38"/>
      <c r="E523" s="38"/>
    </row>
    <row r="524" spans="1:5" ht="12.75" customHeight="1">
      <c r="A524" s="38"/>
      <c r="B524" s="38"/>
      <c r="C524" s="38"/>
      <c r="D524" s="38"/>
      <c r="E524" s="38"/>
    </row>
    <row r="525" spans="1:5" ht="12.75" customHeight="1">
      <c r="A525" s="38"/>
      <c r="B525" s="38"/>
      <c r="C525" s="38"/>
      <c r="D525" s="38"/>
      <c r="E525" s="38"/>
    </row>
    <row r="526" spans="1:5" ht="12.75" customHeight="1">
      <c r="A526" s="38"/>
      <c r="B526" s="38"/>
      <c r="C526" s="38"/>
      <c r="D526" s="38"/>
      <c r="E526" s="38"/>
    </row>
    <row r="527" spans="1:5" ht="12.75" customHeight="1">
      <c r="A527" s="38"/>
      <c r="B527" s="38"/>
      <c r="C527" s="38"/>
      <c r="D527" s="38"/>
      <c r="E527" s="38"/>
    </row>
    <row r="528" spans="1:5" ht="12.75" customHeight="1">
      <c r="A528" s="38"/>
      <c r="B528" s="38"/>
      <c r="C528" s="38"/>
      <c r="D528" s="38"/>
      <c r="E528" s="38"/>
    </row>
    <row r="529" spans="1:5" ht="12.75" customHeight="1">
      <c r="A529" s="38"/>
      <c r="B529" s="38"/>
      <c r="C529" s="38"/>
      <c r="D529" s="38"/>
      <c r="E529" s="38"/>
    </row>
    <row r="530" spans="1:5" ht="12.75" customHeight="1">
      <c r="A530" s="38"/>
      <c r="B530" s="38"/>
      <c r="C530" s="38"/>
      <c r="D530" s="38"/>
      <c r="E530" s="38"/>
    </row>
    <row r="531" spans="1:5" ht="12.75" customHeight="1">
      <c r="A531" s="38"/>
      <c r="B531" s="38"/>
      <c r="C531" s="38"/>
      <c r="D531" s="38"/>
      <c r="E531" s="38"/>
    </row>
    <row r="532" spans="1:5" ht="12.75" customHeight="1">
      <c r="A532" s="38"/>
      <c r="B532" s="38"/>
      <c r="C532" s="38"/>
      <c r="D532" s="38"/>
      <c r="E532" s="38"/>
    </row>
    <row r="533" spans="1:5" ht="12.75" customHeight="1">
      <c r="A533" s="38"/>
      <c r="B533" s="38"/>
      <c r="C533" s="38"/>
      <c r="D533" s="38"/>
      <c r="E533" s="38"/>
    </row>
    <row r="534" spans="1:5" ht="12.75" customHeight="1">
      <c r="A534" s="38"/>
      <c r="B534" s="38"/>
      <c r="C534" s="38"/>
      <c r="D534" s="38"/>
      <c r="E534" s="38"/>
    </row>
    <row r="535" spans="1:5" ht="12.75" customHeight="1">
      <c r="A535" s="38"/>
      <c r="B535" s="38"/>
      <c r="C535" s="38"/>
      <c r="D535" s="38"/>
      <c r="E535" s="38"/>
    </row>
    <row r="536" spans="1:5" ht="12.75" customHeight="1">
      <c r="A536" s="38"/>
      <c r="B536" s="38"/>
      <c r="C536" s="38"/>
      <c r="D536" s="38"/>
      <c r="E536" s="38"/>
    </row>
    <row r="537" spans="1:5" ht="12.75" customHeight="1">
      <c r="A537" s="38"/>
      <c r="B537" s="38"/>
      <c r="C537" s="38"/>
      <c r="D537" s="38"/>
      <c r="E537" s="38"/>
    </row>
    <row r="538" spans="1:5" ht="12.75" customHeight="1">
      <c r="A538" s="38"/>
      <c r="B538" s="38"/>
      <c r="C538" s="38"/>
      <c r="D538" s="38"/>
      <c r="E538" s="38"/>
    </row>
    <row r="539" spans="1:5" ht="12.75" customHeight="1">
      <c r="A539" s="38"/>
      <c r="B539" s="38"/>
      <c r="C539" s="38"/>
      <c r="D539" s="38"/>
      <c r="E539" s="38"/>
    </row>
    <row r="540" spans="1:5" ht="12.75" customHeight="1">
      <c r="A540" s="38"/>
      <c r="B540" s="38"/>
      <c r="C540" s="38"/>
      <c r="D540" s="38"/>
      <c r="E540" s="38"/>
    </row>
    <row r="541" spans="1:5" ht="12.75" customHeight="1">
      <c r="A541" s="38"/>
      <c r="B541" s="38"/>
      <c r="C541" s="38"/>
      <c r="D541" s="38"/>
      <c r="E541" s="38"/>
    </row>
    <row r="542" spans="1:5" ht="12.75" customHeight="1">
      <c r="A542" s="38"/>
      <c r="B542" s="38"/>
      <c r="C542" s="38"/>
      <c r="D542" s="38"/>
      <c r="E542" s="38"/>
    </row>
    <row r="543" spans="1:5" ht="12.75" customHeight="1">
      <c r="A543" s="38"/>
      <c r="B543" s="38"/>
      <c r="C543" s="38"/>
      <c r="D543" s="38"/>
      <c r="E543" s="38"/>
    </row>
    <row r="544" spans="1:5" ht="12.75" customHeight="1">
      <c r="A544" s="38"/>
      <c r="B544" s="38"/>
      <c r="C544" s="38"/>
      <c r="D544" s="38"/>
      <c r="E544" s="38"/>
    </row>
    <row r="545" spans="1:5" ht="12.75" customHeight="1">
      <c r="A545" s="38"/>
      <c r="B545" s="38"/>
      <c r="C545" s="38"/>
      <c r="D545" s="38"/>
      <c r="E545" s="38"/>
    </row>
    <row r="546" spans="1:5" ht="12.75" customHeight="1">
      <c r="A546" s="38"/>
      <c r="B546" s="38"/>
      <c r="C546" s="38"/>
      <c r="D546" s="38"/>
      <c r="E546" s="38"/>
    </row>
    <row r="547" spans="1:5" ht="12.75" customHeight="1">
      <c r="A547" s="38"/>
      <c r="B547" s="38"/>
      <c r="C547" s="38"/>
      <c r="D547" s="38"/>
      <c r="E547" s="38"/>
    </row>
    <row r="548" spans="1:5" ht="12.75" customHeight="1">
      <c r="A548" s="38"/>
      <c r="B548" s="38"/>
      <c r="C548" s="38"/>
      <c r="D548" s="38"/>
      <c r="E548" s="38"/>
    </row>
    <row r="549" spans="1:5" ht="12.75" customHeight="1">
      <c r="A549" s="38"/>
      <c r="B549" s="38"/>
      <c r="C549" s="38"/>
      <c r="D549" s="38"/>
      <c r="E549" s="38"/>
    </row>
    <row r="550" spans="1:5" ht="12.75" customHeight="1">
      <c r="A550" s="38"/>
      <c r="B550" s="38"/>
      <c r="C550" s="38"/>
      <c r="D550" s="38"/>
      <c r="E550" s="38"/>
    </row>
    <row r="551" spans="1:5" ht="12.75" customHeight="1">
      <c r="A551" s="38"/>
      <c r="B551" s="38"/>
      <c r="C551" s="38"/>
      <c r="D551" s="38"/>
      <c r="E551" s="38"/>
    </row>
    <row r="552" spans="1:5" ht="12.75" customHeight="1">
      <c r="A552" s="38"/>
      <c r="B552" s="38"/>
      <c r="C552" s="38"/>
      <c r="D552" s="38"/>
      <c r="E552" s="38"/>
    </row>
    <row r="553" spans="1:5" ht="12.75" customHeight="1">
      <c r="A553" s="38"/>
      <c r="B553" s="38"/>
      <c r="C553" s="38"/>
      <c r="D553" s="38"/>
      <c r="E553" s="38"/>
    </row>
    <row r="554" spans="1:5" ht="12.75" customHeight="1">
      <c r="A554" s="38"/>
      <c r="B554" s="38"/>
      <c r="C554" s="38"/>
      <c r="D554" s="38"/>
      <c r="E554" s="38"/>
    </row>
    <row r="555" spans="1:5" ht="12.75" customHeight="1">
      <c r="A555" s="38"/>
      <c r="B555" s="38"/>
      <c r="C555" s="38"/>
      <c r="D555" s="38"/>
      <c r="E555" s="38"/>
    </row>
    <row r="556" spans="1:5" ht="12.75" customHeight="1">
      <c r="A556" s="38"/>
      <c r="B556" s="38"/>
      <c r="C556" s="38"/>
      <c r="D556" s="38"/>
      <c r="E556" s="38"/>
    </row>
    <row r="557" spans="1:5" ht="12.75" customHeight="1">
      <c r="A557" s="38"/>
      <c r="B557" s="38"/>
      <c r="C557" s="38"/>
      <c r="D557" s="38"/>
      <c r="E557" s="38"/>
    </row>
    <row r="558" spans="1:5" ht="12.75" customHeight="1">
      <c r="A558" s="38"/>
      <c r="B558" s="38"/>
      <c r="C558" s="38"/>
      <c r="D558" s="38"/>
      <c r="E558" s="38"/>
    </row>
    <row r="559" spans="1:5" ht="12.75" customHeight="1">
      <c r="A559" s="38"/>
      <c r="B559" s="38"/>
      <c r="C559" s="38"/>
      <c r="D559" s="38"/>
      <c r="E559" s="38"/>
    </row>
    <row r="560" spans="1:5" ht="12.75" customHeight="1">
      <c r="A560" s="38"/>
      <c r="B560" s="38"/>
      <c r="C560" s="38"/>
      <c r="D560" s="38"/>
      <c r="E560" s="38"/>
    </row>
    <row r="561" spans="1:5" ht="12.75" customHeight="1">
      <c r="A561" s="38"/>
      <c r="B561" s="38"/>
      <c r="C561" s="38"/>
      <c r="D561" s="38"/>
      <c r="E561" s="38"/>
    </row>
    <row r="562" spans="1:5" ht="12.75" customHeight="1">
      <c r="A562" s="38"/>
      <c r="B562" s="38"/>
      <c r="C562" s="38"/>
      <c r="D562" s="38"/>
      <c r="E562" s="38"/>
    </row>
    <row r="563" spans="1:5" ht="12.75" customHeight="1">
      <c r="A563" s="38"/>
      <c r="B563" s="38"/>
      <c r="C563" s="38"/>
      <c r="D563" s="38"/>
      <c r="E563" s="38"/>
    </row>
    <row r="564" spans="1:5" ht="12.75" customHeight="1">
      <c r="A564" s="38"/>
      <c r="B564" s="38"/>
      <c r="C564" s="38"/>
      <c r="D564" s="38"/>
      <c r="E564" s="38"/>
    </row>
    <row r="565" spans="1:5" ht="12.75" customHeight="1">
      <c r="A565" s="38"/>
      <c r="B565" s="38"/>
      <c r="C565" s="38"/>
      <c r="D565" s="38"/>
      <c r="E565" s="38"/>
    </row>
    <row r="566" spans="1:5" ht="12.75" customHeight="1">
      <c r="A566" s="38"/>
      <c r="B566" s="38"/>
      <c r="C566" s="38"/>
      <c r="D566" s="38"/>
      <c r="E566" s="38"/>
    </row>
    <row r="567" spans="1:5" ht="12.75" customHeight="1">
      <c r="A567" s="38"/>
      <c r="B567" s="38"/>
      <c r="C567" s="38"/>
      <c r="D567" s="38"/>
      <c r="E567" s="38"/>
    </row>
    <row r="568" spans="1:5" ht="12.75" customHeight="1">
      <c r="A568" s="38"/>
      <c r="B568" s="38"/>
      <c r="C568" s="38"/>
      <c r="D568" s="38"/>
      <c r="E568" s="38"/>
    </row>
    <row r="569" spans="1:5" ht="12.75" customHeight="1">
      <c r="A569" s="38"/>
      <c r="B569" s="38"/>
      <c r="C569" s="38"/>
      <c r="D569" s="38"/>
      <c r="E569" s="38"/>
    </row>
    <row r="570" spans="1:5" ht="12.75" customHeight="1">
      <c r="A570" s="38"/>
      <c r="B570" s="38"/>
      <c r="C570" s="38"/>
      <c r="D570" s="38"/>
      <c r="E570" s="38"/>
    </row>
    <row r="571" spans="1:5" ht="12.75" customHeight="1">
      <c r="A571" s="38"/>
      <c r="B571" s="38"/>
      <c r="C571" s="38"/>
      <c r="D571" s="38"/>
      <c r="E571" s="38"/>
    </row>
    <row r="572" spans="1:5" ht="12.75" customHeight="1">
      <c r="A572" s="38"/>
      <c r="B572" s="38"/>
      <c r="C572" s="38"/>
      <c r="D572" s="38"/>
      <c r="E572" s="38"/>
    </row>
    <row r="573" spans="1:5" ht="12.75" customHeight="1">
      <c r="A573" s="38"/>
      <c r="B573" s="38"/>
      <c r="C573" s="38"/>
      <c r="D573" s="38"/>
      <c r="E573" s="38"/>
    </row>
    <row r="574" spans="1:5" ht="12.75" customHeight="1">
      <c r="A574" s="38"/>
      <c r="B574" s="38"/>
      <c r="C574" s="38"/>
      <c r="D574" s="38"/>
      <c r="E574" s="38"/>
    </row>
    <row r="575" spans="1:5" ht="12.75" customHeight="1">
      <c r="A575" s="38"/>
      <c r="B575" s="38"/>
      <c r="C575" s="38"/>
      <c r="D575" s="38"/>
      <c r="E575" s="38"/>
    </row>
    <row r="576" spans="1:5" ht="12.75" customHeight="1">
      <c r="A576" s="38"/>
      <c r="B576" s="38"/>
      <c r="C576" s="38"/>
      <c r="D576" s="38"/>
      <c r="E576" s="38"/>
    </row>
    <row r="577" spans="1:5" ht="12.75" customHeight="1">
      <c r="A577" s="38"/>
      <c r="B577" s="38"/>
      <c r="C577" s="38"/>
      <c r="D577" s="38"/>
      <c r="E577" s="38"/>
    </row>
    <row r="578" spans="1:5" ht="12.75" customHeight="1">
      <c r="A578" s="38"/>
      <c r="B578" s="38"/>
      <c r="C578" s="38"/>
      <c r="D578" s="38"/>
      <c r="E578" s="38"/>
    </row>
    <row r="579" spans="1:5" ht="12.75" customHeight="1">
      <c r="A579" s="38"/>
      <c r="B579" s="38"/>
      <c r="C579" s="38"/>
      <c r="D579" s="38"/>
      <c r="E579" s="38"/>
    </row>
    <row r="580" spans="1:5" ht="12.75" customHeight="1">
      <c r="A580" s="38"/>
      <c r="B580" s="38"/>
      <c r="C580" s="38"/>
      <c r="D580" s="38"/>
      <c r="E580" s="38"/>
    </row>
    <row r="581" spans="1:5" ht="12.75" customHeight="1">
      <c r="A581" s="38"/>
      <c r="B581" s="38"/>
      <c r="C581" s="38"/>
      <c r="D581" s="38"/>
      <c r="E581" s="38"/>
    </row>
    <row r="582" spans="1:5" ht="12.75" customHeight="1">
      <c r="A582" s="38"/>
      <c r="B582" s="38"/>
      <c r="C582" s="38"/>
      <c r="D582" s="38"/>
      <c r="E582" s="38"/>
    </row>
    <row r="583" spans="1:5" ht="12.75" customHeight="1">
      <c r="A583" s="38"/>
      <c r="B583" s="38"/>
      <c r="C583" s="38"/>
      <c r="D583" s="38"/>
      <c r="E583" s="38"/>
    </row>
    <row r="584" spans="1:5" ht="12.75" customHeight="1">
      <c r="A584" s="38"/>
      <c r="B584" s="38"/>
      <c r="C584" s="38"/>
      <c r="D584" s="38"/>
      <c r="E584" s="38"/>
    </row>
    <row r="585" spans="1:5" ht="12.75" customHeight="1">
      <c r="A585" s="38"/>
      <c r="B585" s="38"/>
      <c r="C585" s="38"/>
      <c r="D585" s="38"/>
      <c r="E585" s="38"/>
    </row>
    <row r="586" spans="1:5" ht="12.75" customHeight="1">
      <c r="A586" s="38"/>
      <c r="B586" s="38"/>
      <c r="C586" s="38"/>
      <c r="D586" s="38"/>
      <c r="E586" s="38"/>
    </row>
    <row r="587" spans="1:5" ht="12.75" customHeight="1">
      <c r="A587" s="38"/>
      <c r="B587" s="38"/>
      <c r="C587" s="38"/>
      <c r="D587" s="38"/>
      <c r="E587" s="38"/>
    </row>
    <row r="588" spans="1:5" ht="12.75" customHeight="1">
      <c r="A588" s="38"/>
      <c r="B588" s="38"/>
      <c r="C588" s="38"/>
      <c r="D588" s="38"/>
      <c r="E588" s="38"/>
    </row>
    <row r="589" spans="1:5" ht="12.75" customHeight="1">
      <c r="A589" s="38"/>
      <c r="B589" s="38"/>
      <c r="C589" s="38"/>
      <c r="D589" s="38"/>
      <c r="E589" s="38"/>
    </row>
    <row r="590" spans="1:5" ht="12.75" customHeight="1">
      <c r="A590" s="38"/>
      <c r="B590" s="38"/>
      <c r="C590" s="38"/>
      <c r="D590" s="38"/>
      <c r="E590" s="38"/>
    </row>
    <row r="591" spans="1:5" ht="12.75" customHeight="1">
      <c r="A591" s="38"/>
      <c r="B591" s="38"/>
      <c r="C591" s="38"/>
      <c r="D591" s="38"/>
      <c r="E591" s="38"/>
    </row>
    <row r="592" spans="1:5" ht="12.75" customHeight="1">
      <c r="A592" s="38"/>
      <c r="B592" s="38"/>
      <c r="C592" s="38"/>
      <c r="D592" s="38"/>
      <c r="E592" s="38"/>
    </row>
    <row r="593" spans="1:5" ht="12.75" customHeight="1">
      <c r="A593" s="38"/>
      <c r="B593" s="38"/>
      <c r="C593" s="38"/>
      <c r="D593" s="38"/>
      <c r="E593" s="38"/>
    </row>
    <row r="594" spans="1:5" ht="12.75" customHeight="1">
      <c r="A594" s="38"/>
      <c r="B594" s="38"/>
      <c r="C594" s="38"/>
      <c r="D594" s="38"/>
      <c r="E594" s="38"/>
    </row>
    <row r="595" spans="1:5" ht="12.75" customHeight="1">
      <c r="A595" s="38"/>
      <c r="B595" s="38"/>
      <c r="C595" s="38"/>
      <c r="D595" s="38"/>
      <c r="E595" s="38"/>
    </row>
    <row r="596" spans="1:5" ht="12.75" customHeight="1">
      <c r="A596" s="38"/>
      <c r="B596" s="38"/>
      <c r="C596" s="38"/>
      <c r="D596" s="38"/>
      <c r="E596" s="38"/>
    </row>
    <row r="597" spans="1:5" ht="12.75" customHeight="1">
      <c r="A597" s="38"/>
      <c r="B597" s="38"/>
      <c r="C597" s="38"/>
      <c r="D597" s="38"/>
      <c r="E597" s="38"/>
    </row>
    <row r="598" spans="1:5" ht="12.75" customHeight="1">
      <c r="A598" s="38"/>
      <c r="B598" s="38"/>
      <c r="C598" s="38"/>
      <c r="D598" s="38"/>
      <c r="E598" s="38"/>
    </row>
    <row r="599" spans="1:5" ht="12.75" customHeight="1">
      <c r="A599" s="38"/>
      <c r="B599" s="38"/>
      <c r="C599" s="38"/>
      <c r="D599" s="38"/>
      <c r="E599" s="38"/>
    </row>
    <row r="600" spans="1:5" ht="12.75" customHeight="1">
      <c r="A600" s="38"/>
      <c r="B600" s="38"/>
      <c r="C600" s="38"/>
      <c r="D600" s="38"/>
      <c r="E600" s="38"/>
    </row>
    <row r="601" spans="1:5" ht="12.75" customHeight="1">
      <c r="A601" s="38"/>
      <c r="B601" s="38"/>
      <c r="C601" s="38"/>
      <c r="D601" s="38"/>
      <c r="E601" s="38"/>
    </row>
    <row r="602" spans="1:5" ht="12.75" customHeight="1">
      <c r="A602" s="38"/>
      <c r="B602" s="38"/>
      <c r="C602" s="38"/>
      <c r="D602" s="38"/>
      <c r="E602" s="38"/>
    </row>
    <row r="603" spans="1:5" ht="12.75" customHeight="1">
      <c r="A603" s="38"/>
      <c r="B603" s="38"/>
      <c r="C603" s="38"/>
      <c r="D603" s="38"/>
      <c r="E603" s="38"/>
    </row>
    <row r="604" spans="1:5" ht="12.75" customHeight="1">
      <c r="A604" s="38"/>
      <c r="B604" s="38"/>
      <c r="C604" s="38"/>
      <c r="D604" s="38"/>
      <c r="E604" s="38"/>
    </row>
    <row r="605" spans="1:5" ht="12.75" customHeight="1">
      <c r="A605" s="38"/>
      <c r="B605" s="38"/>
      <c r="C605" s="38"/>
      <c r="D605" s="38"/>
      <c r="E605" s="38"/>
    </row>
    <row r="606" spans="1:5" ht="12.75" customHeight="1">
      <c r="A606" s="38"/>
      <c r="B606" s="38"/>
      <c r="C606" s="38"/>
      <c r="D606" s="38"/>
      <c r="E606" s="38"/>
    </row>
    <row r="607" spans="1:5" ht="12.75" customHeight="1">
      <c r="A607" s="38"/>
      <c r="B607" s="38"/>
      <c r="C607" s="38"/>
      <c r="D607" s="38"/>
      <c r="E607" s="38"/>
    </row>
    <row r="608" spans="1:5" ht="12.75" customHeight="1">
      <c r="A608" s="38"/>
      <c r="B608" s="38"/>
      <c r="C608" s="38"/>
      <c r="D608" s="38"/>
      <c r="E608" s="38"/>
    </row>
    <row r="609" spans="1:5" ht="12.75" customHeight="1">
      <c r="A609" s="38"/>
      <c r="B609" s="38"/>
      <c r="C609" s="38"/>
      <c r="D609" s="38"/>
      <c r="E609" s="38"/>
    </row>
    <row r="610" spans="1:5" ht="12.75" customHeight="1">
      <c r="A610" s="38"/>
      <c r="B610" s="38"/>
      <c r="C610" s="38"/>
      <c r="D610" s="38"/>
      <c r="E610" s="38"/>
    </row>
    <row r="611" spans="1:5" ht="12.75" customHeight="1">
      <c r="A611" s="38"/>
      <c r="B611" s="38"/>
      <c r="C611" s="38"/>
      <c r="D611" s="38"/>
      <c r="E611" s="38"/>
    </row>
    <row r="612" spans="1:5" ht="12.75" customHeight="1">
      <c r="A612" s="38"/>
      <c r="B612" s="38"/>
      <c r="C612" s="38"/>
      <c r="D612" s="38"/>
      <c r="E612" s="38"/>
    </row>
    <row r="613" spans="1:5" ht="12.75" customHeight="1">
      <c r="A613" s="38"/>
      <c r="B613" s="38"/>
      <c r="C613" s="38"/>
      <c r="D613" s="38"/>
      <c r="E613" s="38"/>
    </row>
    <row r="614" spans="1:5" ht="12.75" customHeight="1">
      <c r="A614" s="38"/>
      <c r="B614" s="38"/>
      <c r="C614" s="38"/>
      <c r="D614" s="38"/>
      <c r="E614" s="38"/>
    </row>
    <row r="615" spans="1:5" ht="12.75" customHeight="1">
      <c r="A615" s="38"/>
      <c r="B615" s="38"/>
      <c r="C615" s="38"/>
      <c r="D615" s="38"/>
      <c r="E615" s="38"/>
    </row>
    <row r="616" spans="1:5" ht="12.75" customHeight="1">
      <c r="A616" s="38"/>
      <c r="B616" s="38"/>
      <c r="C616" s="38"/>
      <c r="D616" s="38"/>
      <c r="E616" s="38"/>
    </row>
    <row r="617" spans="1:5" ht="12.75" customHeight="1">
      <c r="A617" s="38"/>
      <c r="B617" s="38"/>
      <c r="C617" s="38"/>
      <c r="D617" s="38"/>
      <c r="E617" s="38"/>
    </row>
    <row r="618" spans="1:5" ht="12.75" customHeight="1">
      <c r="A618" s="38"/>
      <c r="B618" s="38"/>
      <c r="C618" s="38"/>
      <c r="D618" s="38"/>
      <c r="E618" s="38"/>
    </row>
    <row r="619" spans="1:5" ht="12.75" customHeight="1">
      <c r="A619" s="38"/>
      <c r="B619" s="38"/>
      <c r="C619" s="38"/>
      <c r="D619" s="38"/>
      <c r="E619" s="38"/>
    </row>
    <row r="620" spans="1:5" ht="12.75" customHeight="1">
      <c r="A620" s="38"/>
      <c r="B620" s="38"/>
      <c r="C620" s="38"/>
      <c r="D620" s="38"/>
      <c r="E620" s="38"/>
    </row>
    <row r="621" spans="1:5" ht="12.75" customHeight="1">
      <c r="A621" s="38"/>
      <c r="B621" s="38"/>
      <c r="C621" s="38"/>
      <c r="D621" s="38"/>
      <c r="E621" s="38"/>
    </row>
    <row r="622" spans="1:5" ht="12.75" customHeight="1">
      <c r="A622" s="38"/>
      <c r="B622" s="38"/>
      <c r="C622" s="38"/>
      <c r="D622" s="38"/>
      <c r="E622" s="38"/>
    </row>
    <row r="623" spans="1:5" ht="12.75" customHeight="1">
      <c r="A623" s="38"/>
      <c r="B623" s="38"/>
      <c r="C623" s="38"/>
      <c r="D623" s="38"/>
      <c r="E623" s="38"/>
    </row>
    <row r="624" spans="1:5" ht="12.75" customHeight="1">
      <c r="A624" s="38"/>
      <c r="B624" s="38"/>
      <c r="C624" s="38"/>
      <c r="D624" s="38"/>
      <c r="E624" s="38"/>
    </row>
    <row r="625" spans="1:5" ht="12.75" customHeight="1">
      <c r="A625" s="38"/>
      <c r="B625" s="38"/>
      <c r="C625" s="38"/>
      <c r="D625" s="38"/>
      <c r="E625" s="38"/>
    </row>
    <row r="626" spans="1:5" ht="12.75" customHeight="1">
      <c r="A626" s="38"/>
      <c r="B626" s="38"/>
      <c r="C626" s="38"/>
      <c r="D626" s="38"/>
      <c r="E626" s="38"/>
    </row>
    <row r="627" spans="1:5" ht="12.75" customHeight="1">
      <c r="A627" s="38"/>
      <c r="B627" s="38"/>
      <c r="C627" s="38"/>
      <c r="D627" s="38"/>
      <c r="E627" s="38"/>
    </row>
    <row r="628" spans="1:5" ht="12.75" customHeight="1">
      <c r="A628" s="38"/>
      <c r="B628" s="38"/>
      <c r="C628" s="38"/>
      <c r="D628" s="38"/>
      <c r="E628" s="38"/>
    </row>
    <row r="629" spans="1:5" ht="12.75" customHeight="1">
      <c r="A629" s="38"/>
      <c r="B629" s="38"/>
      <c r="C629" s="38"/>
      <c r="D629" s="38"/>
      <c r="E629" s="38"/>
    </row>
    <row r="630" spans="1:5" ht="12.75" customHeight="1">
      <c r="A630" s="38"/>
      <c r="B630" s="38"/>
      <c r="C630" s="38"/>
      <c r="D630" s="38"/>
      <c r="E630" s="38"/>
    </row>
    <row r="631" spans="1:5" ht="12.75" customHeight="1">
      <c r="A631" s="38"/>
      <c r="B631" s="38"/>
      <c r="C631" s="38"/>
      <c r="D631" s="38"/>
      <c r="E631" s="38"/>
    </row>
    <row r="632" spans="1:5" ht="12.75" customHeight="1">
      <c r="A632" s="38"/>
      <c r="B632" s="38"/>
      <c r="C632" s="38"/>
      <c r="D632" s="38"/>
      <c r="E632" s="38"/>
    </row>
    <row r="633" spans="1:5" ht="12.75" customHeight="1">
      <c r="A633" s="38"/>
      <c r="B633" s="38"/>
      <c r="C633" s="38"/>
      <c r="D633" s="38"/>
      <c r="E633" s="38"/>
    </row>
    <row r="634" spans="1:5" ht="12.75" customHeight="1">
      <c r="A634" s="38"/>
      <c r="B634" s="38"/>
      <c r="C634" s="38"/>
      <c r="D634" s="38"/>
      <c r="E634" s="38"/>
    </row>
    <row r="635" spans="1:5" ht="12.75" customHeight="1">
      <c r="A635" s="38"/>
      <c r="B635" s="38"/>
      <c r="C635" s="38"/>
      <c r="D635" s="38"/>
      <c r="E635" s="38"/>
    </row>
    <row r="636" spans="1:5" ht="12.75" customHeight="1">
      <c r="A636" s="38"/>
      <c r="B636" s="38"/>
      <c r="C636" s="38"/>
      <c r="D636" s="38"/>
      <c r="E636" s="38"/>
    </row>
    <row r="637" spans="1:5" ht="12.75" customHeight="1">
      <c r="A637" s="38"/>
      <c r="B637" s="38"/>
      <c r="C637" s="38"/>
      <c r="D637" s="38"/>
      <c r="E637" s="38"/>
    </row>
    <row r="638" spans="1:5" ht="12.75" customHeight="1">
      <c r="A638" s="38"/>
      <c r="B638" s="38"/>
      <c r="C638" s="38"/>
      <c r="D638" s="38"/>
      <c r="E638" s="38"/>
    </row>
    <row r="639" spans="1:5" ht="12.75" customHeight="1">
      <c r="A639" s="38"/>
      <c r="B639" s="38"/>
      <c r="C639" s="38"/>
      <c r="D639" s="38"/>
      <c r="E639" s="38"/>
    </row>
    <row r="640" spans="1:5" ht="12.75" customHeight="1">
      <c r="A640" s="38"/>
      <c r="B640" s="38"/>
      <c r="C640" s="38"/>
      <c r="D640" s="38"/>
      <c r="E640" s="38"/>
    </row>
    <row r="641" spans="1:5" ht="12.75" customHeight="1">
      <c r="A641" s="38"/>
      <c r="B641" s="38"/>
      <c r="C641" s="38"/>
      <c r="D641" s="38"/>
      <c r="E641" s="38"/>
    </row>
    <row r="642" spans="1:5" ht="12.75" customHeight="1">
      <c r="A642" s="38"/>
      <c r="B642" s="38"/>
      <c r="C642" s="38"/>
      <c r="D642" s="38"/>
      <c r="E642" s="38"/>
    </row>
    <row r="643" spans="1:5" ht="12.75" customHeight="1">
      <c r="A643" s="38"/>
      <c r="B643" s="38"/>
      <c r="C643" s="38"/>
      <c r="D643" s="38"/>
      <c r="E643" s="38"/>
    </row>
    <row r="644" spans="1:5" ht="12.75" customHeight="1">
      <c r="A644" s="38"/>
      <c r="B644" s="38"/>
      <c r="C644" s="38"/>
      <c r="D644" s="38"/>
      <c r="E644" s="38"/>
    </row>
    <row r="645" spans="1:5" ht="12.75" customHeight="1">
      <c r="A645" s="38"/>
      <c r="B645" s="38"/>
      <c r="C645" s="38"/>
      <c r="D645" s="38"/>
      <c r="E645" s="38"/>
    </row>
    <row r="646" spans="1:5" ht="12.75" customHeight="1">
      <c r="A646" s="38"/>
      <c r="B646" s="38"/>
      <c r="C646" s="38"/>
      <c r="D646" s="38"/>
      <c r="E646" s="38"/>
    </row>
    <row r="647" spans="1:5" ht="12.75" customHeight="1">
      <c r="A647" s="38"/>
      <c r="B647" s="38"/>
      <c r="C647" s="38"/>
      <c r="D647" s="38"/>
      <c r="E647" s="38"/>
    </row>
    <row r="648" spans="1:5" ht="12.75" customHeight="1">
      <c r="A648" s="38"/>
      <c r="B648" s="38"/>
      <c r="C648" s="38"/>
      <c r="D648" s="38"/>
      <c r="E648" s="38"/>
    </row>
    <row r="649" spans="1:5" ht="12.75" customHeight="1">
      <c r="A649" s="38"/>
      <c r="B649" s="38"/>
      <c r="C649" s="38"/>
      <c r="D649" s="38"/>
      <c r="E649" s="38"/>
    </row>
    <row r="650" spans="1:5" ht="12.75" customHeight="1">
      <c r="A650" s="38"/>
      <c r="B650" s="38"/>
      <c r="C650" s="38"/>
      <c r="D650" s="38"/>
      <c r="E650" s="38"/>
    </row>
    <row r="651" spans="1:5" ht="12.75" customHeight="1">
      <c r="A651" s="38"/>
      <c r="B651" s="38"/>
      <c r="C651" s="38"/>
      <c r="D651" s="38"/>
      <c r="E651" s="38"/>
    </row>
    <row r="652" spans="1:5" ht="12.75" customHeight="1">
      <c r="A652" s="38"/>
      <c r="B652" s="38"/>
      <c r="C652" s="38"/>
      <c r="D652" s="38"/>
      <c r="E652" s="38"/>
    </row>
    <row r="653" spans="1:5" ht="12.75" customHeight="1">
      <c r="A653" s="38"/>
      <c r="B653" s="38"/>
      <c r="C653" s="38"/>
      <c r="D653" s="38"/>
      <c r="E653" s="38"/>
    </row>
    <row r="654" spans="1:5" ht="12.75" customHeight="1">
      <c r="A654" s="38"/>
      <c r="B654" s="38"/>
      <c r="C654" s="38"/>
      <c r="D654" s="38"/>
      <c r="E654" s="38"/>
    </row>
    <row r="655" spans="1:5" ht="12.75" customHeight="1">
      <c r="A655" s="38"/>
      <c r="B655" s="38"/>
      <c r="C655" s="38"/>
      <c r="D655" s="38"/>
      <c r="E655" s="38"/>
    </row>
    <row r="656" spans="1:5" ht="12.75" customHeight="1">
      <c r="A656" s="38"/>
      <c r="B656" s="38"/>
      <c r="C656" s="38"/>
      <c r="D656" s="38"/>
      <c r="E656" s="38"/>
    </row>
    <row r="657" spans="1:5" ht="12.75" customHeight="1">
      <c r="A657" s="38"/>
      <c r="B657" s="38"/>
      <c r="C657" s="38"/>
      <c r="D657" s="38"/>
      <c r="E657" s="38"/>
    </row>
    <row r="658" spans="1:5" ht="12.75" customHeight="1">
      <c r="A658" s="38"/>
      <c r="B658" s="38"/>
      <c r="C658" s="38"/>
      <c r="D658" s="38"/>
      <c r="E658" s="38"/>
    </row>
    <row r="659" spans="1:5" ht="12.75" customHeight="1">
      <c r="A659" s="38"/>
      <c r="B659" s="38"/>
      <c r="C659" s="38"/>
      <c r="D659" s="38"/>
      <c r="E659" s="38"/>
    </row>
    <row r="660" spans="1:5" ht="12.75" customHeight="1">
      <c r="A660" s="38"/>
      <c r="B660" s="38"/>
      <c r="C660" s="38"/>
      <c r="D660" s="38"/>
      <c r="E660" s="38"/>
    </row>
    <row r="661" spans="1:5" ht="12.75" customHeight="1">
      <c r="A661" s="38"/>
      <c r="B661" s="38"/>
      <c r="C661" s="38"/>
      <c r="D661" s="38"/>
      <c r="E661" s="38"/>
    </row>
    <row r="662" spans="1:5" ht="12.75" customHeight="1">
      <c r="A662" s="38"/>
      <c r="B662" s="38"/>
      <c r="C662" s="38"/>
      <c r="D662" s="38"/>
      <c r="E662" s="38"/>
    </row>
    <row r="663" spans="1:5" ht="12.75" customHeight="1">
      <c r="A663" s="38"/>
      <c r="B663" s="38"/>
      <c r="C663" s="38"/>
      <c r="D663" s="38"/>
      <c r="E663" s="38"/>
    </row>
    <row r="664" spans="1:5" ht="12.75" customHeight="1">
      <c r="A664" s="38"/>
      <c r="B664" s="38"/>
      <c r="C664" s="38"/>
      <c r="D664" s="38"/>
      <c r="E664" s="38"/>
    </row>
    <row r="665" spans="1:5" ht="12.75" customHeight="1">
      <c r="A665" s="38"/>
      <c r="B665" s="38"/>
      <c r="C665" s="38"/>
      <c r="D665" s="38"/>
      <c r="E665" s="38"/>
    </row>
    <row r="666" spans="1:5" ht="12.75" customHeight="1">
      <c r="A666" s="38"/>
      <c r="B666" s="38"/>
      <c r="C666" s="38"/>
      <c r="D666" s="38"/>
      <c r="E666" s="38"/>
    </row>
    <row r="667" spans="1:5" ht="12.75" customHeight="1">
      <c r="A667" s="38"/>
      <c r="B667" s="38"/>
      <c r="C667" s="38"/>
      <c r="D667" s="38"/>
      <c r="E667" s="38"/>
    </row>
    <row r="668" spans="1:5" ht="12.75" customHeight="1">
      <c r="A668" s="38"/>
      <c r="B668" s="38"/>
      <c r="C668" s="38"/>
      <c r="D668" s="38"/>
      <c r="E668" s="38"/>
    </row>
    <row r="669" spans="1:5" ht="12.75" customHeight="1">
      <c r="A669" s="38"/>
      <c r="B669" s="38"/>
      <c r="C669" s="38"/>
      <c r="D669" s="38"/>
      <c r="E669" s="38"/>
    </row>
    <row r="670" spans="1:5" ht="12.75" customHeight="1">
      <c r="A670" s="38"/>
      <c r="B670" s="38"/>
      <c r="C670" s="38"/>
      <c r="D670" s="38"/>
      <c r="E670" s="38"/>
    </row>
    <row r="671" spans="1:5" ht="12.75" customHeight="1">
      <c r="A671" s="38"/>
      <c r="B671" s="38"/>
      <c r="C671" s="38"/>
      <c r="D671" s="38"/>
      <c r="E671" s="38"/>
    </row>
    <row r="672" spans="1:5" ht="12.75" customHeight="1">
      <c r="A672" s="38"/>
      <c r="B672" s="38"/>
      <c r="C672" s="38"/>
      <c r="D672" s="38"/>
      <c r="E672" s="38"/>
    </row>
    <row r="673" spans="1:5" ht="12.75" customHeight="1">
      <c r="A673" s="38"/>
      <c r="B673" s="38"/>
      <c r="C673" s="38"/>
      <c r="D673" s="38"/>
      <c r="E673" s="38"/>
    </row>
    <row r="674" spans="1:5" ht="12.75" customHeight="1">
      <c r="A674" s="38"/>
      <c r="B674" s="38"/>
      <c r="C674" s="38"/>
      <c r="D674" s="38"/>
      <c r="E674" s="38"/>
    </row>
    <row r="675" spans="1:5" ht="12.75" customHeight="1">
      <c r="A675" s="38"/>
      <c r="B675" s="38"/>
      <c r="C675" s="38"/>
      <c r="D675" s="38"/>
      <c r="E675" s="38"/>
    </row>
    <row r="676" spans="1:5" ht="12.75" customHeight="1">
      <c r="A676" s="38"/>
      <c r="B676" s="38"/>
      <c r="C676" s="38"/>
      <c r="D676" s="38"/>
      <c r="E676" s="38"/>
    </row>
    <row r="677" spans="1:5" ht="12.75" customHeight="1">
      <c r="A677" s="38"/>
      <c r="B677" s="38"/>
      <c r="C677" s="38"/>
      <c r="D677" s="38"/>
      <c r="E677" s="38"/>
    </row>
    <row r="678" spans="1:5" ht="12.75" customHeight="1">
      <c r="A678" s="38"/>
      <c r="B678" s="38"/>
      <c r="C678" s="38"/>
      <c r="D678" s="38"/>
      <c r="E678" s="38"/>
    </row>
    <row r="679" spans="1:5" ht="12.75" customHeight="1">
      <c r="A679" s="38"/>
      <c r="B679" s="38"/>
      <c r="C679" s="38"/>
      <c r="D679" s="38"/>
      <c r="E679" s="38"/>
    </row>
    <row r="680" spans="1:5" ht="12.75" customHeight="1">
      <c r="A680" s="38"/>
      <c r="B680" s="38"/>
      <c r="C680" s="38"/>
      <c r="D680" s="38"/>
      <c r="E680" s="38"/>
    </row>
    <row r="681" spans="1:5" ht="12.75" customHeight="1">
      <c r="A681" s="38"/>
      <c r="B681" s="38"/>
      <c r="C681" s="38"/>
      <c r="D681" s="38"/>
      <c r="E681" s="38"/>
    </row>
    <row r="682" spans="1:5" ht="12.75" customHeight="1">
      <c r="A682" s="38"/>
      <c r="B682" s="38"/>
      <c r="C682" s="38"/>
      <c r="D682" s="38"/>
      <c r="E682" s="38"/>
    </row>
    <row r="683" spans="1:5" ht="12.75" customHeight="1">
      <c r="A683" s="38"/>
      <c r="B683" s="38"/>
      <c r="C683" s="38"/>
      <c r="D683" s="38"/>
      <c r="E683" s="38"/>
    </row>
    <row r="684" spans="1:5" ht="12.75" customHeight="1">
      <c r="A684" s="38"/>
      <c r="B684" s="38"/>
      <c r="C684" s="38"/>
      <c r="D684" s="38"/>
      <c r="E684" s="38"/>
    </row>
    <row r="685" spans="1:5" ht="12.75" customHeight="1">
      <c r="A685" s="38"/>
      <c r="B685" s="38"/>
      <c r="C685" s="38"/>
      <c r="D685" s="38"/>
      <c r="E685" s="38"/>
    </row>
    <row r="686" spans="1:5" ht="12.75" customHeight="1">
      <c r="A686" s="38"/>
      <c r="B686" s="38"/>
      <c r="C686" s="38"/>
      <c r="D686" s="38"/>
      <c r="E686" s="38"/>
    </row>
    <row r="687" spans="1:5" ht="12.75" customHeight="1">
      <c r="A687" s="38"/>
      <c r="B687" s="38"/>
      <c r="C687" s="38"/>
      <c r="D687" s="38"/>
      <c r="E687" s="38"/>
    </row>
    <row r="688" spans="1:5" ht="12.75" customHeight="1">
      <c r="A688" s="38"/>
      <c r="B688" s="38"/>
      <c r="C688" s="38"/>
      <c r="D688" s="38"/>
      <c r="E688" s="38"/>
    </row>
    <row r="689" spans="1:5" ht="12.75" customHeight="1">
      <c r="A689" s="38"/>
      <c r="B689" s="38"/>
      <c r="C689" s="38"/>
      <c r="D689" s="38"/>
      <c r="E689" s="38"/>
    </row>
    <row r="690" spans="1:5" ht="12.75" customHeight="1">
      <c r="A690" s="38"/>
      <c r="B690" s="38"/>
      <c r="C690" s="38"/>
      <c r="D690" s="38"/>
      <c r="E690" s="38"/>
    </row>
    <row r="691" spans="1:5" ht="12.75" customHeight="1">
      <c r="A691" s="38"/>
      <c r="B691" s="38"/>
      <c r="C691" s="38"/>
      <c r="D691" s="38"/>
      <c r="E691" s="38"/>
    </row>
    <row r="692" spans="1:5" ht="12.75" customHeight="1">
      <c r="A692" s="38"/>
      <c r="B692" s="38"/>
      <c r="C692" s="38"/>
      <c r="D692" s="38"/>
      <c r="E692" s="38"/>
    </row>
    <row r="693" spans="1:5" ht="12.75" customHeight="1">
      <c r="A693" s="38"/>
      <c r="B693" s="38"/>
      <c r="C693" s="38"/>
      <c r="D693" s="38"/>
      <c r="E693" s="38"/>
    </row>
    <row r="694" spans="1:5" ht="12.75" customHeight="1">
      <c r="A694" s="38"/>
      <c r="B694" s="38"/>
      <c r="C694" s="38"/>
      <c r="D694" s="38"/>
      <c r="E694" s="38"/>
    </row>
    <row r="695" spans="1:5" ht="12.75" customHeight="1">
      <c r="A695" s="38"/>
      <c r="B695" s="38"/>
      <c r="C695" s="38"/>
      <c r="D695" s="38"/>
      <c r="E695" s="38"/>
    </row>
    <row r="696" spans="1:5" ht="12.75" customHeight="1">
      <c r="A696" s="38"/>
      <c r="B696" s="38"/>
      <c r="C696" s="38"/>
      <c r="D696" s="38"/>
      <c r="E696" s="38"/>
    </row>
    <row r="697" spans="1:5" ht="12.75" customHeight="1">
      <c r="A697" s="38"/>
      <c r="B697" s="38"/>
      <c r="C697" s="38"/>
      <c r="D697" s="38"/>
      <c r="E697" s="38"/>
    </row>
    <row r="698" spans="1:5" ht="12.75" customHeight="1">
      <c r="A698" s="38"/>
      <c r="B698" s="38"/>
      <c r="C698" s="38"/>
      <c r="D698" s="38"/>
      <c r="E698" s="38"/>
    </row>
    <row r="699" spans="1:5" ht="12.75" customHeight="1">
      <c r="A699" s="38"/>
      <c r="B699" s="38"/>
      <c r="C699" s="38"/>
      <c r="D699" s="38"/>
      <c r="E699" s="38"/>
    </row>
    <row r="700" spans="1:5" ht="12.75" customHeight="1">
      <c r="A700" s="38"/>
      <c r="B700" s="38"/>
      <c r="C700" s="38"/>
      <c r="D700" s="38"/>
      <c r="E700" s="38"/>
    </row>
    <row r="701" spans="1:5" ht="12.75" customHeight="1">
      <c r="A701" s="38"/>
      <c r="B701" s="38"/>
      <c r="C701" s="38"/>
      <c r="D701" s="38"/>
      <c r="E701" s="38"/>
    </row>
    <row r="702" spans="1:5" ht="12.75" customHeight="1">
      <c r="A702" s="38"/>
      <c r="B702" s="38"/>
      <c r="C702" s="38"/>
      <c r="D702" s="38"/>
      <c r="E702" s="38"/>
    </row>
    <row r="703" spans="1:5" ht="12.75" customHeight="1">
      <c r="A703" s="38"/>
      <c r="B703" s="38"/>
      <c r="C703" s="38"/>
      <c r="D703" s="38"/>
      <c r="E703" s="38"/>
    </row>
    <row r="704" spans="1:5" ht="12.75" customHeight="1">
      <c r="A704" s="38"/>
      <c r="B704" s="38"/>
      <c r="C704" s="38"/>
      <c r="D704" s="38"/>
      <c r="E704" s="38"/>
    </row>
    <row r="705" spans="1:5" ht="12.75" customHeight="1">
      <c r="A705" s="38"/>
      <c r="B705" s="38"/>
      <c r="C705" s="38"/>
      <c r="D705" s="38"/>
      <c r="E705" s="38"/>
    </row>
    <row r="706" spans="1:5" ht="12.75" customHeight="1">
      <c r="A706" s="38"/>
      <c r="B706" s="38"/>
      <c r="C706" s="38"/>
      <c r="D706" s="38"/>
      <c r="E706" s="38"/>
    </row>
    <row r="707" spans="1:5" ht="12.75" customHeight="1">
      <c r="A707" s="38"/>
      <c r="B707" s="38"/>
      <c r="C707" s="38"/>
      <c r="D707" s="38"/>
      <c r="E707" s="38"/>
    </row>
    <row r="708" spans="1:5" ht="12.75" customHeight="1">
      <c r="A708" s="38"/>
      <c r="B708" s="38"/>
      <c r="C708" s="38"/>
      <c r="D708" s="38"/>
      <c r="E708" s="38"/>
    </row>
    <row r="709" spans="1:5" ht="12.75" customHeight="1">
      <c r="A709" s="38"/>
      <c r="B709" s="38"/>
      <c r="C709" s="38"/>
      <c r="D709" s="38"/>
      <c r="E709" s="38"/>
    </row>
    <row r="710" spans="1:5" ht="12.75" customHeight="1">
      <c r="A710" s="38"/>
      <c r="B710" s="38"/>
      <c r="C710" s="38"/>
      <c r="D710" s="38"/>
      <c r="E710" s="38"/>
    </row>
    <row r="711" spans="1:5" ht="12.75" customHeight="1">
      <c r="A711" s="38"/>
      <c r="B711" s="38"/>
      <c r="C711" s="38"/>
      <c r="D711" s="38"/>
      <c r="E711" s="38"/>
    </row>
    <row r="712" spans="1:5" ht="12.75" customHeight="1">
      <c r="A712" s="38"/>
      <c r="B712" s="38"/>
      <c r="C712" s="38"/>
      <c r="D712" s="38"/>
      <c r="E712" s="38"/>
    </row>
    <row r="713" spans="1:5" ht="12.75" customHeight="1">
      <c r="A713" s="38"/>
      <c r="B713" s="38"/>
      <c r="C713" s="38"/>
      <c r="D713" s="38"/>
      <c r="E713" s="38"/>
    </row>
    <row r="714" spans="1:5" ht="12.75" customHeight="1">
      <c r="A714" s="38"/>
      <c r="B714" s="38"/>
      <c r="C714" s="38"/>
      <c r="D714" s="38"/>
      <c r="E714" s="38"/>
    </row>
    <row r="715" spans="1:5" ht="12.75" customHeight="1">
      <c r="A715" s="38"/>
      <c r="B715" s="38"/>
      <c r="C715" s="38"/>
      <c r="D715" s="38"/>
      <c r="E715" s="38"/>
    </row>
    <row r="716" spans="1:5" ht="12.75" customHeight="1">
      <c r="A716" s="38"/>
      <c r="B716" s="38"/>
      <c r="C716" s="38"/>
      <c r="D716" s="38"/>
      <c r="E716" s="38"/>
    </row>
    <row r="717" spans="1:5" ht="12.75" customHeight="1">
      <c r="A717" s="38"/>
      <c r="B717" s="38"/>
      <c r="C717" s="38"/>
      <c r="D717" s="38"/>
      <c r="E717" s="38"/>
    </row>
    <row r="718" spans="1:5" ht="12.75" customHeight="1">
      <c r="A718" s="38"/>
      <c r="B718" s="38"/>
      <c r="C718" s="38"/>
      <c r="D718" s="38"/>
      <c r="E718" s="38"/>
    </row>
    <row r="719" spans="1:5" ht="12.75" customHeight="1">
      <c r="A719" s="38"/>
      <c r="B719" s="38"/>
      <c r="C719" s="38"/>
      <c r="D719" s="38"/>
      <c r="E719" s="38"/>
    </row>
    <row r="720" spans="1:5" ht="12.75" customHeight="1">
      <c r="A720" s="38"/>
      <c r="B720" s="38"/>
      <c r="C720" s="38"/>
      <c r="D720" s="38"/>
      <c r="E720" s="38"/>
    </row>
    <row r="721" spans="1:5" ht="12.75" customHeight="1">
      <c r="A721" s="38"/>
      <c r="B721" s="38"/>
      <c r="C721" s="38"/>
      <c r="D721" s="38"/>
      <c r="E721" s="38"/>
    </row>
    <row r="722" spans="1:5" ht="12.75" customHeight="1">
      <c r="A722" s="38"/>
      <c r="B722" s="38"/>
      <c r="C722" s="38"/>
      <c r="D722" s="38"/>
      <c r="E722" s="38"/>
    </row>
    <row r="723" spans="1:5" ht="12.75" customHeight="1">
      <c r="A723" s="38"/>
      <c r="B723" s="38"/>
      <c r="C723" s="38"/>
      <c r="D723" s="38"/>
      <c r="E723" s="38"/>
    </row>
    <row r="724" spans="1:5" ht="12.75" customHeight="1">
      <c r="A724" s="38"/>
      <c r="B724" s="38"/>
      <c r="C724" s="38"/>
      <c r="D724" s="38"/>
      <c r="E724" s="38"/>
    </row>
    <row r="725" spans="1:5" ht="12.75" customHeight="1">
      <c r="A725" s="38"/>
      <c r="B725" s="38"/>
      <c r="C725" s="38"/>
      <c r="D725" s="38"/>
      <c r="E725" s="38"/>
    </row>
    <row r="726" spans="1:5" ht="12.75" customHeight="1">
      <c r="A726" s="38"/>
      <c r="B726" s="38"/>
      <c r="C726" s="38"/>
      <c r="D726" s="38"/>
      <c r="E726" s="38"/>
    </row>
    <row r="727" spans="1:5" ht="12.75" customHeight="1">
      <c r="A727" s="38"/>
      <c r="B727" s="38"/>
      <c r="C727" s="38"/>
      <c r="D727" s="38"/>
      <c r="E727" s="38"/>
    </row>
    <row r="728" spans="1:5" ht="12.75" customHeight="1">
      <c r="A728" s="38"/>
      <c r="B728" s="38"/>
      <c r="C728" s="38"/>
      <c r="D728" s="38"/>
      <c r="E728" s="38"/>
    </row>
    <row r="729" spans="1:5" ht="12.75" customHeight="1">
      <c r="A729" s="38"/>
      <c r="B729" s="38"/>
      <c r="C729" s="38"/>
      <c r="D729" s="38"/>
      <c r="E729" s="38"/>
    </row>
    <row r="730" spans="1:5" ht="12.75" customHeight="1">
      <c r="A730" s="38"/>
      <c r="B730" s="38"/>
      <c r="C730" s="38"/>
      <c r="D730" s="38"/>
      <c r="E730" s="38"/>
    </row>
    <row r="731" spans="1:5" ht="12.75" customHeight="1">
      <c r="A731" s="38"/>
      <c r="B731" s="38"/>
      <c r="C731" s="38"/>
      <c r="D731" s="38"/>
      <c r="E731" s="38"/>
    </row>
    <row r="732" spans="1:5" ht="12.75" customHeight="1">
      <c r="A732" s="38"/>
      <c r="B732" s="38"/>
      <c r="C732" s="38"/>
      <c r="D732" s="38"/>
      <c r="E732" s="38"/>
    </row>
    <row r="733" spans="1:5" ht="12.75" customHeight="1">
      <c r="A733" s="38"/>
      <c r="B733" s="38"/>
      <c r="C733" s="38"/>
      <c r="D733" s="38"/>
      <c r="E733" s="38"/>
    </row>
    <row r="734" spans="1:5" ht="12.75" customHeight="1">
      <c r="A734" s="38"/>
      <c r="B734" s="38"/>
      <c r="C734" s="38"/>
      <c r="D734" s="38"/>
      <c r="E734" s="38"/>
    </row>
    <row r="735" spans="1:5" ht="12.75" customHeight="1">
      <c r="A735" s="38"/>
      <c r="B735" s="38"/>
      <c r="C735" s="38"/>
      <c r="D735" s="38"/>
      <c r="E735" s="38"/>
    </row>
    <row r="736" spans="1:5" ht="12.75" customHeight="1">
      <c r="A736" s="38"/>
      <c r="B736" s="38"/>
      <c r="C736" s="38"/>
      <c r="D736" s="38"/>
      <c r="E736" s="38"/>
    </row>
    <row r="737" spans="1:5" ht="12.75" customHeight="1">
      <c r="A737" s="38"/>
      <c r="B737" s="38"/>
      <c r="C737" s="38"/>
      <c r="D737" s="38"/>
      <c r="E737" s="38"/>
    </row>
    <row r="738" spans="1:5" ht="12.75" customHeight="1">
      <c r="A738" s="38"/>
      <c r="B738" s="38"/>
      <c r="C738" s="38"/>
      <c r="D738" s="38"/>
      <c r="E738" s="38"/>
    </row>
    <row r="739" spans="1:5" ht="12.75" customHeight="1">
      <c r="A739" s="38"/>
      <c r="B739" s="38"/>
      <c r="C739" s="38"/>
      <c r="D739" s="38"/>
      <c r="E739" s="38"/>
    </row>
    <row r="740" spans="1:5" ht="12.75" customHeight="1">
      <c r="A740" s="38"/>
      <c r="B740" s="38"/>
      <c r="C740" s="38"/>
      <c r="D740" s="38"/>
      <c r="E740" s="38"/>
    </row>
    <row r="741" spans="1:5" ht="12.75" customHeight="1">
      <c r="A741" s="38"/>
      <c r="B741" s="38"/>
      <c r="C741" s="38"/>
      <c r="D741" s="38"/>
      <c r="E741" s="38"/>
    </row>
    <row r="742" spans="1:5" ht="12.75" customHeight="1">
      <c r="A742" s="38"/>
      <c r="B742" s="38"/>
      <c r="C742" s="38"/>
      <c r="D742" s="38"/>
      <c r="E742" s="38"/>
    </row>
    <row r="743" spans="1:5" ht="12.75" customHeight="1">
      <c r="A743" s="38"/>
      <c r="B743" s="38"/>
      <c r="C743" s="38"/>
      <c r="D743" s="38"/>
      <c r="E743" s="38"/>
    </row>
    <row r="744" spans="1:5" ht="12.75" customHeight="1">
      <c r="A744" s="38"/>
      <c r="B744" s="38"/>
      <c r="C744" s="38"/>
      <c r="D744" s="38"/>
      <c r="E744" s="38"/>
    </row>
    <row r="745" spans="1:5" ht="12.75" customHeight="1">
      <c r="A745" s="38"/>
      <c r="B745" s="38"/>
      <c r="C745" s="38"/>
      <c r="D745" s="38"/>
      <c r="E745" s="38"/>
    </row>
    <row r="746" spans="1:5" ht="12.75" customHeight="1">
      <c r="A746" s="38"/>
      <c r="B746" s="38"/>
      <c r="C746" s="38"/>
      <c r="D746" s="38"/>
      <c r="E746" s="38"/>
    </row>
    <row r="747" spans="1:5" ht="12.75" customHeight="1">
      <c r="A747" s="38"/>
      <c r="B747" s="38"/>
      <c r="C747" s="38"/>
      <c r="D747" s="38"/>
      <c r="E747" s="38"/>
    </row>
    <row r="748" spans="1:5" ht="12.75" customHeight="1">
      <c r="A748" s="38"/>
      <c r="B748" s="38"/>
      <c r="C748" s="38"/>
      <c r="D748" s="38"/>
      <c r="E748" s="38"/>
    </row>
    <row r="749" spans="1:5" ht="12.75" customHeight="1">
      <c r="A749" s="38"/>
      <c r="B749" s="38"/>
      <c r="C749" s="38"/>
      <c r="D749" s="38"/>
      <c r="E749" s="38"/>
    </row>
    <row r="750" spans="1:5" ht="12.75" customHeight="1">
      <c r="A750" s="38"/>
      <c r="B750" s="38"/>
      <c r="C750" s="38"/>
      <c r="D750" s="38"/>
      <c r="E750" s="38"/>
    </row>
    <row r="751" spans="1:5" ht="12.75" customHeight="1">
      <c r="A751" s="38"/>
      <c r="B751" s="38"/>
      <c r="C751" s="38"/>
      <c r="D751" s="38"/>
      <c r="E751" s="38"/>
    </row>
    <row r="752" spans="1:5" ht="12.75" customHeight="1">
      <c r="A752" s="38"/>
      <c r="B752" s="38"/>
      <c r="C752" s="38"/>
      <c r="D752" s="38"/>
      <c r="E752" s="38"/>
    </row>
    <row r="753" spans="1:5" ht="12.75" customHeight="1">
      <c r="A753" s="38"/>
      <c r="B753" s="38"/>
      <c r="C753" s="38"/>
      <c r="D753" s="38"/>
      <c r="E753" s="38"/>
    </row>
    <row r="754" spans="1:5" ht="12.75" customHeight="1">
      <c r="A754" s="38"/>
      <c r="B754" s="38"/>
      <c r="C754" s="38"/>
      <c r="D754" s="38"/>
      <c r="E754" s="38"/>
    </row>
    <row r="755" spans="1:5" ht="12.75" customHeight="1">
      <c r="A755" s="38"/>
      <c r="B755" s="38"/>
      <c r="C755" s="38"/>
      <c r="D755" s="38"/>
      <c r="E755" s="38"/>
    </row>
    <row r="756" spans="1:5" ht="12.75" customHeight="1">
      <c r="A756" s="38"/>
      <c r="B756" s="38"/>
      <c r="C756" s="38"/>
      <c r="D756" s="38"/>
      <c r="E756" s="38"/>
    </row>
    <row r="757" spans="1:5" ht="12.75" customHeight="1">
      <c r="A757" s="38"/>
      <c r="B757" s="38"/>
      <c r="C757" s="38"/>
      <c r="D757" s="38"/>
      <c r="E757" s="38"/>
    </row>
    <row r="758" spans="1:5" ht="12.75" customHeight="1">
      <c r="A758" s="38"/>
      <c r="B758" s="38"/>
      <c r="C758" s="38"/>
      <c r="D758" s="38"/>
      <c r="E758" s="38"/>
    </row>
    <row r="759" spans="1:5" ht="12.75" customHeight="1">
      <c r="A759" s="38"/>
      <c r="B759" s="38"/>
      <c r="C759" s="38"/>
      <c r="D759" s="38"/>
      <c r="E759" s="38"/>
    </row>
    <row r="760" spans="1:5" ht="12.75" customHeight="1">
      <c r="A760" s="38"/>
      <c r="B760" s="38"/>
      <c r="C760" s="38"/>
      <c r="D760" s="38"/>
      <c r="E760" s="38"/>
    </row>
    <row r="761" spans="1:5" ht="12.75" customHeight="1">
      <c r="A761" s="38"/>
      <c r="B761" s="38"/>
      <c r="C761" s="38"/>
      <c r="D761" s="38"/>
      <c r="E761" s="38"/>
    </row>
    <row r="762" spans="1:5" ht="12.75" customHeight="1">
      <c r="A762" s="38"/>
      <c r="B762" s="38"/>
      <c r="C762" s="38"/>
      <c r="D762" s="38"/>
      <c r="E762" s="38"/>
    </row>
    <row r="763" spans="1:5" ht="12.75" customHeight="1">
      <c r="A763" s="38"/>
      <c r="B763" s="38"/>
      <c r="C763" s="38"/>
      <c r="D763" s="38"/>
      <c r="E763" s="38"/>
    </row>
    <row r="764" spans="1:5" ht="12.75" customHeight="1">
      <c r="A764" s="38"/>
      <c r="B764" s="38"/>
      <c r="C764" s="38"/>
      <c r="D764" s="38"/>
      <c r="E764" s="38"/>
    </row>
    <row r="765" spans="1:5" ht="12.75" customHeight="1">
      <c r="A765" s="38"/>
      <c r="B765" s="38"/>
      <c r="C765" s="38"/>
      <c r="D765" s="38"/>
      <c r="E765" s="38"/>
    </row>
    <row r="766" spans="1:5" ht="12.75" customHeight="1">
      <c r="A766" s="38"/>
      <c r="B766" s="38"/>
      <c r="C766" s="38"/>
      <c r="D766" s="38"/>
      <c r="E766" s="38"/>
    </row>
    <row r="767" spans="1:5" ht="12.75" customHeight="1">
      <c r="A767" s="38"/>
      <c r="B767" s="38"/>
      <c r="C767" s="38"/>
      <c r="D767" s="38"/>
      <c r="E767" s="38"/>
    </row>
    <row r="768" spans="1:5" ht="12.75" customHeight="1">
      <c r="A768" s="38"/>
      <c r="B768" s="38"/>
      <c r="C768" s="38"/>
      <c r="D768" s="38"/>
      <c r="E768" s="38"/>
    </row>
    <row r="769" spans="1:5" ht="12.75" customHeight="1">
      <c r="A769" s="38"/>
      <c r="B769" s="38"/>
      <c r="C769" s="38"/>
      <c r="D769" s="38"/>
      <c r="E769" s="38"/>
    </row>
    <row r="770" spans="1:5" ht="12.75" customHeight="1">
      <c r="A770" s="38"/>
      <c r="B770" s="38"/>
      <c r="C770" s="38"/>
      <c r="D770" s="38"/>
      <c r="E770" s="38"/>
    </row>
    <row r="771" spans="1:5" ht="12.75" customHeight="1">
      <c r="A771" s="38"/>
      <c r="B771" s="38"/>
      <c r="C771" s="38"/>
      <c r="D771" s="38"/>
      <c r="E771" s="38"/>
    </row>
    <row r="772" spans="1:5" ht="12.75" customHeight="1">
      <c r="A772" s="38"/>
      <c r="B772" s="38"/>
      <c r="C772" s="38"/>
      <c r="D772" s="38"/>
      <c r="E772" s="38"/>
    </row>
    <row r="773" spans="1:5" ht="12.75" customHeight="1">
      <c r="A773" s="38"/>
      <c r="B773" s="38"/>
      <c r="C773" s="38"/>
      <c r="D773" s="38"/>
      <c r="E773" s="38"/>
    </row>
    <row r="774" spans="1:5" ht="12.75" customHeight="1">
      <c r="A774" s="38"/>
      <c r="B774" s="38"/>
      <c r="C774" s="38"/>
      <c r="D774" s="38"/>
      <c r="E774" s="38"/>
    </row>
    <row r="775" spans="1:5" ht="12.75" customHeight="1">
      <c r="A775" s="38"/>
      <c r="B775" s="38"/>
      <c r="C775" s="38"/>
      <c r="D775" s="38"/>
      <c r="E775" s="38"/>
    </row>
    <row r="776" spans="1:5" ht="12.75" customHeight="1">
      <c r="A776" s="38"/>
      <c r="B776" s="38"/>
      <c r="C776" s="38"/>
      <c r="D776" s="38"/>
      <c r="E776" s="38"/>
    </row>
    <row r="777" spans="1:5" ht="12.75" customHeight="1">
      <c r="A777" s="38"/>
      <c r="B777" s="38"/>
      <c r="C777" s="38"/>
      <c r="D777" s="38"/>
      <c r="E777" s="38"/>
    </row>
    <row r="778" spans="1:5" ht="12.75" customHeight="1">
      <c r="A778" s="38"/>
      <c r="B778" s="38"/>
      <c r="C778" s="38"/>
      <c r="D778" s="38"/>
      <c r="E778" s="38"/>
    </row>
    <row r="779" spans="1:5" ht="12.75" customHeight="1">
      <c r="A779" s="38"/>
      <c r="B779" s="38"/>
      <c r="C779" s="38"/>
      <c r="D779" s="38"/>
      <c r="E779" s="38"/>
    </row>
    <row r="780" spans="1:5" ht="12.75" customHeight="1">
      <c r="A780" s="38"/>
      <c r="B780" s="38"/>
      <c r="C780" s="38"/>
      <c r="D780" s="38"/>
      <c r="E780" s="38"/>
    </row>
    <row r="781" spans="1:5" ht="12.75" customHeight="1">
      <c r="A781" s="38"/>
      <c r="B781" s="38"/>
      <c r="C781" s="38"/>
      <c r="D781" s="38"/>
      <c r="E781" s="38"/>
    </row>
    <row r="782" spans="1:5" ht="12.75" customHeight="1">
      <c r="A782" s="38"/>
      <c r="B782" s="38"/>
      <c r="C782" s="38"/>
      <c r="D782" s="38"/>
      <c r="E782" s="38"/>
    </row>
    <row r="783" spans="1:5" ht="12.75" customHeight="1">
      <c r="A783" s="38"/>
      <c r="B783" s="38"/>
      <c r="C783" s="38"/>
      <c r="D783" s="38"/>
      <c r="E783" s="38"/>
    </row>
    <row r="784" spans="1:5" ht="12.75" customHeight="1">
      <c r="A784" s="38"/>
      <c r="B784" s="38"/>
      <c r="C784" s="38"/>
      <c r="D784" s="38"/>
      <c r="E784" s="38"/>
    </row>
    <row r="785" spans="1:5" ht="12.75" customHeight="1">
      <c r="A785" s="38"/>
      <c r="B785" s="38"/>
      <c r="C785" s="38"/>
      <c r="D785" s="38"/>
      <c r="E785" s="38"/>
    </row>
    <row r="786" spans="1:5" ht="12.75" customHeight="1">
      <c r="A786" s="38"/>
      <c r="B786" s="38"/>
      <c r="C786" s="38"/>
      <c r="D786" s="38"/>
      <c r="E786" s="38"/>
    </row>
    <row r="787" spans="1:5" ht="12.75" customHeight="1">
      <c r="A787" s="38"/>
      <c r="B787" s="38"/>
      <c r="C787" s="38"/>
      <c r="D787" s="38"/>
      <c r="E787" s="38"/>
    </row>
    <row r="788" spans="1:5" ht="12.75" customHeight="1">
      <c r="A788" s="38"/>
      <c r="B788" s="38"/>
      <c r="C788" s="38"/>
      <c r="D788" s="38"/>
      <c r="E788" s="38"/>
    </row>
    <row r="789" spans="1:5" ht="12.75" customHeight="1">
      <c r="A789" s="38"/>
      <c r="B789" s="38"/>
      <c r="C789" s="38"/>
      <c r="D789" s="38"/>
      <c r="E789" s="38"/>
    </row>
    <row r="790" spans="1:5" ht="12.75" customHeight="1">
      <c r="A790" s="38"/>
      <c r="B790" s="38"/>
      <c r="C790" s="38"/>
      <c r="D790" s="38"/>
      <c r="E790" s="38"/>
    </row>
    <row r="791" spans="1:5" ht="12.75" customHeight="1">
      <c r="A791" s="38"/>
      <c r="B791" s="38"/>
      <c r="C791" s="38"/>
      <c r="D791" s="38"/>
      <c r="E791" s="38"/>
    </row>
    <row r="792" spans="1:5" ht="12.75" customHeight="1">
      <c r="A792" s="38"/>
      <c r="B792" s="38"/>
      <c r="C792" s="38"/>
      <c r="D792" s="38"/>
      <c r="E792" s="38"/>
    </row>
    <row r="793" spans="1:5" ht="12.75" customHeight="1">
      <c r="A793" s="38"/>
      <c r="B793" s="38"/>
      <c r="C793" s="38"/>
      <c r="D793" s="38"/>
      <c r="E793" s="38"/>
    </row>
    <row r="794" spans="1:5" ht="12.75" customHeight="1">
      <c r="A794" s="38"/>
      <c r="B794" s="38"/>
      <c r="C794" s="38"/>
      <c r="D794" s="38"/>
      <c r="E794" s="38"/>
    </row>
    <row r="795" spans="1:5" ht="12.75" customHeight="1">
      <c r="A795" s="38"/>
      <c r="B795" s="38"/>
      <c r="C795" s="38"/>
      <c r="D795" s="38"/>
      <c r="E795" s="38"/>
    </row>
    <row r="796" spans="1:5" ht="12.75" customHeight="1">
      <c r="A796" s="38"/>
      <c r="B796" s="38"/>
      <c r="C796" s="38"/>
      <c r="D796" s="38"/>
      <c r="E796" s="38"/>
    </row>
    <row r="797" spans="1:5" ht="12.75" customHeight="1">
      <c r="A797" s="38"/>
      <c r="B797" s="38"/>
      <c r="C797" s="38"/>
      <c r="D797" s="38"/>
      <c r="E797" s="38"/>
    </row>
    <row r="798" spans="1:5" ht="12.75" customHeight="1">
      <c r="A798" s="38"/>
      <c r="B798" s="38"/>
      <c r="C798" s="38"/>
      <c r="D798" s="38"/>
      <c r="E798" s="38"/>
    </row>
    <row r="799" spans="1:5" ht="12.75" customHeight="1">
      <c r="A799" s="38"/>
      <c r="B799" s="38"/>
      <c r="C799" s="38"/>
      <c r="D799" s="38"/>
      <c r="E799" s="38"/>
    </row>
    <row r="800" spans="1:5" ht="12.75" customHeight="1">
      <c r="A800" s="38"/>
      <c r="B800" s="38"/>
      <c r="C800" s="38"/>
      <c r="D800" s="38"/>
      <c r="E800" s="38"/>
    </row>
    <row r="801" spans="1:5" ht="12.75" customHeight="1">
      <c r="A801" s="38"/>
      <c r="B801" s="38"/>
      <c r="C801" s="38"/>
      <c r="D801" s="38"/>
      <c r="E801" s="38"/>
    </row>
    <row r="802" spans="1:5" ht="12.75" customHeight="1">
      <c r="A802" s="38"/>
      <c r="B802" s="38"/>
      <c r="C802" s="38"/>
      <c r="D802" s="38"/>
      <c r="E802" s="38"/>
    </row>
    <row r="803" spans="1:5" ht="12.75" customHeight="1">
      <c r="A803" s="38"/>
      <c r="B803" s="38"/>
      <c r="C803" s="38"/>
      <c r="D803" s="38"/>
      <c r="E803" s="38"/>
    </row>
    <row r="804" spans="1:5" ht="12.75" customHeight="1">
      <c r="A804" s="38"/>
      <c r="B804" s="38"/>
      <c r="C804" s="38"/>
      <c r="D804" s="38"/>
      <c r="E804" s="38"/>
    </row>
    <row r="805" spans="1:5" ht="12.75" customHeight="1">
      <c r="A805" s="38"/>
      <c r="B805" s="38"/>
      <c r="C805" s="38"/>
      <c r="D805" s="38"/>
      <c r="E805" s="38"/>
    </row>
    <row r="806" spans="1:5" ht="12.75" customHeight="1">
      <c r="A806" s="38"/>
      <c r="B806" s="38"/>
      <c r="C806" s="38"/>
      <c r="D806" s="38"/>
      <c r="E806" s="38"/>
    </row>
    <row r="807" spans="1:5" ht="12.75" customHeight="1">
      <c r="A807" s="38"/>
      <c r="B807" s="38"/>
      <c r="C807" s="38"/>
      <c r="D807" s="38"/>
      <c r="E807" s="38"/>
    </row>
    <row r="808" spans="1:5" ht="12.75" customHeight="1">
      <c r="A808" s="38"/>
      <c r="B808" s="38"/>
      <c r="C808" s="38"/>
      <c r="D808" s="38"/>
      <c r="E808" s="38"/>
    </row>
    <row r="809" spans="1:5" ht="12.75" customHeight="1">
      <c r="A809" s="38"/>
      <c r="B809" s="38"/>
      <c r="C809" s="38"/>
      <c r="D809" s="38"/>
      <c r="E809" s="38"/>
    </row>
    <row r="810" spans="1:5" ht="12.75" customHeight="1">
      <c r="A810" s="38"/>
      <c r="B810" s="38"/>
      <c r="C810" s="38"/>
      <c r="D810" s="38"/>
      <c r="E810" s="38"/>
    </row>
    <row r="811" spans="1:5" ht="12.75" customHeight="1">
      <c r="A811" s="38"/>
      <c r="B811" s="38"/>
      <c r="C811" s="38"/>
      <c r="D811" s="38"/>
      <c r="E811" s="38"/>
    </row>
    <row r="812" spans="1:5" ht="12.75" customHeight="1">
      <c r="A812" s="38"/>
      <c r="B812" s="38"/>
      <c r="C812" s="38"/>
      <c r="D812" s="38"/>
      <c r="E812" s="38"/>
    </row>
    <row r="813" spans="1:5" ht="12.75" customHeight="1">
      <c r="A813" s="38"/>
      <c r="B813" s="38"/>
      <c r="C813" s="38"/>
      <c r="D813" s="38"/>
      <c r="E813" s="38"/>
    </row>
    <row r="814" spans="1:5" ht="12.75" customHeight="1">
      <c r="A814" s="38"/>
      <c r="B814" s="38"/>
      <c r="C814" s="38"/>
      <c r="D814" s="38"/>
      <c r="E814" s="38"/>
    </row>
    <row r="815" spans="1:5" ht="12.75" customHeight="1">
      <c r="A815" s="38"/>
      <c r="B815" s="38"/>
      <c r="C815" s="38"/>
      <c r="D815" s="38"/>
      <c r="E815" s="38"/>
    </row>
    <row r="816" spans="1:5" ht="12.75" customHeight="1">
      <c r="A816" s="38"/>
      <c r="B816" s="38"/>
      <c r="C816" s="38"/>
      <c r="D816" s="38"/>
      <c r="E816" s="38"/>
    </row>
    <row r="817" spans="1:5" ht="12.75" customHeight="1">
      <c r="A817" s="38"/>
      <c r="B817" s="38"/>
      <c r="C817" s="38"/>
      <c r="D817" s="38"/>
      <c r="E817" s="38"/>
    </row>
    <row r="818" spans="1:5" ht="12.75" customHeight="1">
      <c r="A818" s="38"/>
      <c r="B818" s="38"/>
      <c r="C818" s="38"/>
      <c r="D818" s="38"/>
      <c r="E818" s="38"/>
    </row>
    <row r="819" spans="1:5" ht="12.75" customHeight="1">
      <c r="A819" s="38"/>
      <c r="B819" s="38"/>
      <c r="C819" s="38"/>
      <c r="D819" s="38"/>
      <c r="E819" s="38"/>
    </row>
    <row r="820" spans="1:5" ht="12.75" customHeight="1">
      <c r="A820" s="38"/>
      <c r="B820" s="38"/>
      <c r="C820" s="38"/>
      <c r="D820" s="38"/>
      <c r="E820" s="38"/>
    </row>
    <row r="821" spans="1:5" ht="12.75" customHeight="1">
      <c r="A821" s="38"/>
      <c r="B821" s="38"/>
      <c r="C821" s="38"/>
      <c r="D821" s="38"/>
      <c r="E821" s="38"/>
    </row>
    <row r="822" spans="1:5" ht="12.75" customHeight="1">
      <c r="A822" s="38"/>
      <c r="B822" s="38"/>
      <c r="C822" s="38"/>
      <c r="D822" s="38"/>
      <c r="E822" s="38"/>
    </row>
    <row r="823" spans="1:5" ht="12.75" customHeight="1">
      <c r="A823" s="38"/>
      <c r="B823" s="38"/>
      <c r="C823" s="38"/>
      <c r="D823" s="38"/>
      <c r="E823" s="38"/>
    </row>
    <row r="824" spans="1:5" ht="12.75" customHeight="1">
      <c r="A824" s="38"/>
      <c r="B824" s="38"/>
      <c r="C824" s="38"/>
      <c r="D824" s="38"/>
      <c r="E824" s="38"/>
    </row>
    <row r="825" spans="1:5" ht="12.75" customHeight="1">
      <c r="A825" s="38"/>
      <c r="B825" s="38"/>
      <c r="C825" s="38"/>
      <c r="D825" s="38"/>
      <c r="E825" s="38"/>
    </row>
    <row r="826" spans="1:5" ht="12.75" customHeight="1">
      <c r="A826" s="38"/>
      <c r="B826" s="38"/>
      <c r="C826" s="38"/>
      <c r="D826" s="38"/>
      <c r="E826" s="38"/>
    </row>
    <row r="827" spans="1:5" ht="12.75" customHeight="1">
      <c r="A827" s="38"/>
      <c r="B827" s="38"/>
      <c r="C827" s="38"/>
      <c r="D827" s="38"/>
      <c r="E827" s="38"/>
    </row>
    <row r="828" spans="1:5" ht="12.75" customHeight="1">
      <c r="A828" s="38"/>
      <c r="B828" s="38"/>
      <c r="C828" s="38"/>
      <c r="D828" s="38"/>
      <c r="E828" s="38"/>
    </row>
    <row r="829" spans="1:5" ht="12.75" customHeight="1">
      <c r="A829" s="38"/>
      <c r="B829" s="38"/>
      <c r="C829" s="38"/>
      <c r="D829" s="38"/>
      <c r="E829" s="38"/>
    </row>
    <row r="830" spans="1:5" ht="12.75" customHeight="1">
      <c r="A830" s="38"/>
      <c r="B830" s="38"/>
      <c r="C830" s="38"/>
      <c r="D830" s="38"/>
      <c r="E830" s="38"/>
    </row>
    <row r="831" spans="1:5" ht="12.75" customHeight="1">
      <c r="A831" s="38"/>
      <c r="B831" s="38"/>
      <c r="C831" s="38"/>
      <c r="D831" s="38"/>
      <c r="E831" s="38"/>
    </row>
    <row r="832" spans="1:5" ht="12.75" customHeight="1">
      <c r="A832" s="38"/>
      <c r="B832" s="38"/>
      <c r="C832" s="38"/>
      <c r="D832" s="38"/>
      <c r="E832" s="38"/>
    </row>
    <row r="833" spans="1:5" ht="12.75" customHeight="1">
      <c r="A833" s="38"/>
      <c r="B833" s="38"/>
      <c r="C833" s="38"/>
      <c r="D833" s="38"/>
      <c r="E833" s="38"/>
    </row>
    <row r="834" spans="1:5" ht="12.75" customHeight="1">
      <c r="A834" s="38"/>
      <c r="B834" s="38"/>
      <c r="C834" s="38"/>
      <c r="D834" s="38"/>
      <c r="E834" s="38"/>
    </row>
    <row r="835" spans="1:5" ht="12.75" customHeight="1">
      <c r="A835" s="38"/>
      <c r="B835" s="38"/>
      <c r="C835" s="38"/>
      <c r="D835" s="38"/>
      <c r="E835" s="38"/>
    </row>
    <row r="836" spans="1:5" ht="12.75" customHeight="1">
      <c r="A836" s="38"/>
      <c r="B836" s="38"/>
      <c r="C836" s="38"/>
      <c r="D836" s="38"/>
      <c r="E836" s="38"/>
    </row>
    <row r="837" spans="1:5" ht="12.75" customHeight="1">
      <c r="A837" s="38"/>
      <c r="B837" s="38"/>
      <c r="C837" s="38"/>
      <c r="D837" s="38"/>
      <c r="E837" s="38"/>
    </row>
    <row r="838" spans="1:5" ht="12.75" customHeight="1">
      <c r="A838" s="38"/>
      <c r="B838" s="38"/>
      <c r="C838" s="38"/>
      <c r="D838" s="38"/>
      <c r="E838" s="38"/>
    </row>
    <row r="839" spans="1:5" ht="12.75" customHeight="1">
      <c r="A839" s="38"/>
      <c r="B839" s="38"/>
      <c r="C839" s="38"/>
      <c r="D839" s="38"/>
      <c r="E839" s="38"/>
    </row>
    <row r="840" spans="1:5" ht="12.75" customHeight="1">
      <c r="A840" s="38"/>
      <c r="B840" s="38"/>
      <c r="C840" s="38"/>
      <c r="D840" s="38"/>
      <c r="E840" s="38"/>
    </row>
    <row r="841" spans="1:5" ht="12.75" customHeight="1">
      <c r="A841" s="38"/>
      <c r="B841" s="38"/>
      <c r="C841" s="38"/>
      <c r="D841" s="38"/>
      <c r="E841" s="38"/>
    </row>
    <row r="842" spans="1:5" ht="12.75" customHeight="1">
      <c r="A842" s="38"/>
      <c r="B842" s="38"/>
      <c r="C842" s="38"/>
      <c r="D842" s="38"/>
      <c r="E842" s="38"/>
    </row>
    <row r="843" spans="1:5" ht="12.75" customHeight="1">
      <c r="A843" s="38"/>
      <c r="B843" s="38"/>
      <c r="C843" s="38"/>
      <c r="D843" s="38"/>
      <c r="E843" s="38"/>
    </row>
    <row r="844" spans="1:5" ht="12.75" customHeight="1">
      <c r="A844" s="38"/>
      <c r="B844" s="38"/>
      <c r="C844" s="38"/>
      <c r="D844" s="38"/>
      <c r="E844" s="38"/>
    </row>
    <row r="845" spans="1:5" ht="12.75" customHeight="1">
      <c r="A845" s="38"/>
      <c r="B845" s="38"/>
      <c r="C845" s="38"/>
      <c r="D845" s="38"/>
      <c r="E845" s="38"/>
    </row>
    <row r="846" spans="1:5" ht="12.75" customHeight="1">
      <c r="A846" s="38"/>
      <c r="B846" s="38"/>
      <c r="C846" s="38"/>
      <c r="D846" s="38"/>
      <c r="E846" s="38"/>
    </row>
    <row r="847" spans="1:5" ht="12.75" customHeight="1">
      <c r="A847" s="38"/>
      <c r="B847" s="38"/>
      <c r="C847" s="38"/>
      <c r="D847" s="38"/>
      <c r="E847" s="38"/>
    </row>
    <row r="848" spans="1:5" ht="12.75" customHeight="1">
      <c r="A848" s="38"/>
      <c r="B848" s="38"/>
      <c r="C848" s="38"/>
      <c r="D848" s="38"/>
      <c r="E848" s="38"/>
    </row>
    <row r="849" spans="1:5" ht="12.75" customHeight="1">
      <c r="A849" s="38"/>
      <c r="B849" s="38"/>
      <c r="C849" s="38"/>
      <c r="D849" s="38"/>
      <c r="E849" s="38"/>
    </row>
    <row r="850" spans="1:5" ht="12.75" customHeight="1">
      <c r="A850" s="38"/>
      <c r="B850" s="38"/>
      <c r="C850" s="38"/>
      <c r="D850" s="38"/>
      <c r="E850" s="38"/>
    </row>
    <row r="851" spans="1:5" ht="12.75" customHeight="1">
      <c r="A851" s="38"/>
      <c r="B851" s="38"/>
      <c r="C851" s="38"/>
      <c r="D851" s="38"/>
      <c r="E851" s="38"/>
    </row>
    <row r="852" spans="1:5" ht="12.75" customHeight="1">
      <c r="A852" s="38"/>
      <c r="B852" s="38"/>
      <c r="C852" s="38"/>
      <c r="D852" s="38"/>
      <c r="E852" s="38"/>
    </row>
    <row r="853" spans="1:5" ht="12.75" customHeight="1">
      <c r="A853" s="38"/>
      <c r="B853" s="38"/>
      <c r="C853" s="38"/>
      <c r="D853" s="38"/>
      <c r="E853" s="38"/>
    </row>
    <row r="854" spans="1:5" ht="12.75" customHeight="1">
      <c r="A854" s="38"/>
      <c r="B854" s="38"/>
      <c r="C854" s="38"/>
      <c r="D854" s="38"/>
      <c r="E854" s="38"/>
    </row>
    <row r="855" spans="1:5" ht="12.75" customHeight="1">
      <c r="A855" s="38"/>
      <c r="B855" s="38"/>
      <c r="C855" s="38"/>
      <c r="D855" s="38"/>
      <c r="E855" s="38"/>
    </row>
    <row r="856" spans="1:5" ht="12.75" customHeight="1">
      <c r="A856" s="38"/>
      <c r="B856" s="38"/>
      <c r="C856" s="38"/>
      <c r="D856" s="38"/>
      <c r="E856" s="38"/>
    </row>
    <row r="857" spans="1:5" ht="12.75" customHeight="1">
      <c r="A857" s="38"/>
      <c r="B857" s="38"/>
      <c r="C857" s="38"/>
      <c r="D857" s="38"/>
      <c r="E857" s="38"/>
    </row>
    <row r="858" spans="1:5" ht="12.75" customHeight="1">
      <c r="A858" s="38"/>
      <c r="B858" s="38"/>
      <c r="C858" s="38"/>
      <c r="D858" s="38"/>
      <c r="E858" s="38"/>
    </row>
    <row r="859" spans="1:5" ht="12.75" customHeight="1">
      <c r="A859" s="38"/>
      <c r="B859" s="38"/>
      <c r="C859" s="38"/>
      <c r="D859" s="38"/>
      <c r="E859" s="38"/>
    </row>
    <row r="860" spans="1:5" ht="12.75" customHeight="1">
      <c r="A860" s="38"/>
      <c r="B860" s="38"/>
      <c r="C860" s="38"/>
      <c r="D860" s="38"/>
      <c r="E860" s="38"/>
    </row>
    <row r="861" spans="1:5" ht="12.75" customHeight="1">
      <c r="A861" s="38"/>
      <c r="B861" s="38"/>
      <c r="C861" s="38"/>
      <c r="D861" s="38"/>
      <c r="E861" s="38"/>
    </row>
    <row r="862" spans="1:5" ht="12.75" customHeight="1">
      <c r="A862" s="38"/>
      <c r="B862" s="38"/>
      <c r="C862" s="38"/>
      <c r="D862" s="38"/>
      <c r="E862" s="38"/>
    </row>
    <row r="863" spans="1:5" ht="12.75" customHeight="1">
      <c r="A863" s="38"/>
      <c r="B863" s="38"/>
      <c r="C863" s="38"/>
      <c r="D863" s="38"/>
      <c r="E863" s="38"/>
    </row>
    <row r="864" spans="1:5" ht="12.75" customHeight="1">
      <c r="A864" s="38"/>
      <c r="B864" s="38"/>
      <c r="C864" s="38"/>
      <c r="D864" s="38"/>
      <c r="E864" s="38"/>
    </row>
    <row r="865" spans="1:5" ht="12.75" customHeight="1">
      <c r="A865" s="38"/>
      <c r="B865" s="38"/>
      <c r="C865" s="38"/>
      <c r="D865" s="38"/>
      <c r="E865" s="38"/>
    </row>
    <row r="866" spans="1:5" ht="12.75" customHeight="1">
      <c r="A866" s="38"/>
      <c r="B866" s="38"/>
      <c r="C866" s="38"/>
      <c r="D866" s="38"/>
      <c r="E866" s="38"/>
    </row>
    <row r="867" spans="1:5" ht="12.75" customHeight="1">
      <c r="A867" s="38"/>
      <c r="B867" s="38"/>
      <c r="C867" s="38"/>
      <c r="D867" s="38"/>
      <c r="E867" s="38"/>
    </row>
    <row r="868" spans="1:5" ht="12.75" customHeight="1">
      <c r="A868" s="38"/>
      <c r="B868" s="38"/>
      <c r="C868" s="38"/>
      <c r="D868" s="38"/>
      <c r="E868" s="38"/>
    </row>
    <row r="869" spans="1:5" ht="12.75" customHeight="1">
      <c r="A869" s="38"/>
      <c r="B869" s="38"/>
      <c r="C869" s="38"/>
      <c r="D869" s="38"/>
      <c r="E869" s="38"/>
    </row>
    <row r="870" spans="1:5" ht="12.75" customHeight="1">
      <c r="A870" s="38"/>
      <c r="B870" s="38"/>
      <c r="C870" s="38"/>
      <c r="D870" s="38"/>
      <c r="E870" s="38"/>
    </row>
    <row r="871" spans="1:5" ht="12.75" customHeight="1">
      <c r="A871" s="38"/>
      <c r="B871" s="38"/>
      <c r="C871" s="38"/>
      <c r="D871" s="38"/>
      <c r="E871" s="38"/>
    </row>
    <row r="872" spans="1:5" ht="12.75" customHeight="1">
      <c r="A872" s="38"/>
      <c r="B872" s="38"/>
      <c r="C872" s="38"/>
      <c r="D872" s="38"/>
      <c r="E872" s="38"/>
    </row>
    <row r="873" spans="1:5" ht="12.75" customHeight="1">
      <c r="A873" s="38"/>
      <c r="B873" s="38"/>
      <c r="C873" s="38"/>
      <c r="D873" s="38"/>
      <c r="E873" s="38"/>
    </row>
    <row r="874" spans="1:5" ht="12.75" customHeight="1">
      <c r="A874" s="38"/>
      <c r="B874" s="38"/>
      <c r="C874" s="38"/>
      <c r="D874" s="38"/>
      <c r="E874" s="38"/>
    </row>
    <row r="875" spans="1:5" ht="12.75" customHeight="1">
      <c r="A875" s="38"/>
      <c r="B875" s="38"/>
      <c r="C875" s="38"/>
      <c r="D875" s="38"/>
      <c r="E875" s="38"/>
    </row>
    <row r="876" spans="1:5" ht="12.75" customHeight="1">
      <c r="A876" s="38"/>
      <c r="B876" s="38"/>
      <c r="C876" s="38"/>
      <c r="D876" s="38"/>
      <c r="E876" s="38"/>
    </row>
    <row r="877" spans="1:5" ht="12.75" customHeight="1">
      <c r="A877" s="38"/>
      <c r="B877" s="38"/>
      <c r="C877" s="38"/>
      <c r="D877" s="38"/>
      <c r="E877" s="38"/>
    </row>
    <row r="878" spans="1:5" ht="12.75" customHeight="1">
      <c r="A878" s="38"/>
      <c r="B878" s="38"/>
      <c r="C878" s="38"/>
      <c r="D878" s="38"/>
      <c r="E878" s="38"/>
    </row>
    <row r="879" spans="1:5" ht="12.75" customHeight="1">
      <c r="A879" s="38"/>
      <c r="B879" s="38"/>
      <c r="C879" s="38"/>
      <c r="D879" s="38"/>
      <c r="E879" s="38"/>
    </row>
    <row r="880" spans="1:5" ht="12.75" customHeight="1">
      <c r="A880" s="38"/>
      <c r="B880" s="38"/>
      <c r="C880" s="38"/>
      <c r="D880" s="38"/>
      <c r="E880" s="38"/>
    </row>
    <row r="881" spans="1:5" ht="12.75" customHeight="1">
      <c r="A881" s="38"/>
      <c r="B881" s="38"/>
      <c r="C881" s="38"/>
      <c r="D881" s="38"/>
      <c r="E881" s="38"/>
    </row>
    <row r="882" spans="1:5" ht="12.75" customHeight="1">
      <c r="A882" s="38"/>
      <c r="B882" s="38"/>
      <c r="C882" s="38"/>
      <c r="D882" s="38"/>
      <c r="E882" s="38"/>
    </row>
    <row r="883" spans="1:5" ht="12.75" customHeight="1">
      <c r="A883" s="38"/>
      <c r="B883" s="38"/>
      <c r="C883" s="38"/>
      <c r="D883" s="38"/>
      <c r="E883" s="38"/>
    </row>
    <row r="884" spans="1:5" ht="12.75" customHeight="1">
      <c r="A884" s="38"/>
      <c r="B884" s="38"/>
      <c r="C884" s="38"/>
      <c r="D884" s="38"/>
      <c r="E884" s="38"/>
    </row>
    <row r="885" spans="1:5" ht="12.75" customHeight="1">
      <c r="A885" s="38"/>
      <c r="B885" s="38"/>
      <c r="C885" s="38"/>
      <c r="D885" s="38"/>
      <c r="E885" s="38"/>
    </row>
    <row r="886" spans="1:5" ht="12.75" customHeight="1">
      <c r="A886" s="38"/>
      <c r="B886" s="38"/>
      <c r="C886" s="38"/>
      <c r="D886" s="38"/>
      <c r="E886" s="38"/>
    </row>
    <row r="887" spans="1:5" ht="12.75" customHeight="1">
      <c r="A887" s="38"/>
      <c r="B887" s="38"/>
      <c r="C887" s="38"/>
      <c r="D887" s="38"/>
      <c r="E887" s="38"/>
    </row>
    <row r="888" spans="1:5" ht="12.75" customHeight="1">
      <c r="A888" s="38"/>
      <c r="B888" s="38"/>
      <c r="C888" s="38"/>
      <c r="D888" s="38"/>
      <c r="E888" s="38"/>
    </row>
    <row r="889" spans="1:5" ht="12.75" customHeight="1">
      <c r="A889" s="38"/>
      <c r="B889" s="38"/>
      <c r="C889" s="38"/>
      <c r="D889" s="38"/>
      <c r="E889" s="38"/>
    </row>
    <row r="890" spans="1:5" ht="12.75" customHeight="1">
      <c r="A890" s="38"/>
      <c r="B890" s="38"/>
      <c r="C890" s="38"/>
      <c r="D890" s="38"/>
      <c r="E890" s="38"/>
    </row>
    <row r="891" spans="1:5" ht="12.75" customHeight="1">
      <c r="A891" s="38"/>
      <c r="B891" s="38"/>
      <c r="C891" s="38"/>
      <c r="D891" s="38"/>
      <c r="E891" s="38"/>
    </row>
    <row r="892" spans="1:5" ht="12.75" customHeight="1">
      <c r="A892" s="38"/>
      <c r="B892" s="38"/>
      <c r="C892" s="38"/>
      <c r="D892" s="38"/>
      <c r="E892" s="38"/>
    </row>
    <row r="893" spans="1:5" ht="12.75" customHeight="1">
      <c r="A893" s="38"/>
      <c r="B893" s="38"/>
      <c r="C893" s="38"/>
      <c r="D893" s="38"/>
      <c r="E893" s="38"/>
    </row>
    <row r="894" spans="1:5" ht="12.75" customHeight="1">
      <c r="A894" s="38"/>
      <c r="B894" s="38"/>
      <c r="C894" s="38"/>
      <c r="D894" s="38"/>
      <c r="E894" s="38"/>
    </row>
    <row r="895" spans="1:5" ht="12.75" customHeight="1">
      <c r="A895" s="38"/>
      <c r="B895" s="38"/>
      <c r="C895" s="38"/>
      <c r="D895" s="38"/>
      <c r="E895" s="38"/>
    </row>
    <row r="896" spans="1:5" ht="12.75" customHeight="1">
      <c r="A896" s="38"/>
      <c r="B896" s="38"/>
      <c r="C896" s="38"/>
      <c r="D896" s="38"/>
      <c r="E896" s="38"/>
    </row>
    <row r="897" spans="1:5" ht="12.75" customHeight="1">
      <c r="A897" s="38"/>
      <c r="B897" s="38"/>
      <c r="C897" s="38"/>
      <c r="D897" s="38"/>
      <c r="E897" s="38"/>
    </row>
    <row r="898" spans="1:5" ht="12.75" customHeight="1">
      <c r="A898" s="38"/>
      <c r="B898" s="38"/>
      <c r="C898" s="38"/>
      <c r="D898" s="38"/>
      <c r="E898" s="38"/>
    </row>
    <row r="899" spans="1:5" ht="12.75" customHeight="1">
      <c r="A899" s="38"/>
      <c r="B899" s="38"/>
      <c r="C899" s="38"/>
      <c r="D899" s="38"/>
      <c r="E899" s="38"/>
    </row>
    <row r="900" spans="1:5" ht="12.75" customHeight="1">
      <c r="A900" s="38"/>
      <c r="B900" s="38"/>
      <c r="C900" s="38"/>
      <c r="D900" s="38"/>
      <c r="E900" s="38"/>
    </row>
    <row r="901" spans="1:5" ht="12.75" customHeight="1">
      <c r="A901" s="38"/>
      <c r="B901" s="38"/>
      <c r="C901" s="38"/>
      <c r="D901" s="38"/>
      <c r="E901" s="38"/>
    </row>
    <row r="902" spans="1:5" ht="12.75" customHeight="1">
      <c r="A902" s="38"/>
      <c r="B902" s="38"/>
      <c r="C902" s="38"/>
      <c r="D902" s="38"/>
      <c r="E902" s="38"/>
    </row>
    <row r="903" spans="1:5" ht="12.75" customHeight="1">
      <c r="A903" s="38"/>
      <c r="B903" s="38"/>
      <c r="C903" s="38"/>
      <c r="D903" s="38"/>
      <c r="E903" s="38"/>
    </row>
    <row r="904" spans="1:5" ht="12.75" customHeight="1">
      <c r="A904" s="38"/>
      <c r="B904" s="38"/>
      <c r="C904" s="38"/>
      <c r="D904" s="38"/>
      <c r="E904" s="38"/>
    </row>
    <row r="905" spans="1:5" ht="12.75" customHeight="1">
      <c r="A905" s="38"/>
      <c r="B905" s="38"/>
      <c r="C905" s="38"/>
      <c r="D905" s="38"/>
      <c r="E905" s="38"/>
    </row>
    <row r="906" spans="1:5" ht="12.75" customHeight="1">
      <c r="A906" s="38"/>
      <c r="B906" s="38"/>
      <c r="C906" s="38"/>
      <c r="D906" s="38"/>
      <c r="E906" s="38"/>
    </row>
    <row r="907" spans="1:5" ht="12.75" customHeight="1">
      <c r="A907" s="38"/>
      <c r="B907" s="38"/>
      <c r="C907" s="38"/>
      <c r="D907" s="38"/>
      <c r="E907" s="38"/>
    </row>
    <row r="908" spans="1:5" ht="12.75" customHeight="1">
      <c r="A908" s="38"/>
      <c r="B908" s="38"/>
      <c r="C908" s="38"/>
      <c r="D908" s="38"/>
      <c r="E908" s="38"/>
    </row>
    <row r="909" spans="1:5" ht="12.75" customHeight="1">
      <c r="A909" s="38"/>
      <c r="B909" s="38"/>
      <c r="C909" s="38"/>
      <c r="D909" s="38"/>
      <c r="E909" s="38"/>
    </row>
    <row r="910" spans="1:5" ht="12.75" customHeight="1">
      <c r="A910" s="38"/>
      <c r="B910" s="38"/>
      <c r="C910" s="38"/>
      <c r="D910" s="38"/>
      <c r="E910" s="38"/>
    </row>
    <row r="911" spans="1:5" ht="12.75" customHeight="1">
      <c r="A911" s="38"/>
      <c r="B911" s="38"/>
      <c r="C911" s="38"/>
      <c r="D911" s="38"/>
      <c r="E911" s="38"/>
    </row>
    <row r="912" spans="1:5" ht="12.75" customHeight="1">
      <c r="A912" s="38"/>
      <c r="B912" s="38"/>
      <c r="C912" s="38"/>
      <c r="D912" s="38"/>
      <c r="E912" s="38"/>
    </row>
    <row r="913" spans="1:5" ht="12.75" customHeight="1">
      <c r="A913" s="38"/>
      <c r="B913" s="38"/>
      <c r="C913" s="38"/>
      <c r="D913" s="38"/>
      <c r="E913" s="38"/>
    </row>
    <row r="914" spans="1:5" ht="12.75" customHeight="1">
      <c r="A914" s="38"/>
      <c r="B914" s="38"/>
      <c r="C914" s="38"/>
      <c r="D914" s="38"/>
      <c r="E914" s="38"/>
    </row>
    <row r="915" spans="1:5" ht="12.75" customHeight="1">
      <c r="A915" s="38"/>
      <c r="B915" s="38"/>
      <c r="C915" s="38"/>
      <c r="D915" s="38"/>
      <c r="E915" s="38"/>
    </row>
    <row r="916" spans="1:5" ht="12.75" customHeight="1">
      <c r="A916" s="38"/>
      <c r="B916" s="38"/>
      <c r="C916" s="38"/>
      <c r="D916" s="38"/>
      <c r="E916" s="38"/>
    </row>
    <row r="917" spans="1:5" ht="12.75" customHeight="1">
      <c r="A917" s="38"/>
      <c r="B917" s="38"/>
      <c r="C917" s="38"/>
      <c r="D917" s="38"/>
      <c r="E917" s="38"/>
    </row>
    <row r="918" spans="1:5" ht="12.75" customHeight="1">
      <c r="A918" s="38"/>
      <c r="B918" s="38"/>
      <c r="C918" s="38"/>
      <c r="D918" s="38"/>
      <c r="E918" s="38"/>
    </row>
    <row r="919" spans="1:5" ht="12.75" customHeight="1">
      <c r="A919" s="38"/>
      <c r="B919" s="38"/>
      <c r="C919" s="38"/>
      <c r="D919" s="38"/>
      <c r="E919" s="38"/>
    </row>
    <row r="920" spans="1:5" ht="12.75" customHeight="1">
      <c r="A920" s="38"/>
      <c r="B920" s="38"/>
      <c r="C920" s="38"/>
      <c r="D920" s="38"/>
      <c r="E920" s="38"/>
    </row>
    <row r="921" spans="1:5" ht="12.75" customHeight="1">
      <c r="A921" s="38"/>
      <c r="B921" s="38"/>
      <c r="C921" s="38"/>
      <c r="D921" s="38"/>
      <c r="E921" s="38"/>
    </row>
    <row r="922" spans="1:5" ht="12.75" customHeight="1">
      <c r="A922" s="38"/>
      <c r="B922" s="38"/>
      <c r="C922" s="38"/>
      <c r="D922" s="38"/>
      <c r="E922" s="38"/>
    </row>
    <row r="923" spans="1:5" ht="12.75" customHeight="1">
      <c r="A923" s="38"/>
      <c r="B923" s="38"/>
      <c r="C923" s="38"/>
      <c r="D923" s="38"/>
      <c r="E923" s="38"/>
    </row>
    <row r="924" spans="1:5" ht="12.75" customHeight="1">
      <c r="A924" s="38"/>
      <c r="B924" s="38"/>
      <c r="C924" s="38"/>
      <c r="D924" s="38"/>
      <c r="E924" s="38"/>
    </row>
    <row r="925" spans="1:5" ht="12.75" customHeight="1">
      <c r="A925" s="38"/>
      <c r="B925" s="38"/>
      <c r="C925" s="38"/>
      <c r="D925" s="38"/>
      <c r="E925" s="38"/>
    </row>
    <row r="926" spans="1:5" ht="12.75" customHeight="1">
      <c r="A926" s="38"/>
      <c r="B926" s="38"/>
      <c r="C926" s="38"/>
      <c r="D926" s="38"/>
      <c r="E926" s="38"/>
    </row>
    <row r="927" spans="1:5" ht="12.75" customHeight="1">
      <c r="A927" s="38"/>
      <c r="B927" s="38"/>
      <c r="C927" s="38"/>
      <c r="D927" s="38"/>
      <c r="E927" s="38"/>
    </row>
    <row r="928" spans="1:5" ht="12.75" customHeight="1">
      <c r="A928" s="38"/>
      <c r="B928" s="38"/>
      <c r="C928" s="38"/>
      <c r="D928" s="38"/>
      <c r="E928" s="38"/>
    </row>
    <row r="929" spans="1:5" ht="12.75" customHeight="1">
      <c r="A929" s="38"/>
      <c r="B929" s="38"/>
      <c r="C929" s="38"/>
      <c r="D929" s="38"/>
      <c r="E929" s="38"/>
    </row>
    <row r="930" spans="1:5" ht="12.75" customHeight="1">
      <c r="A930" s="38"/>
      <c r="B930" s="38"/>
      <c r="C930" s="38"/>
      <c r="D930" s="38"/>
      <c r="E930" s="38"/>
    </row>
    <row r="931" spans="1:5" ht="12.75" customHeight="1">
      <c r="A931" s="38"/>
      <c r="B931" s="38"/>
      <c r="C931" s="38"/>
      <c r="D931" s="38"/>
      <c r="E931" s="38"/>
    </row>
    <row r="932" spans="1:5" ht="12.75" customHeight="1">
      <c r="A932" s="38"/>
      <c r="B932" s="38"/>
      <c r="C932" s="38"/>
      <c r="D932" s="38"/>
      <c r="E932" s="38"/>
    </row>
    <row r="933" spans="1:5" ht="12.75" customHeight="1">
      <c r="A933" s="38"/>
      <c r="B933" s="38"/>
      <c r="C933" s="38"/>
      <c r="D933" s="38"/>
      <c r="E933" s="38"/>
    </row>
    <row r="934" spans="1:5" ht="12.75" customHeight="1">
      <c r="A934" s="38"/>
      <c r="B934" s="38"/>
      <c r="C934" s="38"/>
      <c r="D934" s="38"/>
      <c r="E934" s="38"/>
    </row>
    <row r="935" spans="1:5" ht="12.75" customHeight="1">
      <c r="A935" s="38"/>
      <c r="B935" s="38"/>
      <c r="C935" s="38"/>
      <c r="D935" s="38"/>
      <c r="E935" s="38"/>
    </row>
    <row r="936" spans="1:5" ht="12.75" customHeight="1">
      <c r="A936" s="38"/>
      <c r="B936" s="38"/>
      <c r="C936" s="38"/>
      <c r="D936" s="38"/>
      <c r="E936" s="38"/>
    </row>
    <row r="937" spans="1:5" ht="12.75" customHeight="1">
      <c r="A937" s="38"/>
      <c r="B937" s="38"/>
      <c r="C937" s="38"/>
      <c r="D937" s="38"/>
      <c r="E937" s="38"/>
    </row>
    <row r="938" spans="1:5" ht="12.75" customHeight="1">
      <c r="A938" s="38"/>
      <c r="B938" s="38"/>
      <c r="C938" s="38"/>
      <c r="D938" s="38"/>
      <c r="E938" s="38"/>
    </row>
    <row r="939" spans="1:5" ht="12.75" customHeight="1">
      <c r="A939" s="38"/>
      <c r="B939" s="38"/>
      <c r="C939" s="38"/>
      <c r="D939" s="38"/>
      <c r="E939" s="38"/>
    </row>
    <row r="940" spans="1:5" ht="12.75" customHeight="1">
      <c r="A940" s="38"/>
      <c r="B940" s="38"/>
      <c r="C940" s="38"/>
      <c r="D940" s="38"/>
      <c r="E940" s="38"/>
    </row>
    <row r="941" spans="1:5" ht="12.75" customHeight="1">
      <c r="A941" s="38"/>
      <c r="B941" s="38"/>
      <c r="C941" s="38"/>
      <c r="D941" s="38"/>
      <c r="E941" s="38"/>
    </row>
    <row r="942" spans="1:5" ht="12.75" customHeight="1">
      <c r="A942" s="38"/>
      <c r="B942" s="38"/>
      <c r="C942" s="38"/>
      <c r="D942" s="38"/>
      <c r="E942" s="38"/>
    </row>
    <row r="943" spans="1:5" ht="12.75" customHeight="1">
      <c r="A943" s="38"/>
      <c r="B943" s="38"/>
      <c r="C943" s="38"/>
      <c r="D943" s="38"/>
      <c r="E943" s="38"/>
    </row>
    <row r="944" spans="1:5" ht="12.75" customHeight="1">
      <c r="A944" s="38"/>
      <c r="B944" s="38"/>
      <c r="C944" s="38"/>
      <c r="D944" s="38"/>
      <c r="E944" s="38"/>
    </row>
    <row r="945" spans="1:5" ht="12.75" customHeight="1">
      <c r="A945" s="38"/>
      <c r="B945" s="38"/>
      <c r="C945" s="38"/>
      <c r="D945" s="38"/>
      <c r="E945" s="38"/>
    </row>
    <row r="946" spans="1:5" ht="12.75" customHeight="1">
      <c r="A946" s="38"/>
      <c r="B946" s="38"/>
      <c r="C946" s="38"/>
      <c r="D946" s="38"/>
      <c r="E946" s="38"/>
    </row>
    <row r="947" spans="1:5" ht="12.75" customHeight="1">
      <c r="A947" s="38"/>
      <c r="B947" s="38"/>
      <c r="C947" s="38"/>
      <c r="D947" s="38"/>
      <c r="E947" s="38"/>
    </row>
    <row r="948" spans="1:5" ht="12.75" customHeight="1">
      <c r="A948" s="38"/>
      <c r="B948" s="38"/>
      <c r="C948" s="38"/>
      <c r="D948" s="38"/>
      <c r="E948" s="38"/>
    </row>
    <row r="949" spans="1:5" ht="12.75" customHeight="1">
      <c r="A949" s="38"/>
      <c r="B949" s="38"/>
      <c r="C949" s="38"/>
      <c r="D949" s="38"/>
      <c r="E949" s="38"/>
    </row>
    <row r="950" spans="1:5" ht="12.75" customHeight="1">
      <c r="A950" s="38"/>
      <c r="B950" s="38"/>
      <c r="C950" s="38"/>
      <c r="D950" s="38"/>
      <c r="E950" s="38"/>
    </row>
    <row r="951" spans="1:5" ht="12.75" customHeight="1">
      <c r="A951" s="38"/>
      <c r="B951" s="38"/>
      <c r="C951" s="38"/>
      <c r="D951" s="38"/>
      <c r="E951" s="38"/>
    </row>
    <row r="952" spans="1:5" ht="12.75" customHeight="1">
      <c r="A952" s="38"/>
      <c r="B952" s="38"/>
      <c r="C952" s="38"/>
      <c r="D952" s="38"/>
      <c r="E952" s="38"/>
    </row>
    <row r="953" spans="1:5" ht="12.75" customHeight="1">
      <c r="A953" s="38"/>
      <c r="B953" s="38"/>
      <c r="C953" s="38"/>
      <c r="D953" s="38"/>
      <c r="E953" s="38"/>
    </row>
    <row r="954" spans="1:5" ht="12.75" customHeight="1">
      <c r="A954" s="38"/>
      <c r="B954" s="38"/>
      <c r="C954" s="38"/>
      <c r="D954" s="38"/>
      <c r="E954" s="38"/>
    </row>
    <row r="955" spans="1:5" ht="12.75" customHeight="1">
      <c r="A955" s="38"/>
      <c r="B955" s="38"/>
      <c r="C955" s="38"/>
      <c r="D955" s="38"/>
      <c r="E955" s="38"/>
    </row>
    <row r="956" spans="1:5" ht="12.75" customHeight="1">
      <c r="A956" s="38"/>
      <c r="B956" s="38"/>
      <c r="C956" s="38"/>
      <c r="D956" s="38"/>
      <c r="E956" s="38"/>
    </row>
    <row r="957" spans="1:5" ht="12.75" customHeight="1">
      <c r="A957" s="38"/>
      <c r="B957" s="38"/>
      <c r="C957" s="38"/>
      <c r="D957" s="38"/>
      <c r="E957" s="38"/>
    </row>
    <row r="958" spans="1:5" ht="12.75" customHeight="1">
      <c r="A958" s="38"/>
      <c r="B958" s="38"/>
      <c r="C958" s="38"/>
      <c r="D958" s="38"/>
      <c r="E958" s="38"/>
    </row>
    <row r="959" spans="1:5" ht="12.75" customHeight="1">
      <c r="A959" s="38"/>
      <c r="B959" s="38"/>
      <c r="C959" s="38"/>
      <c r="D959" s="38"/>
      <c r="E959" s="38"/>
    </row>
    <row r="960" spans="1:5" ht="12.75" customHeight="1">
      <c r="A960" s="38"/>
      <c r="B960" s="38"/>
      <c r="C960" s="38"/>
      <c r="D960" s="38"/>
      <c r="E960" s="38"/>
    </row>
    <row r="961" spans="1:5" ht="12.75" customHeight="1">
      <c r="A961" s="38"/>
      <c r="B961" s="38"/>
      <c r="C961" s="38"/>
      <c r="D961" s="38"/>
      <c r="E961" s="38"/>
    </row>
    <row r="962" spans="1:5" ht="12.75" customHeight="1">
      <c r="A962" s="38"/>
      <c r="B962" s="38"/>
      <c r="C962" s="38"/>
      <c r="D962" s="38"/>
      <c r="E962" s="38"/>
    </row>
    <row r="963" spans="1:5" ht="12.75" customHeight="1">
      <c r="A963" s="38"/>
      <c r="B963" s="38"/>
      <c r="C963" s="38"/>
      <c r="D963" s="38"/>
      <c r="E963" s="38"/>
    </row>
    <row r="964" spans="1:5" ht="12.75" customHeight="1">
      <c r="A964" s="38"/>
      <c r="B964" s="38"/>
      <c r="C964" s="38"/>
      <c r="D964" s="38"/>
      <c r="E964" s="38"/>
    </row>
    <row r="965" spans="1:5" ht="12.75" customHeight="1">
      <c r="A965" s="38"/>
      <c r="B965" s="38"/>
      <c r="C965" s="38"/>
      <c r="D965" s="38"/>
      <c r="E965" s="38"/>
    </row>
    <row r="966" spans="1:5" ht="12.75" customHeight="1">
      <c r="A966" s="38"/>
      <c r="B966" s="38"/>
      <c r="C966" s="38"/>
      <c r="D966" s="38"/>
      <c r="E966" s="38"/>
    </row>
    <row r="967" spans="1:5" ht="12.75" customHeight="1">
      <c r="A967" s="38"/>
      <c r="B967" s="38"/>
      <c r="C967" s="38"/>
      <c r="D967" s="38"/>
      <c r="E967" s="38"/>
    </row>
    <row r="968" spans="1:5" ht="12.75" customHeight="1">
      <c r="A968" s="38"/>
      <c r="B968" s="38"/>
      <c r="C968" s="38"/>
      <c r="D968" s="38"/>
      <c r="E968" s="38"/>
    </row>
    <row r="969" spans="1:5" ht="12.75" customHeight="1">
      <c r="A969" s="38"/>
      <c r="B969" s="38"/>
      <c r="C969" s="38"/>
      <c r="D969" s="38"/>
      <c r="E969" s="38"/>
    </row>
    <row r="970" spans="1:5" ht="12.75" customHeight="1">
      <c r="A970" s="38"/>
      <c r="B970" s="38"/>
      <c r="C970" s="38"/>
      <c r="D970" s="38"/>
      <c r="E970" s="38"/>
    </row>
    <row r="971" spans="1:5" ht="12.75" customHeight="1">
      <c r="A971" s="38"/>
      <c r="B971" s="38"/>
      <c r="C971" s="38"/>
      <c r="D971" s="38"/>
      <c r="E971" s="38"/>
    </row>
    <row r="972" spans="1:5" ht="12.75" customHeight="1">
      <c r="A972" s="38"/>
      <c r="B972" s="38"/>
      <c r="C972" s="38"/>
      <c r="D972" s="38"/>
      <c r="E972" s="38"/>
    </row>
    <row r="973" spans="1:5" ht="12.75" customHeight="1">
      <c r="A973" s="38"/>
      <c r="B973" s="38"/>
      <c r="C973" s="38"/>
      <c r="D973" s="38"/>
      <c r="E973" s="38"/>
    </row>
    <row r="974" spans="1:5" ht="12.75" customHeight="1">
      <c r="A974" s="38"/>
      <c r="B974" s="38"/>
      <c r="C974" s="38"/>
      <c r="D974" s="38"/>
      <c r="E974" s="38"/>
    </row>
    <row r="975" spans="1:5" ht="12.75" customHeight="1">
      <c r="A975" s="38"/>
      <c r="B975" s="38"/>
      <c r="C975" s="38"/>
      <c r="D975" s="38"/>
      <c r="E975" s="38"/>
    </row>
    <row r="976" spans="1:5" ht="12.75" customHeight="1">
      <c r="A976" s="38"/>
      <c r="B976" s="38"/>
      <c r="C976" s="38"/>
      <c r="D976" s="38"/>
      <c r="E976" s="38"/>
    </row>
    <row r="977" spans="1:5" ht="12.75" customHeight="1">
      <c r="A977" s="38"/>
      <c r="B977" s="38"/>
      <c r="C977" s="38"/>
      <c r="D977" s="38"/>
      <c r="E977" s="38"/>
    </row>
    <row r="978" spans="1:5" ht="12.75" customHeight="1">
      <c r="A978" s="38"/>
      <c r="B978" s="38"/>
      <c r="C978" s="38"/>
      <c r="D978" s="38"/>
      <c r="E978" s="38"/>
    </row>
    <row r="979" spans="1:5" ht="12.75" customHeight="1">
      <c r="A979" s="38"/>
      <c r="B979" s="38"/>
      <c r="C979" s="38"/>
      <c r="D979" s="38"/>
      <c r="E979" s="38"/>
    </row>
    <row r="980" spans="1:5" ht="12.75" customHeight="1">
      <c r="A980" s="38"/>
      <c r="B980" s="38"/>
      <c r="C980" s="38"/>
      <c r="D980" s="38"/>
      <c r="E980" s="38"/>
    </row>
    <row r="981" spans="1:5" ht="12.75" customHeight="1">
      <c r="A981" s="38"/>
      <c r="B981" s="38"/>
      <c r="C981" s="38"/>
      <c r="D981" s="38"/>
      <c r="E981" s="38"/>
    </row>
    <row r="982" spans="1:5" ht="12.75" customHeight="1">
      <c r="A982" s="38"/>
      <c r="B982" s="38"/>
      <c r="C982" s="38"/>
      <c r="D982" s="38"/>
      <c r="E982" s="38"/>
    </row>
    <row r="983" spans="1:5" ht="12.75" customHeight="1">
      <c r="A983" s="38"/>
      <c r="B983" s="38"/>
      <c r="C983" s="38"/>
      <c r="D983" s="38"/>
      <c r="E983" s="38"/>
    </row>
    <row r="984" spans="1:5" ht="12.75" customHeight="1">
      <c r="A984" s="38"/>
      <c r="B984" s="38"/>
      <c r="C984" s="38"/>
      <c r="D984" s="38"/>
      <c r="E984" s="38"/>
    </row>
    <row r="985" spans="1:5" ht="12.75" customHeight="1">
      <c r="A985" s="38"/>
      <c r="B985" s="38"/>
      <c r="C985" s="38"/>
      <c r="D985" s="38"/>
      <c r="E985" s="38"/>
    </row>
    <row r="986" spans="1:5" ht="12.75" customHeight="1">
      <c r="A986" s="38"/>
      <c r="B986" s="38"/>
      <c r="C986" s="38"/>
      <c r="D986" s="38"/>
      <c r="E986" s="38"/>
    </row>
    <row r="987" spans="1:5" ht="12.75" customHeight="1">
      <c r="A987" s="38"/>
      <c r="B987" s="38"/>
      <c r="C987" s="38"/>
      <c r="D987" s="38"/>
      <c r="E987" s="38"/>
    </row>
    <row r="988" spans="1:5" ht="12.75" customHeight="1">
      <c r="A988" s="38"/>
      <c r="B988" s="38"/>
      <c r="C988" s="38"/>
      <c r="D988" s="38"/>
      <c r="E988" s="38"/>
    </row>
    <row r="989" spans="1:5" ht="12.75" customHeight="1">
      <c r="A989" s="38"/>
      <c r="B989" s="38"/>
      <c r="C989" s="38"/>
      <c r="D989" s="38"/>
      <c r="E989" s="38"/>
    </row>
    <row r="990" spans="1:5" ht="12.75" customHeight="1">
      <c r="A990" s="38"/>
      <c r="B990" s="38"/>
      <c r="C990" s="38"/>
      <c r="D990" s="38"/>
      <c r="E990" s="38"/>
    </row>
    <row r="991" spans="1:5" ht="12.75" customHeight="1">
      <c r="A991" s="38"/>
      <c r="B991" s="38"/>
      <c r="C991" s="38"/>
      <c r="D991" s="38"/>
      <c r="E991" s="38"/>
    </row>
    <row r="992" spans="1:5" ht="12.75" customHeight="1">
      <c r="A992" s="38"/>
      <c r="B992" s="38"/>
      <c r="C992" s="38"/>
      <c r="D992" s="38"/>
      <c r="E992" s="38"/>
    </row>
    <row r="993" spans="1:5" ht="12.75" customHeight="1">
      <c r="A993" s="38"/>
      <c r="B993" s="38"/>
      <c r="C993" s="38"/>
      <c r="D993" s="38"/>
      <c r="E993" s="38"/>
    </row>
    <row r="994" spans="1:5" ht="12.75" customHeight="1">
      <c r="A994" s="38"/>
      <c r="B994" s="38"/>
      <c r="C994" s="38"/>
      <c r="D994" s="38"/>
      <c r="E994" s="38"/>
    </row>
    <row r="995" spans="1:5" ht="12.75" customHeight="1">
      <c r="A995" s="38"/>
      <c r="B995" s="38"/>
      <c r="C995" s="38"/>
      <c r="D995" s="38"/>
      <c r="E995" s="38"/>
    </row>
    <row r="996" spans="1:5" ht="12.75" customHeight="1">
      <c r="A996" s="38"/>
      <c r="B996" s="38"/>
      <c r="C996" s="38"/>
      <c r="D996" s="38"/>
      <c r="E996" s="38"/>
    </row>
    <row r="997" spans="1:5" ht="12.75" customHeight="1">
      <c r="A997" s="38"/>
      <c r="B997" s="38"/>
      <c r="C997" s="38"/>
      <c r="D997" s="38"/>
      <c r="E997" s="38"/>
    </row>
    <row r="998" spans="1:5" ht="12.75" customHeight="1">
      <c r="A998" s="38"/>
      <c r="C998" s="38"/>
      <c r="D998" s="38"/>
      <c r="E998" s="38"/>
    </row>
    <row r="999" spans="1:5" ht="12.75" customHeight="1"/>
    <row r="1000" spans="1:5" ht="12.7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744"/>
  <sheetViews>
    <sheetView workbookViewId="0"/>
  </sheetViews>
  <sheetFormatPr baseColWidth="10" defaultColWidth="12.5703125" defaultRowHeight="12.75"/>
  <cols>
    <col min="1" max="1" width="19.85546875" customWidth="1"/>
    <col min="2" max="2" width="14" customWidth="1"/>
    <col min="3" max="3" width="18.5703125" customWidth="1"/>
    <col min="4" max="4" width="15.42578125" customWidth="1"/>
    <col min="5" max="5" width="28.7109375" customWidth="1"/>
    <col min="6" max="6" width="16.140625" customWidth="1"/>
    <col min="7" max="7" width="30.7109375" customWidth="1"/>
    <col min="8" max="8" width="28.7109375" customWidth="1"/>
    <col min="9" max="9" width="14.42578125" customWidth="1"/>
    <col min="10" max="10" width="72.42578125" customWidth="1"/>
    <col min="11" max="11" width="23.42578125" customWidth="1"/>
    <col min="12" max="12" width="14.140625" customWidth="1"/>
    <col min="13" max="13" width="11.28515625" customWidth="1"/>
    <col min="14" max="14" width="16.7109375" customWidth="1"/>
    <col min="15" max="15" width="11.42578125" customWidth="1"/>
    <col min="16" max="16" width="48.7109375" customWidth="1"/>
    <col min="17" max="17" width="30.7109375" customWidth="1"/>
    <col min="19" max="19" width="14.7109375" customWidth="1"/>
  </cols>
  <sheetData>
    <row r="1" spans="1:25" ht="25.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  <c r="F1" s="6" t="s">
        <v>26</v>
      </c>
      <c r="G1" s="6" t="s">
        <v>27</v>
      </c>
      <c r="H1" s="6" t="s">
        <v>28</v>
      </c>
      <c r="I1" s="108" t="s">
        <v>29</v>
      </c>
      <c r="J1" s="106"/>
      <c r="K1" s="6" t="s">
        <v>30</v>
      </c>
      <c r="L1" s="6" t="s">
        <v>31</v>
      </c>
      <c r="M1" s="6" t="s">
        <v>32</v>
      </c>
      <c r="N1" s="6" t="s">
        <v>33</v>
      </c>
      <c r="O1" s="6" t="s">
        <v>34</v>
      </c>
      <c r="P1" s="6" t="s">
        <v>35</v>
      </c>
      <c r="Q1" s="13" t="s">
        <v>36</v>
      </c>
      <c r="R1" s="13" t="s">
        <v>37</v>
      </c>
      <c r="S1" s="13" t="s">
        <v>38</v>
      </c>
      <c r="T1" s="16"/>
      <c r="U1" s="16"/>
      <c r="V1" s="16"/>
      <c r="W1" s="16"/>
      <c r="X1" s="16"/>
      <c r="Y1" s="16"/>
    </row>
    <row r="2" spans="1:25" ht="180" customHeight="1">
      <c r="A2" s="20">
        <f>IF(Riesgos!A13="","",Riesgos!A13)</f>
        <v>46258</v>
      </c>
      <c r="B2" s="31" t="str">
        <f>IF(Riesgos!B13="","",Riesgos!B13)</f>
        <v>TEC-001</v>
      </c>
      <c r="C2" s="31" t="str">
        <f>IF(Riesgos!C13="","",Riesgos!C13)</f>
        <v>INTEGRACIÓN IA</v>
      </c>
      <c r="D2" s="31" t="str">
        <f>IF(Riesgos!D13="","",Riesgos!D13)</f>
        <v>TECNICO</v>
      </c>
      <c r="E2" s="36" t="str">
        <f>IF(Riesgos!E13="","",Riesgos!E13)</f>
        <v>Latencia alta, respuestas inconsistentes o caída del servicio de IA</v>
      </c>
      <c r="F2" s="31" t="str">
        <f>IF(Riesgos!F13="","",Riesgos!F13)</f>
        <v>Amenaza</v>
      </c>
      <c r="G2" s="41" t="str">
        <f>IF(Riesgos!G13="","",Riesgos!G13)</f>
        <v>Uso de una API de IA gratuita y externa, sin garantía de tiempos de respuesta, cuotas ni disponibilidad, y con resultados no deterministas.</v>
      </c>
      <c r="H2" s="41" t="str">
        <f>IF(Riesgos!H13="","",Riesgos!H13)</f>
        <v>El autocompletado y la revisión asistida de solicitudes se vuelven lentos o dejan de funcionar
(Objetivo 4)</v>
      </c>
      <c r="I2" s="105" t="str">
        <f>IF(Riesgos!I13="","",Riesgos!I13)</f>
        <v>Durante el registro y la revisión de solicitudes, debido a que el modelo de IA es un servicio gratuito externo, sus respuestas podrían demorar, ser incorrectas o fallar sin que el equipo pueda controlarlo.</v>
      </c>
      <c r="J2" s="106" t="str">
        <f>IF(Riesgos!J13="","",Riesgos!J13)</f>
        <v/>
      </c>
      <c r="K2" s="49" t="str">
        <f>IF(Riesgos!K13="","",Riesgos!K13)</f>
        <v>Alta</v>
      </c>
      <c r="L2" s="49" t="str">
        <f>IF(Riesgos!L13="","",Riesgos!L13)</f>
        <v>Medio</v>
      </c>
      <c r="M2" s="59">
        <v>6</v>
      </c>
      <c r="N2" s="64" t="str">
        <f>IF(Riesgos!N13="","",Riesgos!N13)</f>
        <v>Eduardo Kusar</v>
      </c>
      <c r="O2" s="67" t="str">
        <f>IF(Riesgos!O13="","",Riesgos!O13)</f>
        <v>Mitigar</v>
      </c>
      <c r="P2" s="67" t="str">
        <f>IF(Riesgos!P13="","",Riesgos!P13)</f>
        <v>Arquitectura asíncrona basada en eventos: el microservicio de IA se desacopla del flujo principal mediante una cola de mensajes, con tiempo máximo de espera y reintentos. Si el servicio se degrada, la solicitud continúa con validación manual por reglas. Forzar salida JSON estricta mediante el prompt y usar un modo simulación en las pruebas.</v>
      </c>
      <c r="Q2" s="70" t="str">
        <f>IF(Riesgos!Q13="","",Riesgos!Q13)</f>
        <v>Medir en cada sprint el tiempo de respuesta, las fallas del servicio y las sugerencias que el usuario debe corregir.</v>
      </c>
      <c r="R2" s="70" t="str">
        <f>IF(Riesgos!R13="","",Riesgos!R13)</f>
        <v>Por sprint</v>
      </c>
      <c r="S2" s="70" t="str">
        <f>IF(Riesgos!S13="","",Riesgos!S13)</f>
        <v>Equipo</v>
      </c>
      <c r="T2" s="16"/>
      <c r="U2" s="16"/>
      <c r="V2" s="16"/>
      <c r="W2" s="16"/>
      <c r="X2" s="16"/>
      <c r="Y2" s="16"/>
    </row>
    <row r="3" spans="1:25" ht="180" customHeight="1">
      <c r="A3" s="20">
        <f>IF(Riesgos!A12="","",Riesgos!A12)</f>
        <v>46293</v>
      </c>
      <c r="B3" s="31" t="str">
        <f>IF(Riesgos!B12="","",Riesgos!B12)</f>
        <v>GES-001</v>
      </c>
      <c r="C3" s="75" t="str">
        <f>IF(Riesgos!C12="","",Riesgos!C12)</f>
        <v>GESTIÓN DEL PROYECTO</v>
      </c>
      <c r="D3" s="31" t="str">
        <f>IF(Riesgos!D12="","",Riesgos!D12)</f>
        <v>GESTION</v>
      </c>
      <c r="E3" s="36" t="str">
        <f>IF(Riesgos!E12="","",Riesgos!E12)</f>
        <v>Aumento del alcance por nuevas solicitudes de la Product Owner</v>
      </c>
      <c r="F3" s="31" t="str">
        <f>IF(Riesgos!F12="","",Riesgos!F12)</f>
        <v>Amenaza</v>
      </c>
      <c r="G3" s="41" t="str">
        <f>IF(Riesgos!G12="","",Riesgos!G12)</f>
        <v>Retroalimentación continua de la Product Owner que puede agregar requisitos a funcionalidades ya planificadas.</v>
      </c>
      <c r="H3" s="41" t="str">
        <f>IF(Riesgos!H12="","",Riesgos!H12)</f>
        <v>Atraso del Sprint 3 y del Hito 4, con menos tiempo para pruebas y documentación
(Objetivos 1, 3 y 6)</v>
      </c>
      <c r="I3" s="105" t="str">
        <f>IF(Riesgos!I12="","",Riesgos!I12)</f>
        <v>Durante las reuniones con la Product Owner, debido a nuevas solicitudes sobre funcionalidades ya planificadas, el equipo podría comprometer más trabajo del que cabe en el Sprint 3.</v>
      </c>
      <c r="J3" s="106" t="str">
        <f>IF(Riesgos!J12="","",Riesgos!J12)</f>
        <v/>
      </c>
      <c r="K3" s="49" t="str">
        <f>IF(Riesgos!K12="","",Riesgos!K12)</f>
        <v>Media</v>
      </c>
      <c r="L3" s="49" t="str">
        <f>IF(Riesgos!L12="","",Riesgos!L12)</f>
        <v>Medio</v>
      </c>
      <c r="M3" s="81">
        <v>4</v>
      </c>
      <c r="N3" s="83" t="str">
        <f>IF(Riesgos!N12="","",Riesgos!N12)</f>
        <v>Nicolás Vidal</v>
      </c>
      <c r="O3" s="86" t="str">
        <f>IF(Riesgos!O12="","",Riesgos!O12)</f>
        <v>Mitigar</v>
      </c>
      <c r="P3" s="86" t="str">
        <f>IF(Riesgos!P12="","",Riesgos!P12)</f>
        <v>Acordar con la Product Owner que el Product Backlog inicial es el alcance; evaluar y negociar cada cambio, registrarlo en actas y no modificar el Sprint Backlog una vez iniciado el sprint.</v>
      </c>
      <c r="Q3" s="70" t="str">
        <f>IF(Riesgos!Q12="","",Riesgos!Q12)</f>
        <v>Revisar en la reunión semanal los cambios pedidos versus el Sprint Backlog comprometido.</v>
      </c>
      <c r="R3" s="70" t="str">
        <f>IF(Riesgos!R12="","",Riesgos!R12)</f>
        <v>Semanal</v>
      </c>
      <c r="S3" s="70" t="str">
        <f>IF(Riesgos!S12="","",Riesgos!S12)</f>
        <v>Product Owner</v>
      </c>
      <c r="T3" s="16"/>
      <c r="U3" s="16"/>
      <c r="V3" s="16"/>
      <c r="W3" s="16"/>
      <c r="X3" s="16"/>
      <c r="Y3" s="16"/>
    </row>
    <row r="4" spans="1:25" ht="180" customHeight="1">
      <c r="A4" s="20">
        <f>IF(Riesgos!A14="","",Riesgos!A14)</f>
        <v>46258</v>
      </c>
      <c r="B4" s="75" t="str">
        <f>IF(Riesgos!B14="","",Riesgos!B14)</f>
        <v>EXT-001</v>
      </c>
      <c r="C4" s="75" t="str">
        <f>IF(Riesgos!C14="","",Riesgos!C14)</f>
        <v>PRUEBAS Y CALIDAD</v>
      </c>
      <c r="D4" s="31" t="str">
        <f>IF(Riesgos!D14="","",Riesgos!D14)</f>
        <v>EXTERNO</v>
      </c>
      <c r="E4" s="36" t="str">
        <f>IF(Riesgos!E14="","",Riesgos!E14)</f>
        <v>Falta de documentos reales de Masterbase para probar la IA y las planillas</v>
      </c>
      <c r="F4" s="31" t="str">
        <f>IF(Riesgos!F14="","",Riesgos!F14)</f>
        <v>Amenaza</v>
      </c>
      <c r="G4" s="41" t="str">
        <f>IF(Riesgos!G14="","",Riesgos!G14)</f>
        <v>Los documentos de ejemplo de los procesos dependen de que la Product Owner los entregue.</v>
      </c>
      <c r="H4" s="41" t="str">
        <f>IF(Riesgos!H14="","",Riesgos!H14)</f>
        <v>Pruebas poco representativas y atraso en la validación de las historias de IA y planillas
(Objetivos 4 y 5)</v>
      </c>
      <c r="I4" s="105" t="str">
        <f>IF(Riesgos!I14="","",Riesgos!I14)</f>
        <v>Durante el Sprint 3, si no se cuenta con documentos reales del cliente, las pruebas de IA y planillas podrían hacerse con datos que no reflejan los casos reales.</v>
      </c>
      <c r="J4" s="106" t="str">
        <f>IF(Riesgos!J14="","",Riesgos!J14)</f>
        <v/>
      </c>
      <c r="K4" s="49" t="str">
        <f>IF(Riesgos!K14="","",Riesgos!K14)</f>
        <v>Media</v>
      </c>
      <c r="L4" s="49" t="str">
        <f>IF(Riesgos!L14="","",Riesgos!L14)</f>
        <v>Medio</v>
      </c>
      <c r="M4" s="81">
        <v>4</v>
      </c>
      <c r="N4" s="83" t="str">
        <f>IF(Riesgos!N14="","",Riesgos!N14)</f>
        <v>Kevin Soto</v>
      </c>
      <c r="O4" s="86" t="str">
        <f>IF(Riesgos!O14="","",Riesgos!O14)</f>
        <v>Mitigar</v>
      </c>
      <c r="P4" s="86" t="str">
        <f>IF(Riesgos!P14="","",Riesgos!P14)</f>
        <v>Solicitar los documentos a la Product Owner antes del Sprint 3 y preparar documentos de prueba ficticios como respaldo.</v>
      </c>
      <c r="Q4" s="70" t="str">
        <f>IF(Riesgos!Q14="","",Riesgos!Q14)</f>
        <v>Verificar en la reunión semanal si llegaron los documentos comprometidos.</v>
      </c>
      <c r="R4" s="70" t="str">
        <f>IF(Riesgos!R14="","",Riesgos!R14)</f>
        <v>Semanal</v>
      </c>
      <c r="S4" s="70" t="str">
        <f>IF(Riesgos!S14="","",Riesgos!S14)</f>
        <v>Product Owner</v>
      </c>
      <c r="T4" s="16"/>
      <c r="U4" s="16"/>
      <c r="V4" s="16"/>
      <c r="W4" s="16"/>
      <c r="X4" s="16"/>
      <c r="Y4" s="16"/>
    </row>
    <row r="5" spans="1:25" ht="180" customHeight="1">
      <c r="A5" s="20">
        <f>IF(Riesgos!A15="","",Riesgos!A15)</f>
        <v>46258</v>
      </c>
      <c r="B5" s="75" t="str">
        <f>IF(Riesgos!B15="","",Riesgos!B15)</f>
        <v>TEC-002</v>
      </c>
      <c r="C5" s="75" t="str">
        <f>IF(Riesgos!C15="","",Riesgos!C15)</f>
        <v>DESARROLLO BACKEND</v>
      </c>
      <c r="D5" s="31" t="str">
        <f>IF(Riesgos!D15="","",Riesgos!D15)</f>
        <v>TECNICO</v>
      </c>
      <c r="E5" s="36" t="str">
        <f>IF(Riesgos!E15="","",Riesgos!E15)</f>
        <v>Subestimación de la complejidad del motor de planillas dinámicas</v>
      </c>
      <c r="F5" s="31" t="str">
        <f>IF(Riesgos!F15="","",Riesgos!F15)</f>
        <v>Amenaza</v>
      </c>
      <c r="G5" s="41" t="str">
        <f>IF(Riesgos!G15="","",Riesgos!G15)</f>
        <v>Manejo de campos configurables y datos dinámicos no estructurados sobre un modelo relacional.</v>
      </c>
      <c r="H5" s="41" t="str">
        <f>IF(Riesgos!H15="","",Riesgos!H15)</f>
        <v>Atraso en las historias de planillas y defectos en el registro de solicitudes
(Objetivos 2 y 3)</v>
      </c>
      <c r="I5" s="105" t="str">
        <f>IF(Riesgos!I15="","",Riesgos!I15)</f>
        <v>Durante el desarrollo de las planillas dinámicas, debido a la complejidad de almacenar y validar campos configurables, el equipo podría subestimar el esfuerzo o introducir defectos.</v>
      </c>
      <c r="J5" s="106" t="str">
        <f>IF(Riesgos!J15="","",Riesgos!J15)</f>
        <v/>
      </c>
      <c r="K5" s="49" t="str">
        <f>IF(Riesgos!K15="","",Riesgos!K15)</f>
        <v>Media</v>
      </c>
      <c r="L5" s="49" t="str">
        <f>IF(Riesgos!L15="","",Riesgos!L15)</f>
        <v>Medio</v>
      </c>
      <c r="M5" s="81">
        <v>4</v>
      </c>
      <c r="N5" s="83" t="str">
        <f>IF(Riesgos!N15="","",Riesgos!N15)</f>
        <v>Eduardo Kusar</v>
      </c>
      <c r="O5" s="86" t="str">
        <f>IF(Riesgos!O15="","",Riesgos!O15)</f>
        <v>Mitigar</v>
      </c>
      <c r="P5" s="86" t="str">
        <f>IF(Riesgos!P15="","",Riesgos!P15)</f>
        <v>Diseñar el modelo de campos dinámicos antes de programar y validar los mockups de planillas con la Product Owner.</v>
      </c>
      <c r="Q5" s="70" t="str">
        <f>IF(Riesgos!Q15="","",Riesgos!Q15)</f>
        <v>Revisar en el Burndown Chart el avance de las historias de planillas y los defectos abiertos.</v>
      </c>
      <c r="R5" s="70" t="str">
        <f>IF(Riesgos!R15="","",Riesgos!R15)</f>
        <v>Semanal</v>
      </c>
      <c r="S5" s="70" t="str">
        <f>IF(Riesgos!S15="","",Riesgos!S15)</f>
        <v>Equipo</v>
      </c>
      <c r="T5" s="16"/>
      <c r="U5" s="16"/>
      <c r="V5" s="16"/>
      <c r="W5" s="16"/>
      <c r="X5" s="16"/>
      <c r="Y5" s="16"/>
    </row>
    <row r="6" spans="1:25" ht="180" customHeight="1">
      <c r="A6" s="20">
        <f>IF(Riesgos!A18="","",Riesgos!A18)</f>
        <v>46258</v>
      </c>
      <c r="B6" s="75" t="str">
        <f>IF(Riesgos!B18="","",Riesgos!B18)</f>
        <v>GES-002</v>
      </c>
      <c r="C6" s="75" t="str">
        <f>IF(Riesgos!C18="","",Riesgos!C18)</f>
        <v>GESTIÓN DEL PROYECTO</v>
      </c>
      <c r="D6" s="31" t="str">
        <f>IF(Riesgos!D18="","",Riesgos!D18)</f>
        <v>GESTION</v>
      </c>
      <c r="E6" s="36" t="str">
        <f>IF(Riesgos!E18="","",Riesgos!E18)</f>
        <v>Criterios de aceptación ambiguos o definiciones organizacionales incompletas que generan retrabajo</v>
      </c>
      <c r="F6" s="31" t="str">
        <f>IF(Riesgos!F18="","",Riesgos!F18)</f>
        <v>Amenaza</v>
      </c>
      <c r="G6" s="41" t="str">
        <f>IF(Riesgos!G18="","",Riesgos!G18)</f>
        <v>Reglas de negocio poco definidas y falta de información validada sobre áreas, jerarquías, responsables y reglas de acceso.</v>
      </c>
      <c r="H6" s="41" t="str">
        <f>IF(Riesgos!H18="","",Riesgos!H18)</f>
        <v>Retrabajo en funcionalidades terminadas y menos tiempo para historias nuevas
(Objetivos 1 y 3)</v>
      </c>
      <c r="I6" s="105" t="str">
        <f>IF(Riesgos!I18="","",Riesgos!I18)</f>
        <v>Durante la implementación de cada historia, si los criterios o las definiciones de áreas, jerarquías, responsables y accesos no están validados, el equipo podría construir sobre supuestos y necesitar retrabajo.</v>
      </c>
      <c r="J6" s="106" t="str">
        <f>IF(Riesgos!J18="","",Riesgos!J18)</f>
        <v/>
      </c>
      <c r="K6" s="49" t="str">
        <f>IF(Riesgos!K18="","",Riesgos!K18)</f>
        <v>Media</v>
      </c>
      <c r="L6" s="49" t="str">
        <f>IF(Riesgos!L18="","",Riesgos!L18)</f>
        <v>Medio</v>
      </c>
      <c r="M6" s="81">
        <v>4</v>
      </c>
      <c r="N6" s="83" t="str">
        <f>IF(Riesgos!N18="","",Riesgos!N18)</f>
        <v>Nicolás Vidal</v>
      </c>
      <c r="O6" s="86" t="str">
        <f>IF(Riesgos!O18="","",Riesgos!O18)</f>
        <v>Mitigar</v>
      </c>
      <c r="P6" s="86" t="str">
        <f>IF(Riesgos!P18="","",Riesgos!P18)</f>
        <v>Validar los criterios de aceptación y solicitar las definiciones de áreas, jerarquías, responsables y reglas de acceso antes de implementar los módulos dependientes; registrar los supuestos y acordar una fecha para resolverlos.</v>
      </c>
      <c r="Q6" s="70" t="str">
        <f>IF(Riesgos!Q18="","",Riesgos!Q18)</f>
        <v>Revisar semanalmente las definiciones y supuestos pendientes; contar en cada Sprint Review las observaciones que implican retrabajo.</v>
      </c>
      <c r="R6" s="70" t="str">
        <f>IF(Riesgos!R18="","",Riesgos!R18)</f>
        <v>Semanal y por sprint</v>
      </c>
      <c r="S6" s="70" t="str">
        <f>IF(Riesgos!S18="","",Riesgos!S18)</f>
        <v>Product Owner</v>
      </c>
      <c r="T6" s="16"/>
      <c r="U6" s="16"/>
      <c r="V6" s="16"/>
      <c r="W6" s="16"/>
      <c r="X6" s="16"/>
      <c r="Y6" s="16"/>
    </row>
    <row r="7" spans="1:25" ht="180" customHeight="1">
      <c r="A7" s="20">
        <f>IF(Riesgos!A19="","",Riesgos!A19)</f>
        <v>46258</v>
      </c>
      <c r="B7" s="75" t="str">
        <f>IF(Riesgos!B19="","",Riesgos!B19)</f>
        <v>TEC-005</v>
      </c>
      <c r="C7" s="75" t="str">
        <f>IF(Riesgos!C19="","",Riesgos!C19)</f>
        <v>PRUEBAS Y CALIDAD</v>
      </c>
      <c r="D7" s="31" t="str">
        <f>IF(Riesgos!D19="","",Riesgos!D19)</f>
        <v>TECNICO</v>
      </c>
      <c r="E7" s="36" t="str">
        <f>IF(Riesgos!E19="","",Riesgos!E19)</f>
        <v>Regresiones al integrar nuevas funcionalidades</v>
      </c>
      <c r="F7" s="31" t="str">
        <f>IF(Riesgos!F19="","",Riesgos!F19)</f>
        <v>Amenaza</v>
      </c>
      <c r="G7" s="41" t="str">
        <f>IF(Riesgos!G19="","",Riesgos!G19)</f>
        <v>Cambios en módulos compartidos como flujos, permisos y solicitudes.</v>
      </c>
      <c r="H7" s="41" t="str">
        <f>IF(Riesgos!H19="","",Riesgos!H19)</f>
        <v>Funcionalidades ya aceptadas dejan de funcionar
(Objetivos 3 y 5)</v>
      </c>
      <c r="I7" s="105" t="str">
        <f>IF(Riesgos!I19="","",Riesgos!I19)</f>
        <v>Durante la integración de las historias de cada sprint, debido a cambios en módulos compartidos, funcionalidades ya aceptadas podrían dejar de funcionar sin que se note.</v>
      </c>
      <c r="J7" s="106" t="str">
        <f>IF(Riesgos!J19="","",Riesgos!J19)</f>
        <v/>
      </c>
      <c r="K7" s="49" t="str">
        <f>IF(Riesgos!K19="","",Riesgos!K19)</f>
        <v>Media</v>
      </c>
      <c r="L7" s="49" t="str">
        <f>IF(Riesgos!L19="","",Riesgos!L19)</f>
        <v>Medio</v>
      </c>
      <c r="M7" s="81">
        <v>4</v>
      </c>
      <c r="N7" s="83" t="str">
        <f>IF(Riesgos!N19="","",Riesgos!N19)</f>
        <v>Kevin Soto</v>
      </c>
      <c r="O7" s="86" t="str">
        <f>IF(Riesgos!O19="","",Riesgos!O19)</f>
        <v>Mitigar</v>
      </c>
      <c r="P7" s="86" t="str">
        <f>IF(Riesgos!P19="","",Riesgos!P19)</f>
        <v>Ejecutar pruebas de regresión al cierre de cada sprint y antes de cada demo, registrando los defectos en el log de incidencias.</v>
      </c>
      <c r="Q7" s="70" t="str">
        <f>IF(Riesgos!Q19="","",Riesgos!Q19)</f>
        <v>Revisar el resultado de la regresión y los defectos abiertos.</v>
      </c>
      <c r="R7" s="70" t="str">
        <f>IF(Riesgos!R19="","",Riesgos!R19)</f>
        <v>Por sprint</v>
      </c>
      <c r="S7" s="70" t="str">
        <f>IF(Riesgos!S19="","",Riesgos!S19)</f>
        <v>Equipo</v>
      </c>
      <c r="T7" s="16"/>
      <c r="U7" s="16"/>
      <c r="V7" s="16"/>
      <c r="W7" s="16"/>
      <c r="X7" s="16"/>
      <c r="Y7" s="16"/>
    </row>
    <row r="8" spans="1:25" ht="180" customHeight="1">
      <c r="A8" s="20">
        <f>IF(Riesgos!A20="","",Riesgos!A20)</f>
        <v>46258</v>
      </c>
      <c r="B8" s="75" t="str">
        <f>IF(Riesgos!B20="","",Riesgos!B20)</f>
        <v>TEC-006</v>
      </c>
      <c r="C8" s="75" t="str">
        <f>IF(Riesgos!C20="","",Riesgos!C20)</f>
        <v>DESARROLLO FRONTEND</v>
      </c>
      <c r="D8" s="31" t="str">
        <f>IF(Riesgos!D20="","",Riesgos!D20)</f>
        <v>TECNICO</v>
      </c>
      <c r="E8" s="36" t="str">
        <f>IF(Riesgos!E20="","",Riesgos!E20)</f>
        <v>Desfases en la integración entre frontend y backend</v>
      </c>
      <c r="F8" s="31" t="str">
        <f>IF(Riesgos!F20="","",Riesgos!F20)</f>
        <v>Amenaza</v>
      </c>
      <c r="G8" s="41" t="str">
        <f>IF(Riesgos!G20="","",Riesgos!G20)</f>
        <v>Desarrollo en paralelo de frontend y backend con especificaciones de API que pueden cambiar.</v>
      </c>
      <c r="H8" s="41" t="str">
        <f>IF(Riesgos!H20="","",Riesgos!H20)</f>
        <v>Vistas que no funcionan con los endpoints y retrabajo al integrar
(Objetivo 3)</v>
      </c>
      <c r="I8" s="105" t="str">
        <f>IF(Riesgos!I20="","",Riesgos!I20)</f>
        <v>Durante cada sprint, debido a cambios en las especificaciones de las API, las vistas y los endpoints podrían no calzar al momento de integrarlos.</v>
      </c>
      <c r="J8" s="106" t="str">
        <f>IF(Riesgos!J20="","",Riesgos!J20)</f>
        <v/>
      </c>
      <c r="K8" s="49" t="str">
        <f>IF(Riesgos!K20="","",Riesgos!K20)</f>
        <v>Media</v>
      </c>
      <c r="L8" s="49" t="str">
        <f>IF(Riesgos!L20="","",Riesgos!L20)</f>
        <v>Medio</v>
      </c>
      <c r="M8" s="81">
        <v>4</v>
      </c>
      <c r="N8" s="83" t="str">
        <f>IF(Riesgos!N20="","",Riesgos!N20)</f>
        <v>Eduardo Kusar</v>
      </c>
      <c r="O8" s="86" t="str">
        <f>IF(Riesgos!O20="","",Riesgos!O20)</f>
        <v>Mitigar</v>
      </c>
      <c r="P8" s="86" t="str">
        <f>IF(Riesgos!P20="","",Riesgos!P20)</f>
        <v>Definir los contratos de API antes de implementar y usar mocks para que frontend y backend avancen en paralelo.</v>
      </c>
      <c r="Q8" s="70" t="str">
        <f>IF(Riesgos!Q20="","",Riesgos!Q20)</f>
        <v>Revisar en las Daily Meetings los cambios a los contratos de API.</v>
      </c>
      <c r="R8" s="70" t="str">
        <f>IF(Riesgos!R20="","",Riesgos!R20)</f>
        <v>Semanal</v>
      </c>
      <c r="S8" s="70" t="str">
        <f>IF(Riesgos!S20="","",Riesgos!S20)</f>
        <v>Equipo</v>
      </c>
      <c r="T8" s="16"/>
      <c r="U8" s="16"/>
      <c r="V8" s="16"/>
      <c r="W8" s="16"/>
      <c r="X8" s="16"/>
      <c r="Y8" s="16"/>
    </row>
    <row r="9" spans="1:25" ht="180" customHeight="1">
      <c r="A9" s="20">
        <f>IF(Riesgos!A28="","",Riesgos!A28)</f>
        <v>46258</v>
      </c>
      <c r="B9" s="75" t="str">
        <f>IF(Riesgos!B28="","",Riesgos!B28)</f>
        <v>TEC-009</v>
      </c>
      <c r="C9" s="75" t="str">
        <f>IF(Riesgos!C28="","",Riesgos!C28)</f>
        <v>DESARROLLO FRONTEND</v>
      </c>
      <c r="D9" s="31" t="str">
        <f>IF(Riesgos!D28="","",Riesgos!D28)</f>
        <v>TECNICO</v>
      </c>
      <c r="E9" s="36" t="str">
        <f>IF(Riesgos!E28="","",Riesgos!E28)</f>
        <v>Complejidad en la integración de Keycloak con React</v>
      </c>
      <c r="F9" s="31" t="str">
        <f>IF(Riesgos!F28="","",Riesgos!F28)</f>
        <v>Amenaza</v>
      </c>
      <c r="G9" s="41" t="str">
        <f>IF(Riesgos!G28="","",Riesgos!G28)</f>
        <v>Poca experiencia del equipo integrando un proveedor de identidad (Keycloak, OIDC y tokens JWT) con el frontend.</v>
      </c>
      <c r="H9" s="41" t="str">
        <f>IF(Riesgos!H28="","",Riesgos!H28)</f>
        <v>Atraso en el inicio de sesión, que es la base de todas las demás funcionalidades
(Objetivo 3)</v>
      </c>
      <c r="I9" s="105" t="str">
        <f>IF(Riesgos!I28="","",Riesgos!I28)</f>
        <v>Durante el Sprint 1, debido a la complejidad de integrar Keycloak con React, el inicio de sesión podría tomar más tiempo del planificado.</v>
      </c>
      <c r="J9" s="106" t="str">
        <f>IF(Riesgos!J28="","",Riesgos!J28)</f>
        <v/>
      </c>
      <c r="K9" s="49" t="str">
        <f>IF(Riesgos!K28="","",Riesgos!K28)</f>
        <v>Media</v>
      </c>
      <c r="L9" s="49" t="str">
        <f>IF(Riesgos!L28="","",Riesgos!L28)</f>
        <v>Medio</v>
      </c>
      <c r="M9" s="81">
        <v>4</v>
      </c>
      <c r="N9" s="83" t="str">
        <f>IF(Riesgos!N28="","",Riesgos!N28)</f>
        <v>Kevin Soto</v>
      </c>
      <c r="O9" s="86" t="str">
        <f>IF(Riesgos!O28="","",Riesgos!O28)</f>
        <v>Mitigar</v>
      </c>
      <c r="P9" s="86" t="str">
        <f>IF(Riesgos!P28="","",Riesgos!P28)</f>
        <v>Estudiar la documentación de Keycloak al inicio del Sprint 1, partir con una prueba de concepto del inicio de sesión y documentar la configuración en el repositorio.</v>
      </c>
      <c r="Q9" s="70" t="str">
        <f>IF(Riesgos!Q28="","",Riesgos!Q28)</f>
        <v>Revisar en las Daily Meetings el avance de la integración del inicio de sesión.</v>
      </c>
      <c r="R9" s="70" t="str">
        <f>IF(Riesgos!R28="","",Riesgos!R28)</f>
        <v>Semanal</v>
      </c>
      <c r="S9" s="70" t="str">
        <f>IF(Riesgos!S28="","",Riesgos!S28)</f>
        <v>Equipo</v>
      </c>
      <c r="T9" s="16"/>
      <c r="U9" s="16"/>
      <c r="V9" s="16"/>
      <c r="W9" s="16"/>
      <c r="X9" s="16"/>
      <c r="Y9" s="16"/>
    </row>
    <row r="10" spans="1:25" ht="180" customHeight="1">
      <c r="A10" s="20">
        <f>IF(Riesgos!A29="","",Riesgos!A29)</f>
        <v>46258</v>
      </c>
      <c r="B10" s="75" t="str">
        <f>IF(Riesgos!B29="","",Riesgos!B29)</f>
        <v>TEC-010</v>
      </c>
      <c r="C10" s="75" t="str">
        <f>IF(Riesgos!C29="","",Riesgos!C29)</f>
        <v>DESARROLLO BACKEND</v>
      </c>
      <c r="D10" s="31" t="str">
        <f>IF(Riesgos!D29="","",Riesgos!D29)</f>
        <v>TECNICO</v>
      </c>
      <c r="E10" s="36" t="str">
        <f>IF(Riesgos!E29="","",Riesgos!E29)</f>
        <v>Pérdida o duplicación de mensajes entre microservicios</v>
      </c>
      <c r="F10" s="31" t="str">
        <f>IF(Riesgos!F29="","",Riesgos!F29)</f>
        <v>Amenaza</v>
      </c>
      <c r="G10" s="41" t="str">
        <f>IF(Riesgos!G29="","",Riesgos!G29)</f>
        <v>Comunicación asíncrona por cola de mensajes entre el sistema principal y los microservicios de IA y notificaciones.</v>
      </c>
      <c r="H10" s="41" t="str">
        <f>IF(Riesgos!H29="","",Riesgos!H29)</f>
        <v>Solicitudes con estados inconsistentes o notificaciones repetidas
(Objetivos 3 y 4)</v>
      </c>
      <c r="I10" s="105" t="str">
        <f>IF(Riesgos!I29="","",Riesgos!I29)</f>
        <v>Durante el procesamiento de solicitudes, debido a la caída de un consumidor o a reintentos, un mensaje podría perderse o procesarse dos veces.</v>
      </c>
      <c r="J10" s="106" t="str">
        <f>IF(Riesgos!J29="","",Riesgos!J29)</f>
        <v/>
      </c>
      <c r="K10" s="49" t="str">
        <f>IF(Riesgos!K29="","",Riesgos!K29)</f>
        <v>Media</v>
      </c>
      <c r="L10" s="49" t="str">
        <f>IF(Riesgos!L29="","",Riesgos!L29)</f>
        <v>Medio</v>
      </c>
      <c r="M10" s="81">
        <v>4</v>
      </c>
      <c r="N10" s="83" t="str">
        <f>IF(Riesgos!N29="","",Riesgos!N29)</f>
        <v>Eduardo Kusar</v>
      </c>
      <c r="O10" s="86" t="str">
        <f>IF(Riesgos!O29="","",Riesgos!O29)</f>
        <v>Mitigar</v>
      </c>
      <c r="P10" s="86" t="str">
        <f>IF(Riesgos!P29="","",Riesgos!P29)</f>
        <v>Usar colas durables con confirmación manual (ack), consumidores idempotentes y una cola de mensajes fallidos (dead-letter) para reprocesarlos.</v>
      </c>
      <c r="Q10" s="70" t="str">
        <f>IF(Riesgos!Q29="","",Riesgos!Q29)</f>
        <v>Revisar la cola de mensajes fallidos en cada corrida de pruebas de integración.</v>
      </c>
      <c r="R10" s="70" t="str">
        <f>IF(Riesgos!R29="","",Riesgos!R29)</f>
        <v>Por sprint</v>
      </c>
      <c r="S10" s="70" t="str">
        <f>IF(Riesgos!S29="","",Riesgos!S29)</f>
        <v>Equipo</v>
      </c>
      <c r="T10" s="16"/>
      <c r="U10" s="16"/>
      <c r="V10" s="16"/>
      <c r="W10" s="16"/>
      <c r="X10" s="16"/>
      <c r="Y10" s="16"/>
    </row>
    <row r="11" spans="1:25" ht="180" customHeight="1">
      <c r="A11" s="20">
        <f>IF(Riesgos!A35="","",Riesgos!A35)</f>
        <v>46258</v>
      </c>
      <c r="B11" s="75" t="str">
        <f>IF(Riesgos!B35="","",Riesgos!B35)</f>
        <v>GES-004</v>
      </c>
      <c r="C11" s="75" t="str">
        <f>IF(Riesgos!C35="","",Riesgos!C35)</f>
        <v>GESTIÓN DEL PROYECTO</v>
      </c>
      <c r="D11" s="31" t="str">
        <f>IF(Riesgos!D35="","",Riesgos!D35)</f>
        <v>GESTION</v>
      </c>
      <c r="E11" s="36" t="str">
        <f>IF(Riesgos!E35="","",Riesgos!E35)</f>
        <v>Concentración del conocimiento técnico en un integrante</v>
      </c>
      <c r="F11" s="31" t="str">
        <f>IF(Riesgos!F35="","",Riesgos!F35)</f>
        <v>Amenaza</v>
      </c>
      <c r="G11" s="41" t="str">
        <f>IF(Riesgos!G35="","",Riesgos!G35)</f>
        <v>Especialización de tareas y falta de transferencia de conocimiento en un equipo de tres personas.</v>
      </c>
      <c r="H11" s="41" t="str">
        <f>IF(Riesgos!H35="","",Riesgos!H35)</f>
        <v>Dependencia de un integrante para mantener, demostrar o explicar módulos del sistema
(Objetivos 5 y 6)</v>
      </c>
      <c r="I11" s="105" t="str">
        <f>IF(Riesgos!I35="","",Riesgos!I35)</f>
        <v>Durante el desarrollo y la defensa, si el conocimiento de un módulo queda en una sola persona, su ausencia podría bloquear tareas o dificultar la explicación del sistema.</v>
      </c>
      <c r="J11" s="106" t="str">
        <f>IF(Riesgos!J35="","",Riesgos!J35)</f>
        <v/>
      </c>
      <c r="K11" s="49" t="str">
        <f>IF(Riesgos!K35="","",Riesgos!K35)</f>
        <v>Media</v>
      </c>
      <c r="L11" s="49" t="str">
        <f>IF(Riesgos!L35="","",Riesgos!L35)</f>
        <v>Medio</v>
      </c>
      <c r="M11" s="81">
        <v>4</v>
      </c>
      <c r="N11" s="83" t="str">
        <f>IF(Riesgos!N35="","",Riesgos!N35)</f>
        <v>Nicolás Vidal</v>
      </c>
      <c r="O11" s="86" t="str">
        <f>IF(Riesgos!O35="","",Riesgos!O35)</f>
        <v>Mitigar</v>
      </c>
      <c r="P11" s="86" t="str">
        <f>IF(Riesgos!P35="","",Riesgos!P35)</f>
        <v>Mantener documentación compartida, explicar los módulos al equipo y asignar un integrante de respaldo por componente.</v>
      </c>
      <c r="Q11" s="70" t="str">
        <f>IF(Riesgos!Q35="","",Riesgos!Q35)</f>
        <v>Comprobar en cada retrospectiva que el integrante de respaldo pueda levantar y explicar el módulo con la documentación disponible.</v>
      </c>
      <c r="R11" s="70" t="str">
        <f>IF(Riesgos!R35="","",Riesgos!R35)</f>
        <v>Por sprint</v>
      </c>
      <c r="S11" s="70" t="str">
        <f>IF(Riesgos!S35="","",Riesgos!S35)</f>
        <v>Equipo</v>
      </c>
      <c r="T11" s="16"/>
      <c r="U11" s="16"/>
      <c r="V11" s="16"/>
      <c r="W11" s="16"/>
      <c r="X11" s="16"/>
      <c r="Y11" s="16"/>
    </row>
    <row r="12" spans="1:25" ht="180" customHeight="1">
      <c r="A12" s="20">
        <f>IF(Riesgos!A36="","",Riesgos!A36)</f>
        <v>46258</v>
      </c>
      <c r="B12" s="75" t="str">
        <f>IF(Riesgos!B36="","",Riesgos!B36)</f>
        <v>EXT-003</v>
      </c>
      <c r="C12" s="75" t="str">
        <f>IF(Riesgos!C36="","",Riesgos!C36)</f>
        <v>GESTIÓN DEL PROYECTO</v>
      </c>
      <c r="D12" s="31" t="str">
        <f>IF(Riesgos!D36="","",Riesgos!D36)</f>
        <v>EXTERNO</v>
      </c>
      <c r="E12" s="36" t="str">
        <f>IF(Riesgos!E36="","",Riesgos!E36)</f>
        <v>Baja disponibilidad de la Product Owner para validar entregas</v>
      </c>
      <c r="F12" s="31" t="str">
        <f>IF(Riesgos!F36="","",Riesgos!F36)</f>
        <v>Amenaza</v>
      </c>
      <c r="G12" s="41" t="str">
        <f>IF(Riesgos!G36="","",Riesgos!G36)</f>
        <v>Agenda del cliente y falta de fechas o plazos acordados para revisar incrementos y resolver observaciones.</v>
      </c>
      <c r="H12" s="41" t="str">
        <f>IF(Riesgos!H36="","",Riesgos!H36)</f>
        <v>Demoras en la aceptación de historias y el cierre del proyecto
(Objetivos 1 y 6)</v>
      </c>
      <c r="I12" s="105" t="str">
        <f>IF(Riesgos!I36="","",Riesgos!I36)</f>
        <v>Durante las revisiones y el cierre, si la Product Owner no dispone de tiempo para validar entregas, podrían acumularse observaciones y postergarse la aceptación.</v>
      </c>
      <c r="J12" s="107" t="str">
        <f>IF(Riesgos!J36="","",Riesgos!J36)</f>
        <v/>
      </c>
      <c r="K12" s="49" t="str">
        <f>IF(Riesgos!K36="","",Riesgos!K36)</f>
        <v>Media</v>
      </c>
      <c r="L12" s="49" t="str">
        <f>IF(Riesgos!L36="","",Riesgos!L36)</f>
        <v>Medio</v>
      </c>
      <c r="M12" s="81">
        <v>4</v>
      </c>
      <c r="N12" s="83" t="str">
        <f>IF(Riesgos!N36="","",Riesgos!N36)</f>
        <v>Nicolás Vidal</v>
      </c>
      <c r="O12" s="86" t="str">
        <f>IF(Riesgos!O36="","",Riesgos!O36)</f>
        <v>Mitigar</v>
      </c>
      <c r="P12" s="86" t="str">
        <f>IF(Riesgos!P36="","",Riesgos!P36)</f>
        <v>Acordar anticipadamente fechas de revisión y plazos para resolver observaciones; enviar el material antes de cada reunión y registrar los acuerdos.</v>
      </c>
      <c r="Q12" s="70" t="str">
        <f>IF(Riesgos!Q36="","",Riesgos!Q36)</f>
        <v>Confirmar semanalmente la próxima revisión y controlar las validaciones u observaciones pendientes de respuesta.</v>
      </c>
      <c r="R12" s="70" t="str">
        <f>IF(Riesgos!R36="","",Riesgos!R36)</f>
        <v>Semanal</v>
      </c>
      <c r="S12" s="70" t="str">
        <f>IF(Riesgos!S36="","",Riesgos!S36)</f>
        <v>Product Owner</v>
      </c>
      <c r="T12" s="16"/>
      <c r="U12" s="16"/>
      <c r="V12" s="16"/>
      <c r="W12" s="16"/>
      <c r="X12" s="16"/>
      <c r="Y12" s="16"/>
    </row>
    <row r="13" spans="1:25" ht="180" customHeight="1">
      <c r="A13" s="20">
        <f>IF(Riesgos!A16="","",Riesgos!A16)</f>
        <v>46258</v>
      </c>
      <c r="B13" s="75" t="str">
        <f>IF(Riesgos!B16="","",Riesgos!B16)</f>
        <v>TEC-003</v>
      </c>
      <c r="C13" s="75" t="str">
        <f>IF(Riesgos!C16="","",Riesgos!C16)</f>
        <v>INFRAESTRUCTURA</v>
      </c>
      <c r="D13" s="31" t="str">
        <f>IF(Riesgos!D16="","",Riesgos!D16)</f>
        <v>TECNICO</v>
      </c>
      <c r="E13" s="36" t="str">
        <f>IF(Riesgos!E16="","",Riesgos!E16)</f>
        <v>Fallas del ambiente de demostración durante una presentación</v>
      </c>
      <c r="F13" s="31" t="str">
        <f>IF(Riesgos!F16="","",Riesgos!F16)</f>
        <v>Amenaza</v>
      </c>
      <c r="G13" s="41" t="str">
        <f>IF(Riesgos!G16="","",Riesgos!G16)</f>
        <v>El sistema completo (varios contenedores) se levantará en los computadores de los integrantes, con posibles diferencias de configuración y dependencia de la red y de servicios externos.</v>
      </c>
      <c r="H13" s="41" t="str">
        <f>IF(Riesgos!H16="","",Riesgos!H16)</f>
        <v>No poder mostrar el incremento en los hitos o en la defensa
(Objetivo 6)</v>
      </c>
      <c r="I13" s="105" t="str">
        <f>IF(Riesgos!I16="","",Riesgos!I16)</f>
        <v>Durante las presentaciones de los hitos y la defensa, debido a diferencias entre los entornos locales o a fallas de red y de servicios externos, el sistema podría no levantar o fallar en plena demostración.</v>
      </c>
      <c r="J13" s="107" t="str">
        <f>IF(Riesgos!J16="","",Riesgos!J16)</f>
        <v/>
      </c>
      <c r="K13" s="49" t="str">
        <f>IF(Riesgos!K16="","",Riesgos!K16)</f>
        <v>Baja</v>
      </c>
      <c r="L13" s="49" t="str">
        <f>IF(Riesgos!L16="","",Riesgos!L16)</f>
        <v>Alto</v>
      </c>
      <c r="M13" s="81">
        <v>3</v>
      </c>
      <c r="N13" s="83" t="str">
        <f>IF(Riesgos!N16="","",Riesgos!N16)</f>
        <v>Kevin Soto</v>
      </c>
      <c r="O13" s="86" t="str">
        <f>IF(Riesgos!O16="","",Riesgos!O16)</f>
        <v>Mitigar</v>
      </c>
      <c r="P13" s="86" t="str">
        <f>IF(Riesgos!P16="","",Riesgos!P16)</f>
        <v>Estandarizar el entorno con Docker Compose y un archivo de variables de ejemplo, ensayar la demo antes de cada hito y tener un segundo computador listo como respaldo.</v>
      </c>
      <c r="Q13" s="70" t="str">
        <f>IF(Riesgos!Q16="","",Riesgos!Q16)</f>
        <v>Levantar el sistema completo y revisar la salud de los servicios el día antes de cada presentación.</v>
      </c>
      <c r="R13" s="70" t="str">
        <f>IF(Riesgos!R16="","",Riesgos!R16)</f>
        <v>Por hito</v>
      </c>
      <c r="S13" s="70" t="str">
        <f>IF(Riesgos!S16="","",Riesgos!S16)</f>
        <v>Equipo</v>
      </c>
      <c r="T13" s="16"/>
      <c r="U13" s="16"/>
      <c r="V13" s="16"/>
      <c r="W13" s="16"/>
      <c r="X13" s="16"/>
      <c r="Y13" s="16"/>
    </row>
    <row r="14" spans="1:25" ht="180" customHeight="1">
      <c r="A14" s="20">
        <f>IF(Riesgos!A22="","",Riesgos!A22)</f>
        <v>46258</v>
      </c>
      <c r="B14" s="75" t="str">
        <f>IF(Riesgos!B22="","",Riesgos!B22)</f>
        <v>SEG-001</v>
      </c>
      <c r="C14" s="75" t="str">
        <f>IF(Riesgos!C22="","",Riesgos!C22)</f>
        <v>DESARROLLO BACKEND</v>
      </c>
      <c r="D14" s="31" t="str">
        <f>IF(Riesgos!D22="","",Riesgos!D22)</f>
        <v>SEGURIDAD</v>
      </c>
      <c r="E14" s="36" t="str">
        <f>IF(Riesgos!E22="","",Riesgos!E22)</f>
        <v>Fallas en el aislamiento por área y jerarquía que expongan documentos</v>
      </c>
      <c r="F14" s="31" t="str">
        <f>IF(Riesgos!F22="","",Riesgos!F22)</f>
        <v>Amenaza</v>
      </c>
      <c r="G14" s="41" t="str">
        <f>IF(Riesgos!G22="","",Riesgos!G22)</f>
        <v>Reglas de permisos complejas (rol, área y jerarquía) aplicadas en varios endpoints.</v>
      </c>
      <c r="H14" s="41" t="str">
        <f>IF(Riesgos!H22="","",Riesgos!H22)</f>
        <v>Acceso a documentos de otras áreas y pérdida de confianza del cliente
(Objetivo 3)</v>
      </c>
      <c r="I14" s="105" t="str">
        <f>IF(Riesgos!I22="","",Riesgos!I22)</f>
        <v>Durante el uso del sistema por usuarios de distintas áreas, debido a reglas de permisos complejas, un usuario podría ver documentos que no le corresponden.</v>
      </c>
      <c r="J14" s="107" t="str">
        <f>IF(Riesgos!J22="","",Riesgos!J22)</f>
        <v/>
      </c>
      <c r="K14" s="49" t="str">
        <f>IF(Riesgos!K22="","",Riesgos!K22)</f>
        <v>Baja</v>
      </c>
      <c r="L14" s="49" t="str">
        <f>IF(Riesgos!L22="","",Riesgos!L22)</f>
        <v>Alto</v>
      </c>
      <c r="M14" s="81">
        <v>3</v>
      </c>
      <c r="N14" s="83" t="str">
        <f>IF(Riesgos!N22="","",Riesgos!N22)</f>
        <v>Kevin Soto</v>
      </c>
      <c r="O14" s="86" t="str">
        <f>IF(Riesgos!O22="","",Riesgos!O22)</f>
        <v>Mitigar</v>
      </c>
      <c r="P14" s="86" t="str">
        <f>IF(Riesgos!P22="","",Riesgos!P22)</f>
        <v>Probar cada permiso por interfaz y por API con casos permitidos y denegados, a partir de una matriz de roles y permisos.</v>
      </c>
      <c r="Q14" s="70" t="str">
        <f>IF(Riesgos!Q22="","",Riesgos!Q22)</f>
        <v>Revisar el resultado de las pruebas de permisos en cada regresión.</v>
      </c>
      <c r="R14" s="70" t="str">
        <f>IF(Riesgos!R22="","",Riesgos!R22)</f>
        <v>Por sprint</v>
      </c>
      <c r="S14" s="70" t="str">
        <f>IF(Riesgos!S22="","",Riesgos!S22)</f>
        <v>Product Owner</v>
      </c>
      <c r="T14" s="16"/>
      <c r="U14" s="16"/>
      <c r="V14" s="16"/>
      <c r="W14" s="16"/>
      <c r="X14" s="16"/>
      <c r="Y14" s="16"/>
    </row>
    <row r="15" spans="1:25" ht="180" customHeight="1">
      <c r="A15" s="20">
        <f>IF(Riesgos!A23="","",Riesgos!A23)</f>
        <v>46258</v>
      </c>
      <c r="B15" s="75" t="str">
        <f>IF(Riesgos!B23="","",Riesgos!B23)</f>
        <v>SEG-002</v>
      </c>
      <c r="C15" s="75" t="str">
        <f>IF(Riesgos!C23="","",Riesgos!C23)</f>
        <v>DESARROLLO BACKEND</v>
      </c>
      <c r="D15" s="31" t="str">
        <f>IF(Riesgos!D23="","",Riesgos!D23)</f>
        <v>SEGURIDAD</v>
      </c>
      <c r="E15" s="36" t="str">
        <f>IF(Riesgos!E23="","",Riesgos!E23)</f>
        <v>Acceso no autorizado a cuentas de usuario</v>
      </c>
      <c r="F15" s="31" t="str">
        <f>IF(Riesgos!F23="","",Riesgos!F23)</f>
        <v>Amenaza</v>
      </c>
      <c r="G15" s="41" t="str">
        <f>IF(Riesgos!G23="","",Riesgos!G23)</f>
        <v>Contraseñas débiles o intentos repetidos de inicio de sesión.</v>
      </c>
      <c r="H15" s="41" t="str">
        <f>IF(Riesgos!H23="","",Riesgos!H23)</f>
        <v>Exposición de solicitudes y documentos internos
(Objetivo 3)</v>
      </c>
      <c r="I15" s="105" t="str">
        <f>IF(Riesgos!I23="","",Riesgos!I23)</f>
        <v>Durante la operación del sistema, debido a contraseñas débiles o ataques de fuerza bruta, un tercero podría ingresar con una cuenta ajena.</v>
      </c>
      <c r="J15" s="107" t="str">
        <f>IF(Riesgos!J23="","",Riesgos!J23)</f>
        <v/>
      </c>
      <c r="K15" s="49" t="str">
        <f>IF(Riesgos!K23="","",Riesgos!K23)</f>
        <v>Baja</v>
      </c>
      <c r="L15" s="49" t="str">
        <f>IF(Riesgos!L23="","",Riesgos!L23)</f>
        <v>Alto</v>
      </c>
      <c r="M15" s="81">
        <v>3</v>
      </c>
      <c r="N15" s="83" t="str">
        <f>IF(Riesgos!N23="","",Riesgos!N23)</f>
        <v>Kevin Soto</v>
      </c>
      <c r="O15" s="86" t="str">
        <f>IF(Riesgos!O23="","",Riesgos!O23)</f>
        <v>Mitigar</v>
      </c>
      <c r="P15" s="86" t="str">
        <f>IF(Riesgos!P23="","",Riesgos!P23)</f>
        <v>Implementar el bloqueo de 30 minutos tras 4 intentos fallidos, una política de contraseñas en Keycloak y la auditoría de inicios de sesión.</v>
      </c>
      <c r="Q15" s="70" t="str">
        <f>IF(Riesgos!Q23="","",Riesgos!Q23)</f>
        <v>Revisar los inicios de sesión fallidos registrados en la auditoría.</v>
      </c>
      <c r="R15" s="70" t="str">
        <f>IF(Riesgos!R23="","",Riesgos!R23)</f>
        <v>Mensual</v>
      </c>
      <c r="S15" s="70" t="str">
        <f>IF(Riesgos!S23="","",Riesgos!S23)</f>
        <v>Equipo</v>
      </c>
      <c r="T15" s="16"/>
      <c r="U15" s="16"/>
      <c r="V15" s="16"/>
      <c r="W15" s="16"/>
      <c r="X15" s="16"/>
      <c r="Y15" s="16"/>
    </row>
    <row r="16" spans="1:25" ht="180" customHeight="1">
      <c r="A16" s="20">
        <f>IF(Riesgos!A24="","",Riesgos!A24)</f>
        <v>46258</v>
      </c>
      <c r="B16" s="75" t="str">
        <f>IF(Riesgos!B24="","",Riesgos!B24)</f>
        <v>SEG-003</v>
      </c>
      <c r="C16" s="75" t="str">
        <f>IF(Riesgos!C24="","",Riesgos!C24)</f>
        <v>INFRAESTRUCTURA</v>
      </c>
      <c r="D16" s="31" t="str">
        <f>IF(Riesgos!D24="","",Riesgos!D24)</f>
        <v>SEGURIDAD</v>
      </c>
      <c r="E16" s="36" t="str">
        <f>IF(Riesgos!E24="","",Riesgos!E24)</f>
        <v>Exposición de credenciales o claves de API en el repositorio</v>
      </c>
      <c r="F16" s="31" t="str">
        <f>IF(Riesgos!F24="","",Riesgos!F24)</f>
        <v>Amenaza</v>
      </c>
      <c r="G16" s="41" t="str">
        <f>IF(Riesgos!G24="","",Riesgos!G24)</f>
        <v>Archivos de configuración con secretos de servicios externos (.env).</v>
      </c>
      <c r="H16" s="41" t="str">
        <f>IF(Riesgos!H24="","",Riesgos!H24)</f>
        <v>Uso indebido de servicios externos y costos no previstos
(Objetivo 6)</v>
      </c>
      <c r="I16" s="105" t="str">
        <f>IF(Riesgos!I24="","",Riesgos!I24)</f>
        <v>Durante el trabajo diario con el repositorio, debido a un descuido al hacer commit, claves de API o contraseñas podrían quedar publicadas.</v>
      </c>
      <c r="J16" s="107" t="str">
        <f>IF(Riesgos!J24="","",Riesgos!J24)</f>
        <v/>
      </c>
      <c r="K16" s="49" t="str">
        <f>IF(Riesgos!K24="","",Riesgos!K24)</f>
        <v>Baja</v>
      </c>
      <c r="L16" s="49" t="str">
        <f>IF(Riesgos!L24="","",Riesgos!L24)</f>
        <v>Alto</v>
      </c>
      <c r="M16" s="81">
        <v>3</v>
      </c>
      <c r="N16" s="83" t="str">
        <f>IF(Riesgos!N24="","",Riesgos!N24)</f>
        <v>Eduardo Kusar</v>
      </c>
      <c r="O16" s="86" t="str">
        <f>IF(Riesgos!O24="","",Riesgos!O24)</f>
        <v>Evitar</v>
      </c>
      <c r="P16" s="86" t="str">
        <f>IF(Riesgos!P24="","",Riesgos!P24)</f>
        <v>Mantener los secretos solo en .env (ignorado por git), dejar valores de ejemplo en .env.example y revisar antes de cada entrega.</v>
      </c>
      <c r="Q16" s="70" t="str">
        <f>IF(Riesgos!Q24="","",Riesgos!Q24)</f>
        <v>Revisar el repositorio en busca de secretos antes de cada entrega.</v>
      </c>
      <c r="R16" s="70" t="str">
        <f>IF(Riesgos!R24="","",Riesgos!R24)</f>
        <v>Por hito</v>
      </c>
      <c r="S16" s="70" t="str">
        <f>IF(Riesgos!S24="","",Riesgos!S24)</f>
        <v>Equipo</v>
      </c>
      <c r="T16" s="16"/>
      <c r="U16" s="16"/>
      <c r="V16" s="16"/>
      <c r="W16" s="16"/>
      <c r="X16" s="16"/>
      <c r="Y16" s="16"/>
    </row>
    <row r="17" spans="1:25" ht="180" customHeight="1">
      <c r="A17" s="20">
        <f>IF(Riesgos!A25="","",Riesgos!A25)</f>
        <v>46258</v>
      </c>
      <c r="B17" s="75" t="str">
        <f>IF(Riesgos!B25="","",Riesgos!B25)</f>
        <v>LEG-001</v>
      </c>
      <c r="C17" s="75" t="str">
        <f>IF(Riesgos!C25="","",Riesgos!C25)</f>
        <v>DESPLIEGUE Y CIERRE</v>
      </c>
      <c r="D17" s="75" t="str">
        <f>IF(Riesgos!D25="","",Riesgos!D25)</f>
        <v>LEGAL</v>
      </c>
      <c r="E17" s="36" t="str">
        <f>IF(Riesgos!E25="","",Riesgos!E25)</f>
        <v>Manejo de datos personales (RUT y correos) sin resguardos suficientes</v>
      </c>
      <c r="F17" s="31" t="str">
        <f>IF(Riesgos!F25="","",Riesgos!F25)</f>
        <v>Amenaza</v>
      </c>
      <c r="G17" s="41" t="str">
        <f>IF(Riesgos!G25="","",Riesgos!G25)</f>
        <v>El sistema almacena datos personales de los usuarios del cliente.</v>
      </c>
      <c r="H17" s="41" t="str">
        <f>IF(Riesgos!H25="","",Riesgos!H25)</f>
        <v>Incumplimiento de la Ley 19.628 de Protección de Datos Personales y pérdida de confianza del cliente
(Objetivos 2 y 3)</v>
      </c>
      <c r="I17" s="105" t="str">
        <f>IF(Riesgos!I25="","",Riesgos!I25)</f>
        <v>Durante las pruebas y demostraciones, debido a que el sistema guarda RUT y correos, datos personales reales podrían quedar expuestos en ambientes de prueba.</v>
      </c>
      <c r="J17" s="107" t="str">
        <f>IF(Riesgos!J25="","",Riesgos!J25)</f>
        <v/>
      </c>
      <c r="K17" s="49" t="str">
        <f>IF(Riesgos!K25="","",Riesgos!K25)</f>
        <v>Baja</v>
      </c>
      <c r="L17" s="49" t="str">
        <f>IF(Riesgos!L25="","",Riesgos!L25)</f>
        <v>Alto</v>
      </c>
      <c r="M17" s="81">
        <v>3</v>
      </c>
      <c r="N17" s="83" t="str">
        <f>IF(Riesgos!N25="","",Riesgos!N25)</f>
        <v>Eduardo Kusar</v>
      </c>
      <c r="O17" s="86" t="str">
        <f>IF(Riesgos!O25="","",Riesgos!O25)</f>
        <v>Mitigar</v>
      </c>
      <c r="P17" s="86" t="str">
        <f>IF(Riesgos!P25="","",Riesgos!P25)</f>
        <v>Usar solo datos de prueba ficticios, restringir el acceso por rol y no copiar datos reales a los ambientes de prueba.</v>
      </c>
      <c r="Q17" s="70" t="str">
        <f>IF(Riesgos!Q25="","",Riesgos!Q25)</f>
        <v>Verificar antes de cada demostración que el ambiente no tenga datos reales.</v>
      </c>
      <c r="R17" s="70" t="str">
        <f>IF(Riesgos!R25="","",Riesgos!R25)</f>
        <v>Por hito</v>
      </c>
      <c r="S17" s="70" t="str">
        <f>IF(Riesgos!S25="","",Riesgos!S25)</f>
        <v>Product Owner</v>
      </c>
      <c r="T17" s="16"/>
      <c r="U17" s="16"/>
      <c r="V17" s="16"/>
      <c r="W17" s="16"/>
      <c r="X17" s="16"/>
      <c r="Y17" s="16"/>
    </row>
    <row r="18" spans="1:25" ht="180" customHeight="1">
      <c r="A18" s="20">
        <f>IF(Riesgos!A31="","",Riesgos!A31)</f>
        <v>46258</v>
      </c>
      <c r="B18" s="75" t="str">
        <f>IF(Riesgos!B31="","",Riesgos!B31)</f>
        <v>SEG-004</v>
      </c>
      <c r="C18" s="75" t="str">
        <f>IF(Riesgos!C31="","",Riesgos!C31)</f>
        <v>DESARROLLO BACKEND</v>
      </c>
      <c r="D18" s="75" t="str">
        <f>IF(Riesgos!D31="","",Riesgos!D31)</f>
        <v>SEGURIDAD</v>
      </c>
      <c r="E18" s="36" t="str">
        <f>IF(Riesgos!E31="","",Riesgos!E31)</f>
        <v>Carga de archivos maliciosos o de tamaño excesivo</v>
      </c>
      <c r="F18" s="31" t="str">
        <f>IF(Riesgos!F31="","",Riesgos!F31)</f>
        <v>Amenaza</v>
      </c>
      <c r="G18" s="41" t="str">
        <f>IF(Riesgos!G31="","",Riesgos!G31)</f>
        <v>El sistema recibe documentos adjuntos subidos por los usuarios.</v>
      </c>
      <c r="H18" s="41" t="str">
        <f>IF(Riesgos!H31="","",Riesgos!H31)</f>
        <v>Almacenamiento comprometido o servicio sin recursos
(Objetivos 2 y 3)</v>
      </c>
      <c r="I18" s="105" t="str">
        <f>IF(Riesgos!I31="","",Riesgos!I31)</f>
        <v>Durante el registro de solicitudes, debido a la carga de archivos sin validar, un archivo malicioso o muy grande podría comprometer el almacenamiento o saturar el servicio.</v>
      </c>
      <c r="J18" s="107" t="str">
        <f>IF(Riesgos!J31="","",Riesgos!J31)</f>
        <v/>
      </c>
      <c r="K18" s="49" t="str">
        <f>IF(Riesgos!K31="","",Riesgos!K31)</f>
        <v>Baja</v>
      </c>
      <c r="L18" s="49" t="str">
        <f>IF(Riesgos!L31="","",Riesgos!L31)</f>
        <v>Alto</v>
      </c>
      <c r="M18" s="81">
        <v>3</v>
      </c>
      <c r="N18" s="83" t="str">
        <f>IF(Riesgos!N31="","",Riesgos!N31)</f>
        <v>Kevin Soto</v>
      </c>
      <c r="O18" s="86" t="str">
        <f>IF(Riesgos!O31="","",Riesgos!O31)</f>
        <v>Mitigar</v>
      </c>
      <c r="P18" s="86" t="str">
        <f>IF(Riesgos!P31="","",Riesgos!P31)</f>
        <v>Validar el tipo real del archivo (MIME) y su extensión, limitar el tamaño, guardarlo en almacenamiento de objetos con nombre generado y permitir la descarga solo a usuarios autorizados.</v>
      </c>
      <c r="Q18" s="70" t="str">
        <f>IF(Riesgos!Q31="","",Riesgos!Q31)</f>
        <v>Incluir en las pruebas de seguridad la carga de archivos no permitidos y de gran tamaño.</v>
      </c>
      <c r="R18" s="70" t="str">
        <f>IF(Riesgos!R31="","",Riesgos!R31)</f>
        <v>Por sprint</v>
      </c>
      <c r="S18" s="70" t="str">
        <f>IF(Riesgos!S31="","",Riesgos!S31)</f>
        <v>Equipo</v>
      </c>
      <c r="T18" s="16"/>
      <c r="U18" s="16"/>
      <c r="V18" s="16"/>
      <c r="W18" s="16"/>
      <c r="X18" s="16"/>
      <c r="Y18" s="16"/>
    </row>
    <row r="19" spans="1:25" ht="180" customHeight="1">
      <c r="A19" s="20">
        <f>IF(Riesgos!A32="","",Riesgos!A32)</f>
        <v>46258</v>
      </c>
      <c r="B19" s="75" t="str">
        <f>IF(Riesgos!B32="","",Riesgos!B32)</f>
        <v>SEG-005</v>
      </c>
      <c r="C19" s="75" t="str">
        <f>IF(Riesgos!C32="","",Riesgos!C32)</f>
        <v>INTEGRACIÓN IA</v>
      </c>
      <c r="D19" s="75" t="str">
        <f>IF(Riesgos!D32="","",Riesgos!D32)</f>
        <v>SEGURIDAD</v>
      </c>
      <c r="E19" s="36" t="str">
        <f>IF(Riesgos!E32="","",Riesgos!E32)</f>
        <v>Exposición de datos sensibles o manipulación del prompt en el servicio de IA</v>
      </c>
      <c r="F19" s="31" t="str">
        <f>IF(Riesgos!F32="","",Riesgos!F32)</f>
        <v>Amenaza</v>
      </c>
      <c r="G19" s="41" t="str">
        <f>IF(Riesgos!G32="","",Riesgos!G32)</f>
        <v>El contenido de los documentos se envía a un modelo de IA externo como parte del prompt.</v>
      </c>
      <c r="H19" s="41" t="str">
        <f>IF(Riesgos!H32="","",Riesgos!H32)</f>
        <v>Datos del cliente expuestos a un tercero o evaluaciones alteradas
(Objetivo 4)</v>
      </c>
      <c r="I19" s="105" t="str">
        <f>IF(Riesgos!I32="","",Riesgos!I32)</f>
        <v>Durante el análisis de documentos, debido a que su contenido se envía al proveedor externo, podrían exponerse datos sensibles o un documento con instrucciones ocultas podría alterar la evaluación.</v>
      </c>
      <c r="J19" s="107" t="str">
        <f>IF(Riesgos!J32="","",Riesgos!J32)</f>
        <v/>
      </c>
      <c r="K19" s="49" t="str">
        <f>IF(Riesgos!K32="","",Riesgos!K32)</f>
        <v>Baja</v>
      </c>
      <c r="L19" s="49" t="str">
        <f>IF(Riesgos!L32="","",Riesgos!L32)</f>
        <v>Alto</v>
      </c>
      <c r="M19" s="81">
        <v>3</v>
      </c>
      <c r="N19" s="83" t="str">
        <f>IF(Riesgos!N32="","",Riesgos!N32)</f>
        <v>Eduardo Kusar</v>
      </c>
      <c r="O19" s="86" t="str">
        <f>IF(Riesgos!O32="","",Riesgos!O32)</f>
        <v>Mitigar</v>
      </c>
      <c r="P19" s="86" t="str">
        <f>IF(Riesgos!P32="","",Riesgos!P32)</f>
        <v>Enviar solo los campos necesarios, enmascarar RUT y correos, separar las instrucciones del contenido del documento y validar la respuesta contra un esquema JSON.</v>
      </c>
      <c r="Q19" s="70" t="str">
        <f>IF(Riesgos!Q32="","",Riesgos!Q32)</f>
        <v>Revisar en las pruebas de IA qué datos se envían al proveedor y si las respuestas cumplen el esquema.</v>
      </c>
      <c r="R19" s="70" t="str">
        <f>IF(Riesgos!R32="","",Riesgos!R32)</f>
        <v>Por sprint</v>
      </c>
      <c r="S19" s="70" t="str">
        <f>IF(Riesgos!S32="","",Riesgos!S32)</f>
        <v>Equipo</v>
      </c>
      <c r="T19" s="16"/>
      <c r="U19" s="16"/>
      <c r="V19" s="16"/>
      <c r="W19" s="16"/>
      <c r="X19" s="16"/>
      <c r="Y19" s="16"/>
    </row>
    <row r="20" spans="1:25" ht="180" customHeight="1">
      <c r="A20" s="20">
        <f>IF(Riesgos!A17="","",Riesgos!A17)</f>
        <v>46258</v>
      </c>
      <c r="B20" s="75" t="str">
        <f>IF(Riesgos!B17="","",Riesgos!B17)</f>
        <v>TEC-004</v>
      </c>
      <c r="C20" s="75" t="str">
        <f>IF(Riesgos!C17="","",Riesgos!C17)</f>
        <v>INTEGRACIÓN IA</v>
      </c>
      <c r="D20" s="75" t="str">
        <f>IF(Riesgos!D17="","",Riesgos!D17)</f>
        <v>TECNICO</v>
      </c>
      <c r="E20" s="36" t="str">
        <f>IF(Riesgos!E17="","",Riesgos!E17)</f>
        <v>Aceptación de sugerencias de la IA sin verificación del revisor</v>
      </c>
      <c r="F20" s="31" t="str">
        <f>IF(Riesgos!F17="","",Riesgos!F17)</f>
        <v>Amenaza</v>
      </c>
      <c r="G20" s="41" t="str">
        <f>IF(Riesgos!G17="","",Riesgos!G17)</f>
        <v>Confianza excesiva en la evaluación automática de las solicitudes.</v>
      </c>
      <c r="H20" s="41" t="str">
        <f>IF(Riesgos!H17="","",Riesgos!H17)</f>
        <v>Aprobación de documentos incorrectos
(Objetivos 3 y 4)</v>
      </c>
      <c r="I20" s="105" t="str">
        <f>IF(Riesgos!I17="","",Riesgos!I17)</f>
        <v>Durante la revisión de solicitudes, debido a la confianza en la evaluación de la IA, un revisor podría aprobar un documento sin revisarlo realmente.</v>
      </c>
      <c r="J20" s="107" t="str">
        <f>IF(Riesgos!J17="","",Riesgos!J17)</f>
        <v/>
      </c>
      <c r="K20" s="49" t="str">
        <f>IF(Riesgos!K17="","",Riesgos!K17)</f>
        <v>Baja</v>
      </c>
      <c r="L20" s="49" t="str">
        <f>IF(Riesgos!L17="","",Riesgos!L17)</f>
        <v>Medio</v>
      </c>
      <c r="M20" s="81">
        <v>2</v>
      </c>
      <c r="N20" s="83" t="str">
        <f>IF(Riesgos!N17="","",Riesgos!N17)</f>
        <v>Nicolás Vidal</v>
      </c>
      <c r="O20" s="86" t="str">
        <f>IF(Riesgos!O17="","",Riesgos!O17)</f>
        <v>Mitigar</v>
      </c>
      <c r="P20" s="86" t="str">
        <f>IF(Riesgos!P17="","",Riesgos!P17)</f>
        <v>Mostrar claramente que la decisión es del revisor, exigir su confirmación y nunca aprobar de forma automática.</v>
      </c>
      <c r="Q20" s="70" t="str">
        <f>IF(Riesgos!Q17="","",Riesgos!Q17)</f>
        <v>Verificar en las pruebas de aceptación que ninguna decisión se tome sin el revisor.</v>
      </c>
      <c r="R20" s="70" t="str">
        <f>IF(Riesgos!R17="","",Riesgos!R17)</f>
        <v>Por sprint</v>
      </c>
      <c r="S20" s="70" t="str">
        <f>IF(Riesgos!S17="","",Riesgos!S17)</f>
        <v>Product Owner</v>
      </c>
      <c r="T20" s="16"/>
      <c r="U20" s="16"/>
      <c r="V20" s="16"/>
      <c r="W20" s="16"/>
      <c r="X20" s="16"/>
      <c r="Y20" s="16"/>
    </row>
    <row r="21" spans="1:25" ht="180" customHeight="1">
      <c r="A21" s="20">
        <f>IF(Riesgos!A21="","",Riesgos!A21)</f>
        <v>46258</v>
      </c>
      <c r="B21" s="75" t="str">
        <f>IF(Riesgos!B21="","",Riesgos!B21)</f>
        <v>TEC-007</v>
      </c>
      <c r="C21" s="75" t="str">
        <f>IF(Riesgos!C21="","",Riesgos!C21)</f>
        <v>PRUEBAS Y CALIDAD</v>
      </c>
      <c r="D21" s="75" t="str">
        <f>IF(Riesgos!D21="","",Riesgos!D21)</f>
        <v>TECNICO</v>
      </c>
      <c r="E21" s="36" t="str">
        <f>IF(Riesgos!E21="","",Riesgos!E21)</f>
        <v>Rendimiento insuficiente con varios usuarios simultáneos</v>
      </c>
      <c r="F21" s="31" t="str">
        <f>IF(Riesgos!F21="","",Riesgos!F21)</f>
        <v>Amenaza</v>
      </c>
      <c r="G21" s="41" t="str">
        <f>IF(Riesgos!G21="","",Riesgos!G21)</f>
        <v>El rendimiento de búsquedas, registros y descargas solo podrá medirse con el sistema integrado.</v>
      </c>
      <c r="H21" s="41" t="str">
        <f>IF(Riesgos!H21="","",Riesgos!H21)</f>
        <v>Respuestas lentas en la demo o en el uso real
(Objetivo 5)</v>
      </c>
      <c r="I21" s="105" t="str">
        <f>IF(Riesgos!I21="","",Riesgos!I21)</f>
        <v>Durante el uso simultáneo del sistema, si no se mide su rendimiento a tiempo, las búsquedas y descargas podrían responder lento.</v>
      </c>
      <c r="J21" s="107" t="str">
        <f>IF(Riesgos!J21="","",Riesgos!J21)</f>
        <v/>
      </c>
      <c r="K21" s="49" t="str">
        <f>IF(Riesgos!K21="","",Riesgos!K21)</f>
        <v>Baja</v>
      </c>
      <c r="L21" s="49" t="str">
        <f>IF(Riesgos!L21="","",Riesgos!L21)</f>
        <v>Medio</v>
      </c>
      <c r="M21" s="81">
        <v>2</v>
      </c>
      <c r="N21" s="83" t="str">
        <f>IF(Riesgos!N21="","",Riesgos!N21)</f>
        <v>Kevin Soto</v>
      </c>
      <c r="O21" s="86" t="str">
        <f>IF(Riesgos!O21="","",Riesgos!O21)</f>
        <v>Mitigar</v>
      </c>
      <c r="P21" s="86" t="str">
        <f>IF(Riesgos!P21="","",Riesgos!P21)</f>
        <v>Ejecutar pruebas de carga y estrés con Apache JMeter antes del cierre y optimizar las consultas lentas.</v>
      </c>
      <c r="Q21" s="70" t="str">
        <f>IF(Riesgos!Q21="","",Riesgos!Q21)</f>
        <v>Comparar los tiempos de respuesta con el objetivo de 2 segundos.</v>
      </c>
      <c r="R21" s="70" t="str">
        <f>IF(Riesgos!R21="","",Riesgos!R21)</f>
        <v>Una vez (Fase 3)</v>
      </c>
      <c r="S21" s="70" t="str">
        <f>IF(Riesgos!S21="","",Riesgos!S21)</f>
        <v>Equipo</v>
      </c>
      <c r="T21" s="16"/>
      <c r="U21" s="16"/>
      <c r="V21" s="16"/>
      <c r="W21" s="16"/>
      <c r="X21" s="16"/>
      <c r="Y21" s="16"/>
    </row>
    <row r="22" spans="1:25" ht="180" customHeight="1">
      <c r="A22" s="20">
        <f>IF(Riesgos!A26="","",Riesgos!A26)</f>
        <v>46258</v>
      </c>
      <c r="B22" s="75" t="str">
        <f>IF(Riesgos!B26="","",Riesgos!B26)</f>
        <v>TEC-008</v>
      </c>
      <c r="C22" s="75" t="str">
        <f>IF(Riesgos!C26="","",Riesgos!C26)</f>
        <v>INFRAESTRUCTURA</v>
      </c>
      <c r="D22" s="75" t="str">
        <f>IF(Riesgos!D26="","",Riesgos!D26)</f>
        <v>TECNICO</v>
      </c>
      <c r="E22" s="36" t="str">
        <f>IF(Riesgos!E26="","",Riesgos!E26)</f>
        <v>Pérdida de datos o configuración en los equipos locales</v>
      </c>
      <c r="F22" s="31" t="str">
        <f>IF(Riesgos!F26="","",Riesgos!F26)</f>
        <v>Amenaza</v>
      </c>
      <c r="G22" s="41" t="str">
        <f>IF(Riesgos!G26="","",Riesgos!G26)</f>
        <v>Datos de prueba y configuración del ambiente guardados solo en los computadores de los integrantes.</v>
      </c>
      <c r="H22" s="41" t="str">
        <f>IF(Riesgos!H26="","",Riesgos!H26)</f>
        <v>Pérdida de datos de demostración y de evidencias de pruebas
(Objetivo 5)</v>
      </c>
      <c r="I22" s="105" t="str">
        <f>IF(Riesgos!I26="","",Riesgos!I26)</f>
        <v>Durante el desarrollo, debido a una falla de un computador o a reiniciar los contenedores, los datos de prueba y la configuración podrían perderse.</v>
      </c>
      <c r="J22" s="107" t="str">
        <f>IF(Riesgos!J26="","",Riesgos!J26)</f>
        <v/>
      </c>
      <c r="K22" s="49" t="str">
        <f>IF(Riesgos!K26="","",Riesgos!K26)</f>
        <v>Baja</v>
      </c>
      <c r="L22" s="49" t="str">
        <f>IF(Riesgos!L26="","",Riesgos!L26)</f>
        <v>Medio</v>
      </c>
      <c r="M22" s="81">
        <v>2</v>
      </c>
      <c r="N22" s="83" t="str">
        <f>IF(Riesgos!N26="","",Riesgos!N26)</f>
        <v>Eduardo Kusar</v>
      </c>
      <c r="O22" s="86" t="str">
        <f>IF(Riesgos!O26="","",Riesgos!O26)</f>
        <v>Mitigar</v>
      </c>
      <c r="P22" s="86" t="str">
        <f>IF(Riesgos!P26="","",Riesgos!P26)</f>
        <v>Mantener el código y la configuración en GitHub y versionar los scripts de datos de prueba para recrear el ambiente.</v>
      </c>
      <c r="Q22" s="70" t="str">
        <f>IF(Riesgos!Q26="","",Riesgos!Q26)</f>
        <v>Verificar al inicio de cada sprint que el ambiente se pueda recrear desde el repositorio.</v>
      </c>
      <c r="R22" s="70" t="str">
        <f>IF(Riesgos!R26="","",Riesgos!R26)</f>
        <v>Por sprint</v>
      </c>
      <c r="S22" s="70" t="str">
        <f>IF(Riesgos!S26="","",Riesgos!S26)</f>
        <v>Equipo</v>
      </c>
      <c r="T22" s="16"/>
      <c r="U22" s="16"/>
      <c r="V22" s="16"/>
      <c r="W22" s="16"/>
      <c r="X22" s="16"/>
      <c r="Y22" s="16"/>
    </row>
    <row r="23" spans="1:25" ht="180" customHeight="1">
      <c r="A23" s="20">
        <f>IF(Riesgos!A27="","",Riesgos!A27)</f>
        <v>46258</v>
      </c>
      <c r="B23" s="75" t="str">
        <f>IF(Riesgos!B27="","",Riesgos!B27)</f>
        <v>EXT-002</v>
      </c>
      <c r="C23" s="75" t="str">
        <f>IF(Riesgos!C27="","",Riesgos!C27)</f>
        <v>DESARROLLO BACKEND</v>
      </c>
      <c r="D23" s="75" t="str">
        <f>IF(Riesgos!D27="","",Riesgos!D27)</f>
        <v>EXTERNO</v>
      </c>
      <c r="E23" s="36" t="str">
        <f>IF(Riesgos!E27="","",Riesgos!E27)</f>
        <v>Bloqueos o indisponibilidad del servicio de correo de Masterbase</v>
      </c>
      <c r="F23" s="31" t="str">
        <f>IF(Riesgos!F27="","",Riesgos!F27)</f>
        <v>Amenaza</v>
      </c>
      <c r="G23" s="41" t="str">
        <f>IF(Riesgos!G27="","",Riesgos!G27)</f>
        <v>Las notificaciones dependen de la API de envío de correos de Masterbase.</v>
      </c>
      <c r="H23" s="41" t="str">
        <f>IF(Riesgos!H27="","",Riesgos!H27)</f>
        <v>Los usuarios no reciben las alertas de cambios de estado
(Objetivo 3)</v>
      </c>
      <c r="I23" s="105" t="str">
        <f>IF(Riesgos!I27="","",Riesgos!I27)</f>
        <v>Durante el Sprint 1 y las demostraciones, debido a bloqueos o cambios en el servicio de correo externo, las notificaciones podrían no enviarse.</v>
      </c>
      <c r="J23" s="107" t="str">
        <f>IF(Riesgos!J27="","",Riesgos!J27)</f>
        <v/>
      </c>
      <c r="K23" s="49" t="str">
        <f>IF(Riesgos!K27="","",Riesgos!K27)</f>
        <v>Media</v>
      </c>
      <c r="L23" s="49" t="str">
        <f>IF(Riesgos!L27="","",Riesgos!L27)</f>
        <v>Bajo</v>
      </c>
      <c r="M23" s="81">
        <v>2</v>
      </c>
      <c r="N23" s="83" t="str">
        <f>IF(Riesgos!N27="","",Riesgos!N27)</f>
        <v>Eduardo Kusar</v>
      </c>
      <c r="O23" s="86" t="str">
        <f>IF(Riesgos!O27="","",Riesgos!O27)</f>
        <v>Mitigar</v>
      </c>
      <c r="P23" s="86" t="str">
        <f>IF(Riesgos!P27="","",Riesgos!P27)</f>
        <v>Enviar los correos desde un microservicio de notificaciones desacoplado y con reintentos, y mantener las notificaciones dentro del sistema como respaldo.</v>
      </c>
      <c r="Q23" s="70" t="str">
        <f>IF(Riesgos!Q27="","",Riesgos!Q27)</f>
        <v>Revisar los envíos fallidos en cada sprint.</v>
      </c>
      <c r="R23" s="70" t="str">
        <f>IF(Riesgos!R27="","",Riesgos!R27)</f>
        <v>Por sprint</v>
      </c>
      <c r="S23" s="70" t="str">
        <f>IF(Riesgos!S27="","",Riesgos!S27)</f>
        <v>Equipo</v>
      </c>
      <c r="T23" s="16"/>
      <c r="U23" s="16"/>
      <c r="V23" s="16"/>
      <c r="W23" s="16"/>
      <c r="X23" s="16"/>
      <c r="Y23" s="16"/>
    </row>
    <row r="24" spans="1:25" ht="180" customHeight="1">
      <c r="A24" s="20">
        <f>IF(Riesgos!A30="","",Riesgos!A30)</f>
        <v>46258</v>
      </c>
      <c r="B24" s="75" t="str">
        <f>IF(Riesgos!B30="","",Riesgos!B30)</f>
        <v>TEC-011</v>
      </c>
      <c r="C24" s="75" t="str">
        <f>IF(Riesgos!C30="","",Riesgos!C30)</f>
        <v>DESARROLLO BACKEND</v>
      </c>
      <c r="D24" s="75" t="str">
        <f>IF(Riesgos!D30="","",Riesgos!D30)</f>
        <v>TECNICO</v>
      </c>
      <c r="E24" s="36" t="str">
        <f>IF(Riesgos!E30="","",Riesgos!E30)</f>
        <v>Decisiones concurrentes sobre una misma solicitud</v>
      </c>
      <c r="F24" s="31" t="str">
        <f>IF(Riesgos!F30="","",Riesgos!F30)</f>
        <v>Amenaza</v>
      </c>
      <c r="G24" s="41" t="str">
        <f>IF(Riesgos!G30="","",Riesgos!G30)</f>
        <v>Varios revisores pueden actuar sobre la misma etapa del flujo de aprobación al mismo tiempo.</v>
      </c>
      <c r="H24" s="41" t="str">
        <f>IF(Riesgos!H30="","",Riesgos!H30)</f>
        <v>Solicitudes en estados inválidos o etapas del flujo omitidas
(Objetivo 3)</v>
      </c>
      <c r="I24" s="105" t="str">
        <f>IF(Riesgos!I30="","",Riesgos!I30)</f>
        <v>Durante la revisión de solicitudes, debido a dos decisiones simultáneas, la solicitud podría quedar en un estado inválido o saltar una etapa.</v>
      </c>
      <c r="J24" s="107" t="str">
        <f>IF(Riesgos!J30="","",Riesgos!J30)</f>
        <v/>
      </c>
      <c r="K24" s="49" t="str">
        <f>IF(Riesgos!K30="","",Riesgos!K30)</f>
        <v>Baja</v>
      </c>
      <c r="L24" s="49" t="str">
        <f>IF(Riesgos!L30="","",Riesgos!L30)</f>
        <v>Medio</v>
      </c>
      <c r="M24" s="81">
        <v>2</v>
      </c>
      <c r="N24" s="83" t="str">
        <f>IF(Riesgos!N30="","",Riesgos!N30)</f>
        <v>Eduardo Kusar</v>
      </c>
      <c r="O24" s="86" t="str">
        <f>IF(Riesgos!O30="","",Riesgos!O30)</f>
        <v>Mitigar</v>
      </c>
      <c r="P24" s="86" t="str">
        <f>IF(Riesgos!P30="","",Riesgos!P30)</f>
        <v>Aplicar bloqueo optimista con versión en la entidad, validar cada transición de estado en el backend y agregar pruebas de concurrencia.</v>
      </c>
      <c r="Q24" s="70" t="str">
        <f>IF(Riesgos!Q30="","",Riesgos!Q30)</f>
        <v>Revisar el resultado de las pruebas de concurrencia del flujo.</v>
      </c>
      <c r="R24" s="70" t="str">
        <f>IF(Riesgos!R30="","",Riesgos!R30)</f>
        <v>Por sprint</v>
      </c>
      <c r="S24" s="70" t="str">
        <f>IF(Riesgos!S30="","",Riesgos!S30)</f>
        <v>Equipo</v>
      </c>
      <c r="T24" s="16"/>
      <c r="U24" s="16"/>
      <c r="V24" s="16"/>
      <c r="W24" s="16"/>
      <c r="X24" s="16"/>
      <c r="Y24" s="16"/>
    </row>
    <row r="25" spans="1:25" ht="180" customHeight="1">
      <c r="A25" s="20">
        <f>IF(Riesgos!A33="","",Riesgos!A33)</f>
        <v>46258</v>
      </c>
      <c r="B25" s="75" t="str">
        <f>IF(Riesgos!B33="","",Riesgos!B33)</f>
        <v>TEC-012</v>
      </c>
      <c r="C25" s="75" t="str">
        <f>IF(Riesgos!C33="","",Riesgos!C33)</f>
        <v>DESARROLLO BACKEND</v>
      </c>
      <c r="D25" s="75" t="str">
        <f>IF(Riesgos!D33="","",Riesgos!D33)</f>
        <v>TECNICO</v>
      </c>
      <c r="E25" s="36" t="str">
        <f>IF(Riesgos!E33="","",Riesgos!E33)</f>
        <v>Errores en la evolución del esquema de base de datos</v>
      </c>
      <c r="F25" s="31" t="str">
        <f>IF(Riesgos!F33="","",Riesgos!F33)</f>
        <v>Amenaza</v>
      </c>
      <c r="G25" s="41" t="str">
        <f>IF(Riesgos!G33="","",Riesgos!G33)</f>
        <v>Modelo de datos que cambiará en cada sprint (flujos, áreas, planillas).</v>
      </c>
      <c r="H25" s="41" t="str">
        <f>IF(Riesgos!H33="","",Riesgos!H33)</f>
        <v>Pérdida de datos o ambientes con esquemas distintos
(Objetivo 2)</v>
      </c>
      <c r="I25" s="105" t="str">
        <f>IF(Riesgos!I33="","",Riesgos!I33)</f>
        <v>Durante la integración de cada sprint, debido a cambios manuales en el esquema, los datos existentes podrían romperse o los ambientes de los integrantes podrían quedar con esquemas distintos.</v>
      </c>
      <c r="J25" s="107" t="str">
        <f>IF(Riesgos!J33="","",Riesgos!J33)</f>
        <v/>
      </c>
      <c r="K25" s="49" t="str">
        <f>IF(Riesgos!K33="","",Riesgos!K33)</f>
        <v>Baja</v>
      </c>
      <c r="L25" s="49" t="str">
        <f>IF(Riesgos!L33="","",Riesgos!L33)</f>
        <v>Medio</v>
      </c>
      <c r="M25" s="81">
        <f>IF(Riesgos!M33="","",Riesgos!M33)</f>
        <v>2</v>
      </c>
      <c r="N25" s="83" t="str">
        <f>IF(Riesgos!N33="","",Riesgos!N33)</f>
        <v>Eduardo Kusar</v>
      </c>
      <c r="O25" s="86" t="str">
        <f>IF(Riesgos!O33="","",Riesgos!O33)</f>
        <v>Mitigar</v>
      </c>
      <c r="P25" s="86" t="str">
        <f>IF(Riesgos!P33="","",Riesgos!P33)</f>
        <v>Versionar el esquema con migraciones automáticas (Flyway) y probarlas sobre una base con datos antes de integrarlas.</v>
      </c>
      <c r="Q25" s="70" t="str">
        <f>IF(Riesgos!Q33="","",Riesgos!Q33)</f>
        <v>Verificar que las migraciones se apliquen sin errores al levantar el ambiente.</v>
      </c>
      <c r="R25" s="70" t="str">
        <f>IF(Riesgos!R33="","",Riesgos!R33)</f>
        <v>Por sprint</v>
      </c>
      <c r="S25" s="70" t="str">
        <f>IF(Riesgos!S33="","",Riesgos!S33)</f>
        <v>Equipo</v>
      </c>
      <c r="T25" s="16"/>
      <c r="U25" s="16"/>
      <c r="V25" s="16"/>
      <c r="W25" s="16"/>
      <c r="X25" s="16"/>
      <c r="Y25" s="16"/>
    </row>
    <row r="26" spans="1:25" ht="180" customHeight="1">
      <c r="A26" s="20">
        <f>IF(Riesgos!A34="","",Riesgos!A34)</f>
        <v>46258</v>
      </c>
      <c r="B26" s="75" t="str">
        <f>IF(Riesgos!B34="","",Riesgos!B34)</f>
        <v>TEC-013</v>
      </c>
      <c r="C26" s="75" t="str">
        <f>IF(Riesgos!C34="","",Riesgos!C34)</f>
        <v>DESARROLLO FRONTEND</v>
      </c>
      <c r="D26" s="75" t="str">
        <f>IF(Riesgos!D34="","",Riesgos!D34)</f>
        <v>TECNICO</v>
      </c>
      <c r="E26" s="36" t="str">
        <f>IF(Riesgos!E34="","",Riesgos!E34)</f>
        <v>Expiración del token de sesión durante una operación</v>
      </c>
      <c r="F26" s="31" t="str">
        <f>IF(Riesgos!F34="","",Riesgos!F34)</f>
        <v>Amenaza</v>
      </c>
      <c r="G26" s="41" t="str">
        <f>IF(Riesgos!G34="","",Riesgos!G34)</f>
        <v>Autenticación con tokens JWT de duración limitada emitidos por Keycloak.</v>
      </c>
      <c r="H26" s="41" t="str">
        <f>IF(Riesgos!H34="","",Riesgos!H34)</f>
        <v>Pérdida de la información ingresada por el usuario
(Objetivo 3)</v>
      </c>
      <c r="I26" s="105" t="str">
        <f>IF(Riesgos!I34="","",Riesgos!I34)</f>
        <v>Durante el registro de una solicitud, debido a que el token expira, el envío podría ser rechazado y el usuario perder lo ingresado.</v>
      </c>
      <c r="J26" s="107" t="str">
        <f>IF(Riesgos!J34="","",Riesgos!J34)</f>
        <v/>
      </c>
      <c r="K26" s="49" t="str">
        <f>IF(Riesgos!K34="","",Riesgos!K34)</f>
        <v>Baja</v>
      </c>
      <c r="L26" s="49" t="str">
        <f>IF(Riesgos!L34="","",Riesgos!L34)</f>
        <v>Medio</v>
      </c>
      <c r="M26" s="81">
        <f>IF(Riesgos!M34="","",Riesgos!M34)</f>
        <v>2</v>
      </c>
      <c r="N26" s="83" t="str">
        <f>IF(Riesgos!N34="","",Riesgos!N34)</f>
        <v>Kevin Soto</v>
      </c>
      <c r="O26" s="86" t="str">
        <f>IF(Riesgos!O34="","",Riesgos!O34)</f>
        <v>Mitigar</v>
      </c>
      <c r="P26" s="86" t="str">
        <f>IF(Riesgos!P34="","",Riesgos!P34)</f>
        <v>Renovar el token automáticamente con el refresh token y manejar las respuestas 401 en el frontend sin perder el formulario.</v>
      </c>
      <c r="Q26" s="70" t="str">
        <f>IF(Riesgos!Q34="","",Riesgos!Q34)</f>
        <v>Probar formularios largos con tokens de corta duración.</v>
      </c>
      <c r="R26" s="70" t="str">
        <f>IF(Riesgos!R34="","",Riesgos!R34)</f>
        <v>Por sprint</v>
      </c>
      <c r="S26" s="70" t="str">
        <f>IF(Riesgos!S34="","",Riesgos!S34)</f>
        <v>Equipo</v>
      </c>
      <c r="T26" s="16"/>
      <c r="U26" s="16"/>
      <c r="V26" s="16"/>
      <c r="W26" s="16"/>
      <c r="X26" s="16"/>
      <c r="Y26" s="16"/>
    </row>
    <row r="27" spans="1:25" ht="180" customHeight="1">
      <c r="A27" s="20">
        <v>46258</v>
      </c>
      <c r="B27" s="75" t="s">
        <v>276</v>
      </c>
      <c r="C27" s="75" t="s">
        <v>103</v>
      </c>
      <c r="D27" s="75" t="s">
        <v>54</v>
      </c>
      <c r="E27" s="36" t="s">
        <v>194</v>
      </c>
      <c r="F27" s="31" t="s">
        <v>42</v>
      </c>
      <c r="G27" s="41" t="s">
        <v>195</v>
      </c>
      <c r="H27" s="41" t="s">
        <v>196</v>
      </c>
      <c r="I27" s="105" t="s">
        <v>197</v>
      </c>
      <c r="J27" s="107"/>
      <c r="K27" s="49" t="s">
        <v>85</v>
      </c>
      <c r="L27" s="49" t="s">
        <v>47</v>
      </c>
      <c r="M27" s="81">
        <v>2</v>
      </c>
      <c r="N27" s="83" t="s">
        <v>70</v>
      </c>
      <c r="O27" s="86" t="s">
        <v>48</v>
      </c>
      <c r="P27" s="86" t="s">
        <v>198</v>
      </c>
      <c r="Q27" s="70" t="s">
        <v>199</v>
      </c>
      <c r="R27" s="70" t="s">
        <v>62</v>
      </c>
      <c r="S27" s="70" t="s">
        <v>63</v>
      </c>
      <c r="T27" s="16"/>
      <c r="U27" s="16"/>
      <c r="V27" s="16"/>
      <c r="W27" s="16"/>
      <c r="X27" s="16"/>
      <c r="Y27" s="16"/>
    </row>
    <row r="28" spans="1:25" ht="41.25" customHeight="1">
      <c r="A28" s="20"/>
      <c r="B28" s="75"/>
      <c r="C28" s="75"/>
      <c r="D28" s="75"/>
      <c r="E28" s="36"/>
      <c r="F28" s="31"/>
      <c r="G28" s="41"/>
      <c r="H28" s="41"/>
      <c r="I28" s="105"/>
      <c r="J28" s="107"/>
      <c r="K28" s="49"/>
      <c r="L28" s="49"/>
      <c r="M28" s="81"/>
      <c r="N28" s="83"/>
      <c r="O28" s="86"/>
      <c r="P28" s="86"/>
      <c r="Q28" s="70"/>
      <c r="R28" s="70"/>
      <c r="S28" s="70"/>
      <c r="T28" s="16"/>
      <c r="U28" s="16"/>
      <c r="V28" s="16"/>
      <c r="W28" s="16"/>
      <c r="X28" s="16"/>
      <c r="Y28" s="16"/>
    </row>
    <row r="29" spans="1:25" ht="41.25" customHeight="1">
      <c r="A29" s="20"/>
      <c r="B29" s="75"/>
      <c r="C29" s="75"/>
      <c r="D29" s="75"/>
      <c r="E29" s="36"/>
      <c r="F29" s="31"/>
      <c r="G29" s="41"/>
      <c r="H29" s="41"/>
      <c r="I29" s="105"/>
      <c r="J29" s="107"/>
      <c r="K29" s="49"/>
      <c r="L29" s="49"/>
      <c r="M29" s="81"/>
      <c r="N29" s="83"/>
      <c r="O29" s="86"/>
      <c r="P29" s="86"/>
      <c r="Q29" s="70"/>
      <c r="R29" s="70"/>
      <c r="S29" s="70"/>
      <c r="T29" s="16"/>
      <c r="U29" s="16"/>
      <c r="V29" s="16"/>
      <c r="W29" s="16"/>
      <c r="X29" s="16"/>
      <c r="Y29" s="16"/>
    </row>
    <row r="30" spans="1:25" ht="41.25" customHeight="1">
      <c r="A30" s="20"/>
      <c r="B30" s="75"/>
      <c r="C30" s="75"/>
      <c r="D30" s="75"/>
      <c r="E30" s="36"/>
      <c r="F30" s="31"/>
      <c r="G30" s="41"/>
      <c r="H30" s="41"/>
      <c r="I30" s="105"/>
      <c r="J30" s="107"/>
      <c r="K30" s="49"/>
      <c r="L30" s="49"/>
      <c r="M30" s="81"/>
      <c r="N30" s="83"/>
      <c r="O30" s="86"/>
      <c r="P30" s="86"/>
      <c r="Q30" s="70"/>
      <c r="R30" s="70"/>
      <c r="S30" s="70"/>
      <c r="T30" s="16"/>
      <c r="U30" s="16"/>
      <c r="V30" s="16"/>
      <c r="W30" s="16"/>
      <c r="X30" s="16"/>
      <c r="Y30" s="16"/>
    </row>
    <row r="31" spans="1:25" ht="41.25" customHeight="1">
      <c r="A31" s="20"/>
      <c r="B31" s="75"/>
      <c r="C31" s="75"/>
      <c r="D31" s="75"/>
      <c r="E31" s="36"/>
      <c r="F31" s="31"/>
      <c r="G31" s="41"/>
      <c r="H31" s="41"/>
      <c r="I31" s="105"/>
      <c r="J31" s="107"/>
      <c r="K31" s="49"/>
      <c r="L31" s="49"/>
      <c r="M31" s="81"/>
      <c r="N31" s="83"/>
      <c r="O31" s="86"/>
      <c r="P31" s="86"/>
      <c r="Q31" s="70"/>
      <c r="R31" s="70"/>
      <c r="S31" s="70"/>
      <c r="T31" s="16"/>
      <c r="U31" s="16"/>
      <c r="V31" s="16"/>
      <c r="W31" s="16"/>
      <c r="X31" s="16"/>
      <c r="Y31" s="16"/>
    </row>
    <row r="32" spans="1:25" ht="41.25" customHeight="1">
      <c r="A32" s="20"/>
      <c r="B32" s="75"/>
      <c r="C32" s="75"/>
      <c r="D32" s="75"/>
      <c r="E32" s="36"/>
      <c r="F32" s="31"/>
      <c r="G32" s="41"/>
      <c r="H32" s="41"/>
      <c r="I32" s="105"/>
      <c r="J32" s="107"/>
      <c r="K32" s="49"/>
      <c r="L32" s="49"/>
      <c r="M32" s="81"/>
      <c r="N32" s="83"/>
      <c r="O32" s="86"/>
      <c r="P32" s="86"/>
      <c r="Q32" s="70"/>
      <c r="R32" s="70"/>
      <c r="S32" s="70"/>
      <c r="T32" s="16"/>
      <c r="U32" s="16"/>
      <c r="V32" s="16"/>
      <c r="W32" s="16"/>
      <c r="X32" s="16"/>
      <c r="Y32" s="16"/>
    </row>
    <row r="33" spans="1:25" ht="12" customHeight="1">
      <c r="A33" s="22"/>
      <c r="B33" s="89"/>
      <c r="C33" s="89"/>
      <c r="D33" s="22"/>
      <c r="E33" s="22"/>
      <c r="F33" s="22"/>
      <c r="G33" s="22"/>
      <c r="H33" s="22"/>
      <c r="I33" s="90"/>
      <c r="J33" s="90"/>
      <c r="K33" s="22"/>
      <c r="L33" s="22"/>
      <c r="M33" s="22"/>
      <c r="N33" s="22"/>
      <c r="O33" s="22"/>
      <c r="P33" s="22"/>
      <c r="Q33" s="16"/>
      <c r="R33" s="16"/>
      <c r="S33" s="16"/>
      <c r="T33" s="16"/>
      <c r="U33" s="16"/>
      <c r="V33" s="16"/>
      <c r="W33" s="16"/>
      <c r="X33" s="16"/>
      <c r="Y33" s="16"/>
    </row>
    <row r="34" spans="1:25" ht="12" customHeight="1">
      <c r="A34" s="22"/>
      <c r="B34" s="89"/>
      <c r="C34" s="89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16"/>
      <c r="R34" s="16"/>
      <c r="S34" s="16"/>
      <c r="T34" s="16"/>
      <c r="U34" s="16"/>
      <c r="V34" s="16"/>
      <c r="W34" s="16"/>
      <c r="X34" s="16"/>
      <c r="Y34" s="16"/>
    </row>
    <row r="35" spans="1:25" ht="12" customHeight="1">
      <c r="A35" s="22"/>
      <c r="B35" s="89"/>
      <c r="C35" s="89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2" customHeight="1">
      <c r="A36" s="22"/>
      <c r="B36" s="89"/>
      <c r="C36" s="89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16"/>
      <c r="R36" s="16"/>
      <c r="S36" s="16"/>
      <c r="T36" s="16"/>
      <c r="U36" s="16"/>
      <c r="V36" s="16"/>
      <c r="W36" s="16"/>
      <c r="X36" s="16"/>
      <c r="Y36" s="16"/>
    </row>
    <row r="37" spans="1:25" ht="12" customHeight="1">
      <c r="A37" s="22"/>
      <c r="B37" s="89"/>
      <c r="C37" s="89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16"/>
      <c r="R37" s="16"/>
      <c r="S37" s="16"/>
      <c r="T37" s="16"/>
      <c r="U37" s="16"/>
      <c r="V37" s="16"/>
      <c r="W37" s="16"/>
      <c r="X37" s="16"/>
      <c r="Y37" s="16"/>
    </row>
    <row r="38" spans="1:25" ht="12" customHeight="1">
      <c r="A38" s="22"/>
      <c r="B38" s="89"/>
      <c r="C38" s="89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16"/>
      <c r="R38" s="16"/>
      <c r="S38" s="16"/>
      <c r="T38" s="16"/>
      <c r="U38" s="16"/>
      <c r="V38" s="16"/>
      <c r="W38" s="16"/>
      <c r="X38" s="16"/>
      <c r="Y38" s="16"/>
    </row>
    <row r="39" spans="1:25" ht="12" customHeight="1">
      <c r="A39" s="22"/>
      <c r="B39" s="89"/>
      <c r="C39" s="89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16"/>
      <c r="R39" s="16"/>
      <c r="S39" s="16"/>
      <c r="T39" s="16"/>
      <c r="U39" s="16"/>
      <c r="V39" s="16"/>
      <c r="W39" s="16"/>
      <c r="X39" s="16"/>
      <c r="Y39" s="16"/>
    </row>
    <row r="40" spans="1:25" ht="12" customHeight="1">
      <c r="A40" s="22"/>
      <c r="B40" s="89"/>
      <c r="C40" s="89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16"/>
      <c r="R40" s="16"/>
      <c r="S40" s="16"/>
      <c r="T40" s="16"/>
      <c r="U40" s="16"/>
      <c r="V40" s="16"/>
      <c r="W40" s="16"/>
      <c r="X40" s="16"/>
      <c r="Y40" s="16"/>
    </row>
    <row r="41" spans="1:25" ht="12" customHeight="1">
      <c r="A41" s="22"/>
      <c r="B41" s="89"/>
      <c r="C41" s="89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16"/>
      <c r="R41" s="16"/>
      <c r="S41" s="16"/>
      <c r="T41" s="16"/>
      <c r="U41" s="16"/>
      <c r="V41" s="16"/>
      <c r="W41" s="16"/>
      <c r="X41" s="16"/>
      <c r="Y41" s="16"/>
    </row>
    <row r="42" spans="1:25" ht="12" customHeight="1">
      <c r="A42" s="22"/>
      <c r="B42" s="89"/>
      <c r="C42" s="89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16"/>
      <c r="R42" s="16"/>
      <c r="S42" s="16"/>
      <c r="T42" s="16"/>
      <c r="U42" s="16"/>
      <c r="V42" s="16"/>
      <c r="W42" s="16"/>
      <c r="X42" s="16"/>
      <c r="Y42" s="16"/>
    </row>
    <row r="43" spans="1:25" ht="12" customHeight="1">
      <c r="A43" s="22"/>
      <c r="B43" s="89"/>
      <c r="C43" s="89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16"/>
      <c r="R43" s="16"/>
      <c r="S43" s="16"/>
      <c r="T43" s="16"/>
      <c r="U43" s="16"/>
      <c r="V43" s="16"/>
      <c r="W43" s="16"/>
      <c r="X43" s="16"/>
      <c r="Y43" s="16"/>
    </row>
    <row r="44" spans="1:25" ht="12" customHeight="1">
      <c r="A44" s="22"/>
      <c r="B44" s="89"/>
      <c r="C44" s="89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16"/>
      <c r="R44" s="16"/>
      <c r="S44" s="16"/>
      <c r="T44" s="16"/>
      <c r="U44" s="16"/>
      <c r="V44" s="16"/>
      <c r="W44" s="16"/>
      <c r="X44" s="16"/>
      <c r="Y44" s="16"/>
    </row>
    <row r="45" spans="1:25" ht="12" customHeight="1">
      <c r="A45" s="22"/>
      <c r="B45" s="89"/>
      <c r="C45" s="89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16"/>
      <c r="R45" s="16"/>
      <c r="S45" s="16"/>
      <c r="T45" s="16"/>
      <c r="U45" s="16"/>
      <c r="V45" s="16"/>
      <c r="W45" s="16"/>
      <c r="X45" s="16"/>
      <c r="Y45" s="16"/>
    </row>
    <row r="46" spans="1:25" ht="12" customHeight="1">
      <c r="A46" s="22"/>
      <c r="B46" s="89"/>
      <c r="C46" s="89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16"/>
      <c r="R46" s="16"/>
      <c r="S46" s="16"/>
      <c r="T46" s="16"/>
      <c r="U46" s="16"/>
      <c r="V46" s="16"/>
      <c r="W46" s="16"/>
      <c r="X46" s="16"/>
      <c r="Y46" s="16"/>
    </row>
    <row r="47" spans="1:25" ht="12" customHeight="1">
      <c r="A47" s="22"/>
      <c r="B47" s="89"/>
      <c r="C47" s="89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16"/>
      <c r="R47" s="16"/>
      <c r="S47" s="16"/>
      <c r="T47" s="16"/>
      <c r="U47" s="16"/>
      <c r="V47" s="16"/>
      <c r="W47" s="16"/>
      <c r="X47" s="16"/>
      <c r="Y47" s="16"/>
    </row>
    <row r="48" spans="1:25" ht="12" customHeight="1">
      <c r="A48" s="22"/>
      <c r="B48" s="89"/>
      <c r="C48" s="89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16"/>
      <c r="R48" s="16"/>
      <c r="S48" s="16"/>
      <c r="T48" s="16"/>
      <c r="U48" s="16"/>
      <c r="V48" s="16"/>
      <c r="W48" s="16"/>
      <c r="X48" s="16"/>
      <c r="Y48" s="16"/>
    </row>
    <row r="49" spans="1:25" ht="12" customHeight="1">
      <c r="A49" s="22"/>
      <c r="B49" s="89"/>
      <c r="C49" s="89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16"/>
      <c r="R49" s="16"/>
      <c r="S49" s="16"/>
      <c r="T49" s="16"/>
      <c r="U49" s="16"/>
      <c r="V49" s="16"/>
      <c r="W49" s="16"/>
      <c r="X49" s="16"/>
      <c r="Y49" s="16"/>
    </row>
    <row r="50" spans="1:25" ht="12" customHeight="1">
      <c r="A50" s="22"/>
      <c r="B50" s="89"/>
      <c r="C50" s="89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16"/>
      <c r="R50" s="16"/>
      <c r="S50" s="16"/>
      <c r="T50" s="16"/>
      <c r="U50" s="16"/>
      <c r="V50" s="16"/>
      <c r="W50" s="16"/>
      <c r="X50" s="16"/>
      <c r="Y50" s="16"/>
    </row>
    <row r="51" spans="1:25" ht="12" customHeight="1">
      <c r="A51" s="22"/>
      <c r="B51" s="89"/>
      <c r="C51" s="89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12" customHeight="1">
      <c r="A52" s="22"/>
      <c r="B52" s="89"/>
      <c r="C52" s="89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16"/>
      <c r="R52" s="16"/>
      <c r="S52" s="16"/>
      <c r="T52" s="16"/>
      <c r="U52" s="16"/>
      <c r="V52" s="16"/>
      <c r="W52" s="16"/>
      <c r="X52" s="16"/>
      <c r="Y52" s="16"/>
    </row>
    <row r="53" spans="1:25" ht="12" customHeight="1">
      <c r="A53" s="22"/>
      <c r="B53" s="89"/>
      <c r="C53" s="89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16"/>
      <c r="R53" s="16"/>
      <c r="S53" s="16"/>
      <c r="T53" s="16"/>
      <c r="U53" s="16"/>
      <c r="V53" s="16"/>
      <c r="W53" s="16"/>
      <c r="X53" s="16"/>
      <c r="Y53" s="16"/>
    </row>
    <row r="54" spans="1:25" ht="12" customHeight="1">
      <c r="A54" s="22"/>
      <c r="B54" s="89"/>
      <c r="C54" s="89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16"/>
      <c r="R54" s="16"/>
      <c r="S54" s="16"/>
      <c r="T54" s="16"/>
      <c r="U54" s="16"/>
      <c r="V54" s="16"/>
      <c r="W54" s="16"/>
      <c r="X54" s="16"/>
      <c r="Y54" s="16"/>
    </row>
    <row r="55" spans="1:25" ht="12" customHeight="1">
      <c r="A55" s="22"/>
      <c r="B55" s="89"/>
      <c r="C55" s="89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16"/>
      <c r="R55" s="16"/>
      <c r="S55" s="16"/>
      <c r="T55" s="16"/>
      <c r="U55" s="16"/>
      <c r="V55" s="16"/>
      <c r="W55" s="16"/>
      <c r="X55" s="16"/>
      <c r="Y55" s="16"/>
    </row>
    <row r="56" spans="1:25" ht="12" customHeight="1">
      <c r="A56" s="22"/>
      <c r="B56" s="89"/>
      <c r="C56" s="89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16"/>
      <c r="R56" s="16"/>
      <c r="S56" s="16"/>
      <c r="T56" s="16"/>
      <c r="U56" s="16"/>
      <c r="V56" s="16"/>
      <c r="W56" s="16"/>
      <c r="X56" s="16"/>
      <c r="Y56" s="16"/>
    </row>
    <row r="57" spans="1:25" ht="12" customHeight="1">
      <c r="A57" s="22"/>
      <c r="B57" s="89"/>
      <c r="C57" s="89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16"/>
      <c r="R57" s="16"/>
      <c r="S57" s="16"/>
      <c r="T57" s="16"/>
      <c r="U57" s="16"/>
      <c r="V57" s="16"/>
      <c r="W57" s="16"/>
      <c r="X57" s="16"/>
      <c r="Y57" s="16"/>
    </row>
    <row r="58" spans="1:25" ht="12" customHeight="1">
      <c r="A58" s="22"/>
      <c r="B58" s="89"/>
      <c r="C58" s="89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16"/>
      <c r="R58" s="16"/>
      <c r="S58" s="16"/>
      <c r="T58" s="16"/>
      <c r="U58" s="16"/>
      <c r="V58" s="16"/>
      <c r="W58" s="16"/>
      <c r="X58" s="16"/>
      <c r="Y58" s="16"/>
    </row>
    <row r="59" spans="1:25" ht="12" customHeight="1">
      <c r="A59" s="22"/>
      <c r="B59" s="89"/>
      <c r="C59" s="89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16"/>
      <c r="R59" s="16"/>
      <c r="S59" s="16"/>
      <c r="T59" s="16"/>
      <c r="U59" s="16"/>
      <c r="V59" s="16"/>
      <c r="W59" s="16"/>
      <c r="X59" s="16"/>
      <c r="Y59" s="16"/>
    </row>
    <row r="60" spans="1:25" ht="12" customHeight="1">
      <c r="A60" s="22"/>
      <c r="B60" s="89"/>
      <c r="C60" s="89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16"/>
      <c r="R60" s="16"/>
      <c r="S60" s="16"/>
      <c r="T60" s="16"/>
      <c r="U60" s="16"/>
      <c r="V60" s="16"/>
      <c r="W60" s="16"/>
      <c r="X60" s="16"/>
      <c r="Y60" s="16"/>
    </row>
    <row r="61" spans="1:25" ht="12" customHeight="1">
      <c r="A61" s="22"/>
      <c r="B61" s="89"/>
      <c r="C61" s="89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16"/>
      <c r="R61" s="16"/>
      <c r="S61" s="16"/>
      <c r="T61" s="16"/>
      <c r="U61" s="16"/>
      <c r="V61" s="16"/>
      <c r="W61" s="16"/>
      <c r="X61" s="16"/>
      <c r="Y61" s="16"/>
    </row>
    <row r="62" spans="1:25" ht="12" customHeight="1">
      <c r="A62" s="22"/>
      <c r="B62" s="89"/>
      <c r="C62" s="89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16"/>
      <c r="R62" s="16"/>
      <c r="S62" s="16"/>
      <c r="T62" s="16"/>
      <c r="U62" s="16"/>
      <c r="V62" s="16"/>
      <c r="W62" s="16"/>
      <c r="X62" s="16"/>
      <c r="Y62" s="16"/>
    </row>
    <row r="63" spans="1:25" ht="12" customHeight="1">
      <c r="A63" s="22"/>
      <c r="B63" s="89"/>
      <c r="C63" s="8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16"/>
      <c r="R63" s="16"/>
      <c r="S63" s="16"/>
      <c r="T63" s="16"/>
      <c r="U63" s="16"/>
      <c r="V63" s="16"/>
      <c r="W63" s="16"/>
      <c r="X63" s="16"/>
      <c r="Y63" s="16"/>
    </row>
    <row r="64" spans="1:25" ht="12" customHeight="1">
      <c r="A64" s="22"/>
      <c r="B64" s="89"/>
      <c r="C64" s="89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16"/>
      <c r="R64" s="16"/>
      <c r="S64" s="16"/>
      <c r="T64" s="16"/>
      <c r="U64" s="16"/>
      <c r="V64" s="16"/>
      <c r="W64" s="16"/>
      <c r="X64" s="16"/>
      <c r="Y64" s="16"/>
    </row>
    <row r="65" spans="1:25" ht="12" customHeight="1">
      <c r="A65" s="22"/>
      <c r="B65" s="89"/>
      <c r="C65" s="89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16"/>
      <c r="R65" s="16"/>
      <c r="S65" s="16"/>
      <c r="T65" s="16"/>
      <c r="U65" s="16"/>
      <c r="V65" s="16"/>
      <c r="W65" s="16"/>
      <c r="X65" s="16"/>
      <c r="Y65" s="16"/>
    </row>
    <row r="66" spans="1:25" ht="12" customHeight="1">
      <c r="A66" s="22"/>
      <c r="B66" s="89"/>
      <c r="C66" s="89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" customHeight="1">
      <c r="A67" s="22"/>
      <c r="B67" s="89"/>
      <c r="C67" s="89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" customHeight="1">
      <c r="A68" s="22"/>
      <c r="B68" s="89"/>
      <c r="C68" s="89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" customHeight="1">
      <c r="A69" s="22"/>
      <c r="B69" s="89"/>
      <c r="C69" s="89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" customHeight="1">
      <c r="A70" s="22"/>
      <c r="B70" s="89"/>
      <c r="C70" s="89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" customHeight="1">
      <c r="A71" s="22"/>
      <c r="B71" s="89"/>
      <c r="C71" s="89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16"/>
      <c r="R71" s="16"/>
      <c r="S71" s="16"/>
      <c r="T71" s="16"/>
      <c r="U71" s="16"/>
      <c r="V71" s="16"/>
      <c r="W71" s="16"/>
      <c r="X71" s="16"/>
      <c r="Y71" s="16"/>
    </row>
    <row r="72" spans="1:25" ht="12" customHeight="1">
      <c r="A72" s="22"/>
      <c r="B72" s="89"/>
      <c r="C72" s="89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16"/>
      <c r="R72" s="16"/>
      <c r="S72" s="16"/>
      <c r="T72" s="16"/>
      <c r="U72" s="16"/>
      <c r="V72" s="16"/>
      <c r="W72" s="16"/>
      <c r="X72" s="16"/>
      <c r="Y72" s="16"/>
    </row>
    <row r="73" spans="1:25" ht="12" customHeight="1">
      <c r="A73" s="22"/>
      <c r="B73" s="89"/>
      <c r="C73" s="89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16"/>
      <c r="R73" s="16"/>
      <c r="S73" s="16"/>
      <c r="T73" s="16"/>
      <c r="U73" s="16"/>
      <c r="V73" s="16"/>
      <c r="W73" s="16"/>
      <c r="X73" s="16"/>
      <c r="Y73" s="16"/>
    </row>
    <row r="74" spans="1:25" ht="12" customHeight="1">
      <c r="A74" s="22"/>
      <c r="B74" s="89"/>
      <c r="C74" s="89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16"/>
      <c r="R74" s="16"/>
      <c r="S74" s="16"/>
      <c r="T74" s="16"/>
      <c r="U74" s="16"/>
      <c r="V74" s="16"/>
      <c r="W74" s="16"/>
      <c r="X74" s="16"/>
      <c r="Y74" s="16"/>
    </row>
    <row r="75" spans="1:25" ht="12" customHeight="1">
      <c r="A75" s="22"/>
      <c r="B75" s="89"/>
      <c r="C75" s="89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16"/>
      <c r="R75" s="16"/>
      <c r="S75" s="16"/>
      <c r="T75" s="16"/>
      <c r="U75" s="16"/>
      <c r="V75" s="16"/>
      <c r="W75" s="16"/>
      <c r="X75" s="16"/>
      <c r="Y75" s="16"/>
    </row>
    <row r="76" spans="1:25" ht="12" customHeight="1">
      <c r="A76" s="22"/>
      <c r="B76" s="89"/>
      <c r="C76" s="89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16"/>
      <c r="R76" s="16"/>
      <c r="S76" s="16"/>
      <c r="T76" s="16"/>
      <c r="U76" s="16"/>
      <c r="V76" s="16"/>
      <c r="W76" s="16"/>
      <c r="X76" s="16"/>
      <c r="Y76" s="16"/>
    </row>
    <row r="77" spans="1:25" ht="12" customHeight="1">
      <c r="A77" s="22"/>
      <c r="B77" s="89"/>
      <c r="C77" s="89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16"/>
      <c r="R77" s="16"/>
      <c r="S77" s="16"/>
      <c r="T77" s="16"/>
      <c r="U77" s="16"/>
      <c r="V77" s="16"/>
      <c r="W77" s="16"/>
      <c r="X77" s="16"/>
      <c r="Y77" s="16"/>
    </row>
    <row r="78" spans="1:25" ht="12" customHeight="1">
      <c r="A78" s="22"/>
      <c r="B78" s="89"/>
      <c r="C78" s="89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16"/>
      <c r="R78" s="16"/>
      <c r="S78" s="16"/>
      <c r="T78" s="16"/>
      <c r="U78" s="16"/>
      <c r="V78" s="16"/>
      <c r="W78" s="16"/>
      <c r="X78" s="16"/>
      <c r="Y78" s="16"/>
    </row>
    <row r="79" spans="1:25" ht="12" customHeight="1">
      <c r="A79" s="22"/>
      <c r="B79" s="89"/>
      <c r="C79" s="89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16"/>
      <c r="R79" s="16"/>
      <c r="S79" s="16"/>
      <c r="T79" s="16"/>
      <c r="U79" s="16"/>
      <c r="V79" s="16"/>
      <c r="W79" s="16"/>
      <c r="X79" s="16"/>
      <c r="Y79" s="16"/>
    </row>
    <row r="80" spans="1:25" ht="12" customHeight="1">
      <c r="A80" s="22"/>
      <c r="B80" s="89"/>
      <c r="C80" s="89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16"/>
      <c r="R80" s="16"/>
      <c r="S80" s="16"/>
      <c r="T80" s="16"/>
      <c r="U80" s="16"/>
      <c r="V80" s="16"/>
      <c r="W80" s="16"/>
      <c r="X80" s="16"/>
      <c r="Y80" s="16"/>
    </row>
    <row r="81" spans="1:25" ht="12" customHeight="1">
      <c r="A81" s="22"/>
      <c r="B81" s="89"/>
      <c r="C81" s="89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16"/>
      <c r="R81" s="16"/>
      <c r="S81" s="16"/>
      <c r="T81" s="16"/>
      <c r="U81" s="16"/>
      <c r="V81" s="16"/>
      <c r="W81" s="16"/>
      <c r="X81" s="16"/>
      <c r="Y81" s="16"/>
    </row>
    <row r="82" spans="1:25" ht="12" customHeight="1">
      <c r="A82" s="22"/>
      <c r="B82" s="89"/>
      <c r="C82" s="89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16"/>
      <c r="R82" s="16"/>
      <c r="S82" s="16"/>
      <c r="T82" s="16"/>
      <c r="U82" s="16"/>
      <c r="V82" s="16"/>
      <c r="W82" s="16"/>
      <c r="X82" s="16"/>
      <c r="Y82" s="16"/>
    </row>
    <row r="83" spans="1:25" ht="12" customHeight="1">
      <c r="A83" s="22"/>
      <c r="B83" s="89"/>
      <c r="C83" s="89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16"/>
      <c r="R83" s="16"/>
      <c r="S83" s="16"/>
      <c r="T83" s="16"/>
      <c r="U83" s="16"/>
      <c r="V83" s="16"/>
      <c r="W83" s="16"/>
      <c r="X83" s="16"/>
      <c r="Y83" s="16"/>
    </row>
    <row r="84" spans="1:25" ht="12" customHeight="1">
      <c r="A84" s="22"/>
      <c r="B84" s="89"/>
      <c r="C84" s="89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16"/>
      <c r="R84" s="16"/>
      <c r="S84" s="16"/>
      <c r="T84" s="16"/>
      <c r="U84" s="16"/>
      <c r="V84" s="16"/>
      <c r="W84" s="16"/>
      <c r="X84" s="16"/>
      <c r="Y84" s="16"/>
    </row>
    <row r="85" spans="1:25" ht="12" customHeight="1">
      <c r="A85" s="22"/>
      <c r="B85" s="89"/>
      <c r="C85" s="89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16"/>
      <c r="R85" s="16"/>
      <c r="S85" s="16"/>
      <c r="T85" s="16"/>
      <c r="U85" s="16"/>
      <c r="V85" s="16"/>
      <c r="W85" s="16"/>
      <c r="X85" s="16"/>
      <c r="Y85" s="16"/>
    </row>
    <row r="86" spans="1:25" ht="12" customHeight="1">
      <c r="A86" s="22"/>
      <c r="B86" s="89"/>
      <c r="C86" s="89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16"/>
      <c r="R86" s="16"/>
      <c r="S86" s="16"/>
      <c r="T86" s="16"/>
      <c r="U86" s="16"/>
      <c r="V86" s="16"/>
      <c r="W86" s="16"/>
      <c r="X86" s="16"/>
      <c r="Y86" s="16"/>
    </row>
    <row r="87" spans="1:25" ht="12" customHeight="1">
      <c r="A87" s="22"/>
      <c r="B87" s="89"/>
      <c r="C87" s="89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16"/>
      <c r="R87" s="16"/>
      <c r="S87" s="16"/>
      <c r="T87" s="16"/>
      <c r="U87" s="16"/>
      <c r="V87" s="16"/>
      <c r="W87" s="16"/>
      <c r="X87" s="16"/>
      <c r="Y87" s="16"/>
    </row>
    <row r="88" spans="1:25" ht="12" customHeight="1">
      <c r="A88" s="22"/>
      <c r="B88" s="89"/>
      <c r="C88" s="89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16"/>
      <c r="R88" s="16"/>
      <c r="S88" s="16"/>
      <c r="T88" s="16"/>
      <c r="U88" s="16"/>
      <c r="V88" s="16"/>
      <c r="W88" s="16"/>
      <c r="X88" s="16"/>
      <c r="Y88" s="16"/>
    </row>
    <row r="89" spans="1:25" ht="12" customHeight="1">
      <c r="A89" s="22"/>
      <c r="B89" s="89"/>
      <c r="C89" s="89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16"/>
      <c r="R89" s="16"/>
      <c r="S89" s="16"/>
      <c r="T89" s="16"/>
      <c r="U89" s="16"/>
      <c r="V89" s="16"/>
      <c r="W89" s="16"/>
      <c r="X89" s="16"/>
      <c r="Y89" s="16"/>
    </row>
    <row r="90" spans="1:25" ht="12" customHeight="1">
      <c r="A90" s="22"/>
      <c r="B90" s="89"/>
      <c r="C90" s="89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16"/>
      <c r="R90" s="16"/>
      <c r="S90" s="16"/>
      <c r="T90" s="16"/>
      <c r="U90" s="16"/>
      <c r="V90" s="16"/>
      <c r="W90" s="16"/>
      <c r="X90" s="16"/>
      <c r="Y90" s="16"/>
    </row>
    <row r="91" spans="1:25" ht="12" customHeight="1">
      <c r="A91" s="22"/>
      <c r="B91" s="89"/>
      <c r="C91" s="89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16"/>
      <c r="R91" s="16"/>
      <c r="S91" s="16"/>
      <c r="T91" s="16"/>
      <c r="U91" s="16"/>
      <c r="V91" s="16"/>
      <c r="W91" s="16"/>
      <c r="X91" s="16"/>
      <c r="Y91" s="16"/>
    </row>
    <row r="92" spans="1:25" ht="12" customHeight="1">
      <c r="A92" s="22"/>
      <c r="B92" s="89"/>
      <c r="C92" s="89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16"/>
      <c r="R92" s="16"/>
      <c r="S92" s="16"/>
      <c r="T92" s="16"/>
      <c r="U92" s="16"/>
      <c r="V92" s="16"/>
      <c r="W92" s="16"/>
      <c r="X92" s="16"/>
      <c r="Y92" s="16"/>
    </row>
    <row r="93" spans="1:25" ht="12" customHeight="1">
      <c r="A93" s="22"/>
      <c r="B93" s="89"/>
      <c r="C93" s="89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16"/>
      <c r="R93" s="16"/>
      <c r="S93" s="16"/>
      <c r="T93" s="16"/>
      <c r="U93" s="16"/>
      <c r="V93" s="16"/>
      <c r="W93" s="16"/>
      <c r="X93" s="16"/>
      <c r="Y93" s="16"/>
    </row>
    <row r="94" spans="1:25" ht="12" customHeight="1">
      <c r="A94" s="22"/>
      <c r="B94" s="89"/>
      <c r="C94" s="89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16"/>
      <c r="R94" s="16"/>
      <c r="S94" s="16"/>
      <c r="T94" s="16"/>
      <c r="U94" s="16"/>
      <c r="V94" s="16"/>
      <c r="W94" s="16"/>
      <c r="X94" s="16"/>
      <c r="Y94" s="16"/>
    </row>
    <row r="95" spans="1:25" ht="12" customHeight="1">
      <c r="A95" s="22"/>
      <c r="B95" s="89"/>
      <c r="C95" s="89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16"/>
      <c r="R95" s="16"/>
      <c r="S95" s="16"/>
      <c r="T95" s="16"/>
      <c r="U95" s="16"/>
      <c r="V95" s="16"/>
      <c r="W95" s="16"/>
      <c r="X95" s="16"/>
      <c r="Y95" s="16"/>
    </row>
    <row r="96" spans="1:25" ht="12" customHeight="1">
      <c r="A96" s="22"/>
      <c r="B96" s="89"/>
      <c r="C96" s="89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16"/>
      <c r="R96" s="16"/>
      <c r="S96" s="16"/>
      <c r="T96" s="16"/>
      <c r="U96" s="16"/>
      <c r="V96" s="16"/>
      <c r="W96" s="16"/>
      <c r="X96" s="16"/>
      <c r="Y96" s="16"/>
    </row>
    <row r="97" spans="1:25" ht="12" customHeight="1">
      <c r="A97" s="22"/>
      <c r="B97" s="89"/>
      <c r="C97" s="89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16"/>
      <c r="R97" s="16"/>
      <c r="S97" s="16"/>
      <c r="T97" s="16"/>
      <c r="U97" s="16"/>
      <c r="V97" s="16"/>
      <c r="W97" s="16"/>
      <c r="X97" s="16"/>
      <c r="Y97" s="16"/>
    </row>
    <row r="98" spans="1:25" ht="12" customHeight="1">
      <c r="A98" s="22"/>
      <c r="B98" s="89"/>
      <c r="C98" s="89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16"/>
      <c r="R98" s="16"/>
      <c r="S98" s="16"/>
      <c r="T98" s="16"/>
      <c r="U98" s="16"/>
      <c r="V98" s="16"/>
      <c r="W98" s="16"/>
      <c r="X98" s="16"/>
      <c r="Y98" s="16"/>
    </row>
    <row r="99" spans="1:25" ht="12" customHeight="1">
      <c r="A99" s="22"/>
      <c r="B99" s="89"/>
      <c r="C99" s="89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16"/>
      <c r="R99" s="16"/>
      <c r="S99" s="16"/>
      <c r="T99" s="16"/>
      <c r="U99" s="16"/>
      <c r="V99" s="16"/>
      <c r="W99" s="16"/>
      <c r="X99" s="16"/>
      <c r="Y99" s="16"/>
    </row>
    <row r="100" spans="1:25" ht="12" customHeight="1">
      <c r="A100" s="22"/>
      <c r="B100" s="89"/>
      <c r="C100" s="89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16"/>
      <c r="R100" s="16"/>
      <c r="S100" s="16"/>
      <c r="T100" s="16"/>
      <c r="U100" s="16"/>
      <c r="V100" s="16"/>
      <c r="W100" s="16"/>
      <c r="X100" s="16"/>
      <c r="Y100" s="16"/>
    </row>
    <row r="101" spans="1:25" ht="12" customHeight="1">
      <c r="A101" s="22"/>
      <c r="B101" s="89"/>
      <c r="C101" s="89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16"/>
      <c r="R101" s="16"/>
      <c r="S101" s="16"/>
      <c r="T101" s="16"/>
      <c r="U101" s="16"/>
      <c r="V101" s="16"/>
      <c r="W101" s="16"/>
      <c r="X101" s="16"/>
      <c r="Y101" s="16"/>
    </row>
    <row r="102" spans="1:25" ht="12" customHeight="1">
      <c r="A102" s="22"/>
      <c r="B102" s="89"/>
      <c r="C102" s="89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16"/>
      <c r="R102" s="16"/>
      <c r="S102" s="16"/>
      <c r="T102" s="16"/>
      <c r="U102" s="16"/>
      <c r="V102" s="16"/>
      <c r="W102" s="16"/>
      <c r="X102" s="16"/>
      <c r="Y102" s="16"/>
    </row>
    <row r="103" spans="1:25" ht="12" customHeight="1">
      <c r="A103" s="22"/>
      <c r="B103" s="89"/>
      <c r="C103" s="89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16"/>
      <c r="R103" s="16"/>
      <c r="S103" s="16"/>
      <c r="T103" s="16"/>
      <c r="U103" s="16"/>
      <c r="V103" s="16"/>
      <c r="W103" s="16"/>
      <c r="X103" s="16"/>
      <c r="Y103" s="16"/>
    </row>
    <row r="104" spans="1:25" ht="12" customHeight="1">
      <c r="A104" s="22"/>
      <c r="B104" s="89"/>
      <c r="C104" s="89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16"/>
      <c r="R104" s="16"/>
      <c r="S104" s="16"/>
      <c r="T104" s="16"/>
      <c r="U104" s="16"/>
      <c r="V104" s="16"/>
      <c r="W104" s="16"/>
      <c r="X104" s="16"/>
      <c r="Y104" s="16"/>
    </row>
    <row r="105" spans="1:25" ht="12" customHeight="1">
      <c r="A105" s="22"/>
      <c r="B105" s="89"/>
      <c r="C105" s="8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16"/>
      <c r="R105" s="16"/>
      <c r="S105" s="16"/>
      <c r="T105" s="16"/>
      <c r="U105" s="16"/>
      <c r="V105" s="16"/>
      <c r="W105" s="16"/>
      <c r="X105" s="16"/>
      <c r="Y105" s="16"/>
    </row>
    <row r="106" spans="1:25" ht="12" customHeight="1">
      <c r="A106" s="22"/>
      <c r="B106" s="89"/>
      <c r="C106" s="89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16"/>
      <c r="R106" s="16"/>
      <c r="S106" s="16"/>
      <c r="T106" s="16"/>
      <c r="U106" s="16"/>
      <c r="V106" s="16"/>
      <c r="W106" s="16"/>
      <c r="X106" s="16"/>
      <c r="Y106" s="16"/>
    </row>
    <row r="107" spans="1:25" ht="12" customHeight="1">
      <c r="A107" s="22"/>
      <c r="B107" s="89"/>
      <c r="C107" s="89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16"/>
      <c r="R107" s="16"/>
      <c r="S107" s="16"/>
      <c r="T107" s="16"/>
      <c r="U107" s="16"/>
      <c r="V107" s="16"/>
      <c r="W107" s="16"/>
      <c r="X107" s="16"/>
      <c r="Y107" s="16"/>
    </row>
    <row r="108" spans="1:25" ht="12" customHeight="1">
      <c r="A108" s="22"/>
      <c r="B108" s="89"/>
      <c r="C108" s="89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16"/>
      <c r="R108" s="16"/>
      <c r="S108" s="16"/>
      <c r="T108" s="16"/>
      <c r="U108" s="16"/>
      <c r="V108" s="16"/>
      <c r="W108" s="16"/>
      <c r="X108" s="16"/>
      <c r="Y108" s="16"/>
    </row>
    <row r="109" spans="1:25" ht="12" customHeight="1">
      <c r="A109" s="22"/>
      <c r="B109" s="89"/>
      <c r="C109" s="89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16"/>
      <c r="R109" s="16"/>
      <c r="S109" s="16"/>
      <c r="T109" s="16"/>
      <c r="U109" s="16"/>
      <c r="V109" s="16"/>
      <c r="W109" s="16"/>
      <c r="X109" s="16"/>
      <c r="Y109" s="16"/>
    </row>
    <row r="110" spans="1:25" ht="12" customHeight="1">
      <c r="A110" s="22"/>
      <c r="B110" s="89"/>
      <c r="C110" s="89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16"/>
      <c r="R110" s="16"/>
      <c r="S110" s="16"/>
      <c r="T110" s="16"/>
      <c r="U110" s="16"/>
      <c r="V110" s="16"/>
      <c r="W110" s="16"/>
      <c r="X110" s="16"/>
      <c r="Y110" s="16"/>
    </row>
    <row r="111" spans="1:25" ht="12" customHeight="1">
      <c r="A111" s="22"/>
      <c r="B111" s="89"/>
      <c r="C111" s="89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16"/>
      <c r="R111" s="16"/>
      <c r="S111" s="16"/>
      <c r="T111" s="16"/>
      <c r="U111" s="16"/>
      <c r="V111" s="16"/>
      <c r="W111" s="16"/>
      <c r="X111" s="16"/>
      <c r="Y111" s="16"/>
    </row>
    <row r="112" spans="1:25" ht="12" customHeight="1">
      <c r="A112" s="22"/>
      <c r="B112" s="89"/>
      <c r="C112" s="89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16"/>
      <c r="R112" s="16"/>
      <c r="S112" s="16"/>
      <c r="T112" s="16"/>
      <c r="U112" s="16"/>
      <c r="V112" s="16"/>
      <c r="W112" s="16"/>
      <c r="X112" s="16"/>
      <c r="Y112" s="16"/>
    </row>
    <row r="113" spans="1:25" ht="12" customHeight="1">
      <c r="A113" s="22"/>
      <c r="B113" s="89"/>
      <c r="C113" s="89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16"/>
      <c r="R113" s="16"/>
      <c r="S113" s="16"/>
      <c r="T113" s="16"/>
      <c r="U113" s="16"/>
      <c r="V113" s="16"/>
      <c r="W113" s="16"/>
      <c r="X113" s="16"/>
      <c r="Y113" s="16"/>
    </row>
    <row r="114" spans="1:25" ht="12" customHeight="1">
      <c r="A114" s="22"/>
      <c r="B114" s="89"/>
      <c r="C114" s="89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16"/>
      <c r="R114" s="16"/>
      <c r="S114" s="16"/>
      <c r="T114" s="16"/>
      <c r="U114" s="16"/>
      <c r="V114" s="16"/>
      <c r="W114" s="16"/>
      <c r="X114" s="16"/>
      <c r="Y114" s="16"/>
    </row>
    <row r="115" spans="1:25" ht="12" customHeight="1">
      <c r="A115" s="22"/>
      <c r="B115" s="89"/>
      <c r="C115" s="89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16"/>
      <c r="R115" s="16"/>
      <c r="S115" s="16"/>
      <c r="T115" s="16"/>
      <c r="U115" s="16"/>
      <c r="V115" s="16"/>
      <c r="W115" s="16"/>
      <c r="X115" s="16"/>
      <c r="Y115" s="16"/>
    </row>
    <row r="116" spans="1:25" ht="12" customHeight="1">
      <c r="A116" s="22"/>
      <c r="B116" s="89"/>
      <c r="C116" s="89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16"/>
      <c r="R116" s="16"/>
      <c r="S116" s="16"/>
      <c r="T116" s="16"/>
      <c r="U116" s="16"/>
      <c r="V116" s="16"/>
      <c r="W116" s="16"/>
      <c r="X116" s="16"/>
      <c r="Y116" s="16"/>
    </row>
    <row r="117" spans="1:25" ht="12" customHeight="1">
      <c r="A117" s="22"/>
      <c r="B117" s="89"/>
      <c r="C117" s="89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16"/>
      <c r="R117" s="16"/>
      <c r="S117" s="16"/>
      <c r="T117" s="16"/>
      <c r="U117" s="16"/>
      <c r="V117" s="16"/>
      <c r="W117" s="16"/>
      <c r="X117" s="16"/>
      <c r="Y117" s="16"/>
    </row>
    <row r="118" spans="1:25" ht="12" customHeight="1">
      <c r="A118" s="22"/>
      <c r="B118" s="89"/>
      <c r="C118" s="89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16"/>
      <c r="R118" s="16"/>
      <c r="S118" s="16"/>
      <c r="T118" s="16"/>
      <c r="U118" s="16"/>
      <c r="V118" s="16"/>
      <c r="W118" s="16"/>
      <c r="X118" s="16"/>
      <c r="Y118" s="16"/>
    </row>
    <row r="119" spans="1:25" ht="12" customHeight="1">
      <c r="A119" s="22"/>
      <c r="B119" s="89"/>
      <c r="C119" s="89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16"/>
      <c r="R119" s="16"/>
      <c r="S119" s="16"/>
      <c r="T119" s="16"/>
      <c r="U119" s="16"/>
      <c r="V119" s="16"/>
      <c r="W119" s="16"/>
      <c r="X119" s="16"/>
      <c r="Y119" s="16"/>
    </row>
    <row r="120" spans="1:25" ht="12" customHeight="1">
      <c r="A120" s="22"/>
      <c r="B120" s="89"/>
      <c r="C120" s="89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16"/>
      <c r="R120" s="16"/>
      <c r="S120" s="16"/>
      <c r="T120" s="16"/>
      <c r="U120" s="16"/>
      <c r="V120" s="16"/>
      <c r="W120" s="16"/>
      <c r="X120" s="16"/>
      <c r="Y120" s="16"/>
    </row>
    <row r="121" spans="1:25" ht="12" customHeight="1">
      <c r="A121" s="22"/>
      <c r="B121" s="89"/>
      <c r="C121" s="89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16"/>
      <c r="R121" s="16"/>
      <c r="S121" s="16"/>
      <c r="T121" s="16"/>
      <c r="U121" s="16"/>
      <c r="V121" s="16"/>
      <c r="W121" s="16"/>
      <c r="X121" s="16"/>
      <c r="Y121" s="16"/>
    </row>
    <row r="122" spans="1:25" ht="12" customHeight="1">
      <c r="A122" s="22"/>
      <c r="B122" s="89"/>
      <c r="C122" s="89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16"/>
      <c r="R122" s="16"/>
      <c r="S122" s="16"/>
      <c r="T122" s="16"/>
      <c r="U122" s="16"/>
      <c r="V122" s="16"/>
      <c r="W122" s="16"/>
      <c r="X122" s="16"/>
      <c r="Y122" s="16"/>
    </row>
    <row r="123" spans="1:25" ht="12" customHeight="1">
      <c r="A123" s="22"/>
      <c r="B123" s="89"/>
      <c r="C123" s="89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16"/>
      <c r="R123" s="16"/>
      <c r="S123" s="16"/>
      <c r="T123" s="16"/>
      <c r="U123" s="16"/>
      <c r="V123" s="16"/>
      <c r="W123" s="16"/>
      <c r="X123" s="16"/>
      <c r="Y123" s="16"/>
    </row>
    <row r="124" spans="1:25" ht="12" customHeight="1">
      <c r="A124" s="22"/>
      <c r="B124" s="89"/>
      <c r="C124" s="89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16"/>
      <c r="R124" s="16"/>
      <c r="S124" s="16"/>
      <c r="T124" s="16"/>
      <c r="U124" s="16"/>
      <c r="V124" s="16"/>
      <c r="W124" s="16"/>
      <c r="X124" s="16"/>
      <c r="Y124" s="16"/>
    </row>
    <row r="125" spans="1:25" ht="12" customHeight="1">
      <c r="A125" s="22"/>
      <c r="B125" s="89"/>
      <c r="C125" s="89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16"/>
      <c r="R125" s="16"/>
      <c r="S125" s="16"/>
      <c r="T125" s="16"/>
      <c r="U125" s="16"/>
      <c r="V125" s="16"/>
      <c r="W125" s="16"/>
      <c r="X125" s="16"/>
      <c r="Y125" s="16"/>
    </row>
    <row r="126" spans="1:25" ht="12" customHeight="1">
      <c r="A126" s="22"/>
      <c r="B126" s="89"/>
      <c r="C126" s="89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16"/>
      <c r="R126" s="16"/>
      <c r="S126" s="16"/>
      <c r="T126" s="16"/>
      <c r="U126" s="16"/>
      <c r="V126" s="16"/>
      <c r="W126" s="16"/>
      <c r="X126" s="16"/>
      <c r="Y126" s="16"/>
    </row>
    <row r="127" spans="1:25" ht="12" customHeight="1">
      <c r="A127" s="22"/>
      <c r="B127" s="89"/>
      <c r="C127" s="89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16"/>
      <c r="R127" s="16"/>
      <c r="S127" s="16"/>
      <c r="T127" s="16"/>
      <c r="U127" s="16"/>
      <c r="V127" s="16"/>
      <c r="W127" s="16"/>
      <c r="X127" s="16"/>
      <c r="Y127" s="16"/>
    </row>
    <row r="128" spans="1:25" ht="12" customHeight="1">
      <c r="A128" s="22"/>
      <c r="B128" s="89"/>
      <c r="C128" s="89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16"/>
      <c r="R128" s="16"/>
      <c r="S128" s="16"/>
      <c r="T128" s="16"/>
      <c r="U128" s="16"/>
      <c r="V128" s="16"/>
      <c r="W128" s="16"/>
      <c r="X128" s="16"/>
      <c r="Y128" s="16"/>
    </row>
    <row r="129" spans="1:25" ht="12" customHeight="1">
      <c r="A129" s="22"/>
      <c r="B129" s="89"/>
      <c r="C129" s="89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16"/>
      <c r="R129" s="16"/>
      <c r="S129" s="16"/>
      <c r="T129" s="16"/>
      <c r="U129" s="16"/>
      <c r="V129" s="16"/>
      <c r="W129" s="16"/>
      <c r="X129" s="16"/>
      <c r="Y129" s="16"/>
    </row>
    <row r="130" spans="1:25" ht="12" customHeight="1">
      <c r="A130" s="22"/>
      <c r="B130" s="89"/>
      <c r="C130" s="89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16"/>
      <c r="R130" s="16"/>
      <c r="S130" s="16"/>
      <c r="T130" s="16"/>
      <c r="U130" s="16"/>
      <c r="V130" s="16"/>
      <c r="W130" s="16"/>
      <c r="X130" s="16"/>
      <c r="Y130" s="16"/>
    </row>
    <row r="131" spans="1:25" ht="12" customHeight="1">
      <c r="A131" s="22"/>
      <c r="B131" s="89"/>
      <c r="C131" s="89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16"/>
      <c r="R131" s="16"/>
      <c r="S131" s="16"/>
      <c r="T131" s="16"/>
      <c r="U131" s="16"/>
      <c r="V131" s="16"/>
      <c r="W131" s="16"/>
      <c r="X131" s="16"/>
      <c r="Y131" s="16"/>
    </row>
    <row r="132" spans="1:25" ht="12" customHeight="1">
      <c r="A132" s="22"/>
      <c r="B132" s="89"/>
      <c r="C132" s="89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16"/>
      <c r="R132" s="16"/>
      <c r="S132" s="16"/>
      <c r="T132" s="16"/>
      <c r="U132" s="16"/>
      <c r="V132" s="16"/>
      <c r="W132" s="16"/>
      <c r="X132" s="16"/>
      <c r="Y132" s="16"/>
    </row>
    <row r="133" spans="1:25" ht="12" customHeight="1">
      <c r="A133" s="22"/>
      <c r="B133" s="89"/>
      <c r="C133" s="8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16"/>
      <c r="R133" s="16"/>
      <c r="S133" s="16"/>
      <c r="T133" s="16"/>
      <c r="U133" s="16"/>
      <c r="V133" s="16"/>
      <c r="W133" s="16"/>
      <c r="X133" s="16"/>
      <c r="Y133" s="16"/>
    </row>
    <row r="134" spans="1:25" ht="12" customHeight="1">
      <c r="A134" s="22"/>
      <c r="B134" s="89"/>
      <c r="C134" s="89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16"/>
      <c r="R134" s="16"/>
      <c r="S134" s="16"/>
      <c r="T134" s="16"/>
      <c r="U134" s="16"/>
      <c r="V134" s="16"/>
      <c r="W134" s="16"/>
      <c r="X134" s="16"/>
      <c r="Y134" s="16"/>
    </row>
    <row r="135" spans="1:25" ht="12" customHeight="1">
      <c r="A135" s="22"/>
      <c r="B135" s="89"/>
      <c r="C135" s="89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16"/>
      <c r="R135" s="16"/>
      <c r="S135" s="16"/>
      <c r="T135" s="16"/>
      <c r="U135" s="16"/>
      <c r="V135" s="16"/>
      <c r="W135" s="16"/>
      <c r="X135" s="16"/>
      <c r="Y135" s="16"/>
    </row>
    <row r="136" spans="1:25" ht="12" customHeight="1">
      <c r="A136" s="22"/>
      <c r="B136" s="89"/>
      <c r="C136" s="89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16"/>
      <c r="R136" s="16"/>
      <c r="S136" s="16"/>
      <c r="T136" s="16"/>
      <c r="U136" s="16"/>
      <c r="V136" s="16"/>
      <c r="W136" s="16"/>
      <c r="X136" s="16"/>
      <c r="Y136" s="16"/>
    </row>
    <row r="137" spans="1:25" ht="12" customHeight="1">
      <c r="A137" s="22"/>
      <c r="B137" s="89"/>
      <c r="C137" s="89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16"/>
      <c r="R137" s="16"/>
      <c r="S137" s="16"/>
      <c r="T137" s="16"/>
      <c r="U137" s="16"/>
      <c r="V137" s="16"/>
      <c r="W137" s="16"/>
      <c r="X137" s="16"/>
      <c r="Y137" s="16"/>
    </row>
    <row r="138" spans="1:25" ht="12" customHeight="1">
      <c r="A138" s="22"/>
      <c r="B138" s="89"/>
      <c r="C138" s="89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16"/>
      <c r="R138" s="16"/>
      <c r="S138" s="16"/>
      <c r="T138" s="16"/>
      <c r="U138" s="16"/>
      <c r="V138" s="16"/>
      <c r="W138" s="16"/>
      <c r="X138" s="16"/>
      <c r="Y138" s="16"/>
    </row>
    <row r="139" spans="1:25" ht="12" customHeight="1">
      <c r="A139" s="22"/>
      <c r="B139" s="89"/>
      <c r="C139" s="89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16"/>
      <c r="R139" s="16"/>
      <c r="S139" s="16"/>
      <c r="T139" s="16"/>
      <c r="U139" s="16"/>
      <c r="V139" s="16"/>
      <c r="W139" s="16"/>
      <c r="X139" s="16"/>
      <c r="Y139" s="16"/>
    </row>
    <row r="140" spans="1:25" ht="12" customHeight="1">
      <c r="A140" s="22"/>
      <c r="B140" s="89"/>
      <c r="C140" s="89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16"/>
      <c r="R140" s="16"/>
      <c r="S140" s="16"/>
      <c r="T140" s="16"/>
      <c r="U140" s="16"/>
      <c r="V140" s="16"/>
      <c r="W140" s="16"/>
      <c r="X140" s="16"/>
      <c r="Y140" s="16"/>
    </row>
    <row r="141" spans="1:25" ht="12" customHeight="1">
      <c r="A141" s="22"/>
      <c r="B141" s="89"/>
      <c r="C141" s="89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16"/>
      <c r="R141" s="16"/>
      <c r="S141" s="16"/>
      <c r="T141" s="16"/>
      <c r="U141" s="16"/>
      <c r="V141" s="16"/>
      <c r="W141" s="16"/>
      <c r="X141" s="16"/>
      <c r="Y141" s="16"/>
    </row>
    <row r="142" spans="1:25" ht="12" customHeight="1">
      <c r="A142" s="22"/>
      <c r="B142" s="89"/>
      <c r="C142" s="89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16"/>
      <c r="R142" s="16"/>
      <c r="S142" s="16"/>
      <c r="T142" s="16"/>
      <c r="U142" s="16"/>
      <c r="V142" s="16"/>
      <c r="W142" s="16"/>
      <c r="X142" s="16"/>
      <c r="Y142" s="16"/>
    </row>
    <row r="143" spans="1:25" ht="12" customHeight="1">
      <c r="A143" s="22"/>
      <c r="B143" s="89"/>
      <c r="C143" s="89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16"/>
      <c r="R143" s="16"/>
      <c r="S143" s="16"/>
      <c r="T143" s="16"/>
      <c r="U143" s="16"/>
      <c r="V143" s="16"/>
      <c r="W143" s="16"/>
      <c r="X143" s="16"/>
      <c r="Y143" s="16"/>
    </row>
    <row r="144" spans="1:25" ht="12" customHeight="1">
      <c r="A144" s="22"/>
      <c r="B144" s="89"/>
      <c r="C144" s="89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16"/>
      <c r="R144" s="16"/>
      <c r="S144" s="16"/>
      <c r="T144" s="16"/>
      <c r="U144" s="16"/>
      <c r="V144" s="16"/>
      <c r="W144" s="16"/>
      <c r="X144" s="16"/>
      <c r="Y144" s="16"/>
    </row>
    <row r="145" spans="1:25" ht="12" customHeight="1">
      <c r="A145" s="22"/>
      <c r="B145" s="89"/>
      <c r="C145" s="89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16"/>
      <c r="R145" s="16"/>
      <c r="S145" s="16"/>
      <c r="T145" s="16"/>
      <c r="U145" s="16"/>
      <c r="V145" s="16"/>
      <c r="W145" s="16"/>
      <c r="X145" s="16"/>
      <c r="Y145" s="16"/>
    </row>
    <row r="146" spans="1:25" ht="12" customHeight="1">
      <c r="A146" s="22"/>
      <c r="B146" s="89"/>
      <c r="C146" s="89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16"/>
      <c r="R146" s="16"/>
      <c r="S146" s="16"/>
      <c r="T146" s="16"/>
      <c r="U146" s="16"/>
      <c r="V146" s="16"/>
      <c r="W146" s="16"/>
      <c r="X146" s="16"/>
      <c r="Y146" s="16"/>
    </row>
    <row r="147" spans="1:25" ht="12" customHeight="1">
      <c r="A147" s="22"/>
      <c r="B147" s="89"/>
      <c r="C147" s="89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16"/>
      <c r="R147" s="16"/>
      <c r="S147" s="16"/>
      <c r="T147" s="16"/>
      <c r="U147" s="16"/>
      <c r="V147" s="16"/>
      <c r="W147" s="16"/>
      <c r="X147" s="16"/>
      <c r="Y147" s="16"/>
    </row>
    <row r="148" spans="1:25" ht="12" customHeight="1">
      <c r="A148" s="22"/>
      <c r="B148" s="89"/>
      <c r="C148" s="89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16"/>
      <c r="R148" s="16"/>
      <c r="S148" s="16"/>
      <c r="T148" s="16"/>
      <c r="U148" s="16"/>
      <c r="V148" s="16"/>
      <c r="W148" s="16"/>
      <c r="X148" s="16"/>
      <c r="Y148" s="16"/>
    </row>
    <row r="149" spans="1:25" ht="12" customHeight="1">
      <c r="A149" s="22"/>
      <c r="B149" s="89"/>
      <c r="C149" s="89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16"/>
      <c r="R149" s="16"/>
      <c r="S149" s="16"/>
      <c r="T149" s="16"/>
      <c r="U149" s="16"/>
      <c r="V149" s="16"/>
      <c r="W149" s="16"/>
      <c r="X149" s="16"/>
      <c r="Y149" s="16"/>
    </row>
    <row r="150" spans="1:25" ht="12" customHeight="1">
      <c r="A150" s="22"/>
      <c r="B150" s="89"/>
      <c r="C150" s="89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16"/>
      <c r="R150" s="16"/>
      <c r="S150" s="16"/>
      <c r="T150" s="16"/>
      <c r="U150" s="16"/>
      <c r="V150" s="16"/>
      <c r="W150" s="16"/>
      <c r="X150" s="16"/>
      <c r="Y150" s="16"/>
    </row>
    <row r="151" spans="1:25" ht="12" customHeight="1">
      <c r="A151" s="22"/>
      <c r="B151" s="89"/>
      <c r="C151" s="89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16"/>
      <c r="R151" s="16"/>
      <c r="S151" s="16"/>
      <c r="T151" s="16"/>
      <c r="U151" s="16"/>
      <c r="V151" s="16"/>
      <c r="W151" s="16"/>
      <c r="X151" s="16"/>
      <c r="Y151" s="16"/>
    </row>
    <row r="152" spans="1:25" ht="12" customHeight="1">
      <c r="A152" s="22"/>
      <c r="B152" s="89"/>
      <c r="C152" s="89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16"/>
      <c r="R152" s="16"/>
      <c r="S152" s="16"/>
      <c r="T152" s="16"/>
      <c r="U152" s="16"/>
      <c r="V152" s="16"/>
      <c r="W152" s="16"/>
      <c r="X152" s="16"/>
      <c r="Y152" s="16"/>
    </row>
    <row r="153" spans="1:25" ht="12" customHeight="1">
      <c r="A153" s="22"/>
      <c r="B153" s="89"/>
      <c r="C153" s="89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16"/>
      <c r="R153" s="16"/>
      <c r="S153" s="16"/>
      <c r="T153" s="16"/>
      <c r="U153" s="16"/>
      <c r="V153" s="16"/>
      <c r="W153" s="16"/>
      <c r="X153" s="16"/>
      <c r="Y153" s="16"/>
    </row>
    <row r="154" spans="1:25" ht="12" customHeight="1">
      <c r="A154" s="22"/>
      <c r="B154" s="89"/>
      <c r="C154" s="89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16"/>
      <c r="R154" s="16"/>
      <c r="S154" s="16"/>
      <c r="T154" s="16"/>
      <c r="U154" s="16"/>
      <c r="V154" s="16"/>
      <c r="W154" s="16"/>
      <c r="X154" s="16"/>
      <c r="Y154" s="16"/>
    </row>
    <row r="155" spans="1:25" ht="12" customHeight="1">
      <c r="A155" s="22"/>
      <c r="B155" s="89"/>
      <c r="C155" s="89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16"/>
      <c r="R155" s="16"/>
      <c r="S155" s="16"/>
      <c r="T155" s="16"/>
      <c r="U155" s="16"/>
      <c r="V155" s="16"/>
      <c r="W155" s="16"/>
      <c r="X155" s="16"/>
      <c r="Y155" s="16"/>
    </row>
    <row r="156" spans="1:25" ht="12" customHeight="1">
      <c r="A156" s="22"/>
      <c r="B156" s="89"/>
      <c r="C156" s="89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16"/>
      <c r="R156" s="16"/>
      <c r="S156" s="16"/>
      <c r="T156" s="16"/>
      <c r="U156" s="16"/>
      <c r="V156" s="16"/>
      <c r="W156" s="16"/>
      <c r="X156" s="16"/>
      <c r="Y156" s="16"/>
    </row>
    <row r="157" spans="1:25" ht="12" customHeight="1">
      <c r="A157" s="22"/>
      <c r="B157" s="89"/>
      <c r="C157" s="89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16"/>
      <c r="R157" s="16"/>
      <c r="S157" s="16"/>
      <c r="T157" s="16"/>
      <c r="U157" s="16"/>
      <c r="V157" s="16"/>
      <c r="W157" s="16"/>
      <c r="X157" s="16"/>
      <c r="Y157" s="16"/>
    </row>
    <row r="158" spans="1:25" ht="12" customHeight="1">
      <c r="A158" s="22"/>
      <c r="B158" s="89"/>
      <c r="C158" s="89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16"/>
      <c r="R158" s="16"/>
      <c r="S158" s="16"/>
      <c r="T158" s="16"/>
      <c r="U158" s="16"/>
      <c r="V158" s="16"/>
      <c r="W158" s="16"/>
      <c r="X158" s="16"/>
      <c r="Y158" s="16"/>
    </row>
    <row r="159" spans="1:25" ht="12" customHeight="1">
      <c r="A159" s="22"/>
      <c r="B159" s="89"/>
      <c r="C159" s="89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16"/>
      <c r="R159" s="16"/>
      <c r="S159" s="16"/>
      <c r="T159" s="16"/>
      <c r="U159" s="16"/>
      <c r="V159" s="16"/>
      <c r="W159" s="16"/>
      <c r="X159" s="16"/>
      <c r="Y159" s="16"/>
    </row>
    <row r="160" spans="1:25" ht="12" customHeight="1">
      <c r="A160" s="22"/>
      <c r="B160" s="89"/>
      <c r="C160" s="89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16"/>
      <c r="R160" s="16"/>
      <c r="S160" s="16"/>
      <c r="T160" s="16"/>
      <c r="U160" s="16"/>
      <c r="V160" s="16"/>
      <c r="W160" s="16"/>
      <c r="X160" s="16"/>
      <c r="Y160" s="16"/>
    </row>
    <row r="161" spans="1:25" ht="12" customHeight="1">
      <c r="A161" s="22"/>
      <c r="B161" s="89"/>
      <c r="C161" s="89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16"/>
      <c r="R161" s="16"/>
      <c r="S161" s="16"/>
      <c r="T161" s="16"/>
      <c r="U161" s="16"/>
      <c r="V161" s="16"/>
      <c r="W161" s="16"/>
      <c r="X161" s="16"/>
      <c r="Y161" s="16"/>
    </row>
    <row r="162" spans="1:25" ht="12" customHeight="1">
      <c r="A162" s="22"/>
      <c r="B162" s="89"/>
      <c r="C162" s="89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16"/>
      <c r="R162" s="16"/>
      <c r="S162" s="16"/>
      <c r="T162" s="16"/>
      <c r="U162" s="16"/>
      <c r="V162" s="16"/>
      <c r="W162" s="16"/>
      <c r="X162" s="16"/>
      <c r="Y162" s="16"/>
    </row>
    <row r="163" spans="1:25" ht="12" customHeight="1">
      <c r="A163" s="22"/>
      <c r="B163" s="89"/>
      <c r="C163" s="89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16"/>
      <c r="R163" s="16"/>
      <c r="S163" s="16"/>
      <c r="T163" s="16"/>
      <c r="U163" s="16"/>
      <c r="V163" s="16"/>
      <c r="W163" s="16"/>
      <c r="X163" s="16"/>
      <c r="Y163" s="16"/>
    </row>
    <row r="164" spans="1:25" ht="12" customHeight="1">
      <c r="A164" s="22"/>
      <c r="B164" s="89"/>
      <c r="C164" s="89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16"/>
      <c r="R164" s="16"/>
      <c r="S164" s="16"/>
      <c r="T164" s="16"/>
      <c r="U164" s="16"/>
      <c r="V164" s="16"/>
      <c r="W164" s="16"/>
      <c r="X164" s="16"/>
      <c r="Y164" s="16"/>
    </row>
    <row r="165" spans="1:25" ht="12" customHeight="1">
      <c r="A165" s="22"/>
      <c r="B165" s="89"/>
      <c r="C165" s="89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16"/>
      <c r="R165" s="16"/>
      <c r="S165" s="16"/>
      <c r="T165" s="16"/>
      <c r="U165" s="16"/>
      <c r="V165" s="16"/>
      <c r="W165" s="16"/>
      <c r="X165" s="16"/>
      <c r="Y165" s="16"/>
    </row>
    <row r="166" spans="1:25" ht="12" customHeight="1">
      <c r="A166" s="22"/>
      <c r="B166" s="89"/>
      <c r="C166" s="89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16"/>
      <c r="R166" s="16"/>
      <c r="S166" s="16"/>
      <c r="T166" s="16"/>
      <c r="U166" s="16"/>
      <c r="V166" s="16"/>
      <c r="W166" s="16"/>
      <c r="X166" s="16"/>
      <c r="Y166" s="16"/>
    </row>
    <row r="167" spans="1:25" ht="12" customHeight="1">
      <c r="A167" s="22"/>
      <c r="B167" s="89"/>
      <c r="C167" s="89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16"/>
      <c r="R167" s="16"/>
      <c r="S167" s="16"/>
      <c r="T167" s="16"/>
      <c r="U167" s="16"/>
      <c r="V167" s="16"/>
      <c r="W167" s="16"/>
      <c r="X167" s="16"/>
      <c r="Y167" s="16"/>
    </row>
    <row r="168" spans="1:25" ht="12" customHeight="1">
      <c r="A168" s="22"/>
      <c r="B168" s="89"/>
      <c r="C168" s="89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16"/>
      <c r="R168" s="16"/>
      <c r="S168" s="16"/>
      <c r="T168" s="16"/>
      <c r="U168" s="16"/>
      <c r="V168" s="16"/>
      <c r="W168" s="16"/>
      <c r="X168" s="16"/>
      <c r="Y168" s="16"/>
    </row>
    <row r="169" spans="1:25" ht="12" customHeight="1">
      <c r="A169" s="22"/>
      <c r="B169" s="89"/>
      <c r="C169" s="89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16"/>
      <c r="R169" s="16"/>
      <c r="S169" s="16"/>
      <c r="T169" s="16"/>
      <c r="U169" s="16"/>
      <c r="V169" s="16"/>
      <c r="W169" s="16"/>
      <c r="X169" s="16"/>
      <c r="Y169" s="16"/>
    </row>
    <row r="170" spans="1:25" ht="12" customHeight="1">
      <c r="A170" s="22"/>
      <c r="B170" s="89"/>
      <c r="C170" s="89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16"/>
      <c r="R170" s="16"/>
      <c r="S170" s="16"/>
      <c r="T170" s="16"/>
      <c r="U170" s="16"/>
      <c r="V170" s="16"/>
      <c r="W170" s="16"/>
      <c r="X170" s="16"/>
      <c r="Y170" s="16"/>
    </row>
    <row r="171" spans="1:25" ht="12" customHeight="1">
      <c r="A171" s="22"/>
      <c r="B171" s="89"/>
      <c r="C171" s="89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16"/>
      <c r="R171" s="16"/>
      <c r="S171" s="16"/>
      <c r="T171" s="16"/>
      <c r="U171" s="16"/>
      <c r="V171" s="16"/>
      <c r="W171" s="16"/>
      <c r="X171" s="16"/>
      <c r="Y171" s="16"/>
    </row>
    <row r="172" spans="1:25" ht="12" customHeight="1">
      <c r="A172" s="22"/>
      <c r="B172" s="89"/>
      <c r="C172" s="89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16"/>
      <c r="R172" s="16"/>
      <c r="S172" s="16"/>
      <c r="T172" s="16"/>
      <c r="U172" s="16"/>
      <c r="V172" s="16"/>
      <c r="W172" s="16"/>
      <c r="X172" s="16"/>
      <c r="Y172" s="16"/>
    </row>
    <row r="173" spans="1:25" ht="12" customHeight="1">
      <c r="A173" s="22"/>
      <c r="B173" s="89"/>
      <c r="C173" s="89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16"/>
      <c r="R173" s="16"/>
      <c r="S173" s="16"/>
      <c r="T173" s="16"/>
      <c r="U173" s="16"/>
      <c r="V173" s="16"/>
      <c r="W173" s="16"/>
      <c r="X173" s="16"/>
      <c r="Y173" s="16"/>
    </row>
    <row r="174" spans="1:25" ht="12" customHeight="1">
      <c r="A174" s="22"/>
      <c r="B174" s="89"/>
      <c r="C174" s="89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16"/>
      <c r="R174" s="16"/>
      <c r="S174" s="16"/>
      <c r="T174" s="16"/>
      <c r="U174" s="16"/>
      <c r="V174" s="16"/>
      <c r="W174" s="16"/>
      <c r="X174" s="16"/>
      <c r="Y174" s="16"/>
    </row>
    <row r="175" spans="1:25" ht="12" customHeight="1">
      <c r="A175" s="22"/>
      <c r="B175" s="89"/>
      <c r="C175" s="89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16"/>
      <c r="R175" s="16"/>
      <c r="S175" s="16"/>
      <c r="T175" s="16"/>
      <c r="U175" s="16"/>
      <c r="V175" s="16"/>
      <c r="W175" s="16"/>
      <c r="X175" s="16"/>
      <c r="Y175" s="16"/>
    </row>
    <row r="176" spans="1:25" ht="12" customHeight="1">
      <c r="A176" s="22"/>
      <c r="B176" s="89"/>
      <c r="C176" s="8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16"/>
      <c r="R176" s="16"/>
      <c r="S176" s="16"/>
      <c r="T176" s="16"/>
      <c r="U176" s="16"/>
      <c r="V176" s="16"/>
      <c r="W176" s="16"/>
      <c r="X176" s="16"/>
      <c r="Y176" s="16"/>
    </row>
    <row r="177" spans="1:25" ht="12" customHeight="1">
      <c r="A177" s="22"/>
      <c r="B177" s="89"/>
      <c r="C177" s="89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16"/>
      <c r="R177" s="16"/>
      <c r="S177" s="16"/>
      <c r="T177" s="16"/>
      <c r="U177" s="16"/>
      <c r="V177" s="16"/>
      <c r="W177" s="16"/>
      <c r="X177" s="16"/>
      <c r="Y177" s="16"/>
    </row>
    <row r="178" spans="1:25" ht="12" customHeight="1">
      <c r="A178" s="22"/>
      <c r="B178" s="89"/>
      <c r="C178" s="89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16"/>
      <c r="R178" s="16"/>
      <c r="S178" s="16"/>
      <c r="T178" s="16"/>
      <c r="U178" s="16"/>
      <c r="V178" s="16"/>
      <c r="W178" s="16"/>
      <c r="X178" s="16"/>
      <c r="Y178" s="16"/>
    </row>
    <row r="179" spans="1:25" ht="12" customHeight="1">
      <c r="A179" s="22"/>
      <c r="B179" s="89"/>
      <c r="C179" s="89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16"/>
      <c r="R179" s="16"/>
      <c r="S179" s="16"/>
      <c r="T179" s="16"/>
      <c r="U179" s="16"/>
      <c r="V179" s="16"/>
      <c r="W179" s="16"/>
      <c r="X179" s="16"/>
      <c r="Y179" s="16"/>
    </row>
    <row r="180" spans="1:25" ht="12" customHeight="1">
      <c r="A180" s="22"/>
      <c r="B180" s="89"/>
      <c r="C180" s="89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16"/>
      <c r="R180" s="16"/>
      <c r="S180" s="16"/>
      <c r="T180" s="16"/>
      <c r="U180" s="16"/>
      <c r="V180" s="16"/>
      <c r="W180" s="16"/>
      <c r="X180" s="16"/>
      <c r="Y180" s="16"/>
    </row>
    <row r="181" spans="1:25" ht="12" customHeight="1">
      <c r="A181" s="22"/>
      <c r="B181" s="89"/>
      <c r="C181" s="89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16"/>
      <c r="R181" s="16"/>
      <c r="S181" s="16"/>
      <c r="T181" s="16"/>
      <c r="U181" s="16"/>
      <c r="V181" s="16"/>
      <c r="W181" s="16"/>
      <c r="X181" s="16"/>
      <c r="Y181" s="16"/>
    </row>
    <row r="182" spans="1:25" ht="12" customHeight="1">
      <c r="A182" s="22"/>
      <c r="B182" s="89"/>
      <c r="C182" s="89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16"/>
      <c r="R182" s="16"/>
      <c r="S182" s="16"/>
      <c r="T182" s="16"/>
      <c r="U182" s="16"/>
      <c r="V182" s="16"/>
      <c r="W182" s="16"/>
      <c r="X182" s="16"/>
      <c r="Y182" s="16"/>
    </row>
    <row r="183" spans="1:25" ht="12" customHeight="1">
      <c r="A183" s="22"/>
      <c r="B183" s="89"/>
      <c r="C183" s="89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16"/>
      <c r="R183" s="16"/>
      <c r="S183" s="16"/>
      <c r="T183" s="16"/>
      <c r="U183" s="16"/>
      <c r="V183" s="16"/>
      <c r="W183" s="16"/>
      <c r="X183" s="16"/>
      <c r="Y183" s="16"/>
    </row>
    <row r="184" spans="1:25" ht="12" customHeight="1">
      <c r="A184" s="22"/>
      <c r="B184" s="89"/>
      <c r="C184" s="89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16"/>
      <c r="R184" s="16"/>
      <c r="S184" s="16"/>
      <c r="T184" s="16"/>
      <c r="U184" s="16"/>
      <c r="V184" s="16"/>
      <c r="W184" s="16"/>
      <c r="X184" s="16"/>
      <c r="Y184" s="16"/>
    </row>
    <row r="185" spans="1:25" ht="12" customHeight="1">
      <c r="A185" s="22"/>
      <c r="B185" s="89"/>
      <c r="C185" s="89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16"/>
      <c r="R185" s="16"/>
      <c r="S185" s="16"/>
      <c r="T185" s="16"/>
      <c r="U185" s="16"/>
      <c r="V185" s="16"/>
      <c r="W185" s="16"/>
      <c r="X185" s="16"/>
      <c r="Y185" s="16"/>
    </row>
    <row r="186" spans="1:25" ht="12" customHeight="1">
      <c r="A186" s="22"/>
      <c r="B186" s="89"/>
      <c r="C186" s="89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16"/>
      <c r="R186" s="16"/>
      <c r="S186" s="16"/>
      <c r="T186" s="16"/>
      <c r="U186" s="16"/>
      <c r="V186" s="16"/>
      <c r="W186" s="16"/>
      <c r="X186" s="16"/>
      <c r="Y186" s="16"/>
    </row>
    <row r="187" spans="1:25" ht="12" customHeight="1">
      <c r="A187" s="22"/>
      <c r="B187" s="89"/>
      <c r="C187" s="89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16"/>
      <c r="R187" s="16"/>
      <c r="S187" s="16"/>
      <c r="T187" s="16"/>
      <c r="U187" s="16"/>
      <c r="V187" s="16"/>
      <c r="W187" s="16"/>
      <c r="X187" s="16"/>
      <c r="Y187" s="16"/>
    </row>
    <row r="188" spans="1:25" ht="12" customHeight="1">
      <c r="A188" s="22"/>
      <c r="B188" s="89"/>
      <c r="C188" s="89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16"/>
      <c r="R188" s="16"/>
      <c r="S188" s="16"/>
      <c r="T188" s="16"/>
      <c r="U188" s="16"/>
      <c r="V188" s="16"/>
      <c r="W188" s="16"/>
      <c r="X188" s="16"/>
      <c r="Y188" s="16"/>
    </row>
    <row r="189" spans="1:25" ht="12" customHeight="1">
      <c r="A189" s="22"/>
      <c r="B189" s="89"/>
      <c r="C189" s="89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16"/>
      <c r="R189" s="16"/>
      <c r="S189" s="16"/>
      <c r="T189" s="16"/>
      <c r="U189" s="16"/>
      <c r="V189" s="16"/>
      <c r="W189" s="16"/>
      <c r="X189" s="16"/>
      <c r="Y189" s="16"/>
    </row>
    <row r="190" spans="1:25" ht="12" customHeight="1">
      <c r="A190" s="22"/>
      <c r="B190" s="89"/>
      <c r="C190" s="89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16"/>
      <c r="R190" s="16"/>
      <c r="S190" s="16"/>
      <c r="T190" s="16"/>
      <c r="U190" s="16"/>
      <c r="V190" s="16"/>
      <c r="W190" s="16"/>
      <c r="X190" s="16"/>
      <c r="Y190" s="16"/>
    </row>
    <row r="191" spans="1:25" ht="12" customHeight="1">
      <c r="A191" s="22"/>
      <c r="B191" s="89"/>
      <c r="C191" s="89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16"/>
      <c r="R191" s="16"/>
      <c r="S191" s="16"/>
      <c r="T191" s="16"/>
      <c r="U191" s="16"/>
      <c r="V191" s="16"/>
      <c r="W191" s="16"/>
      <c r="X191" s="16"/>
      <c r="Y191" s="16"/>
    </row>
    <row r="192" spans="1:25" ht="12" customHeight="1">
      <c r="A192" s="22"/>
      <c r="B192" s="89"/>
      <c r="C192" s="89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16"/>
      <c r="R192" s="16"/>
      <c r="S192" s="16"/>
      <c r="T192" s="16"/>
      <c r="U192" s="16"/>
      <c r="V192" s="16"/>
      <c r="W192" s="16"/>
      <c r="X192" s="16"/>
      <c r="Y192" s="16"/>
    </row>
    <row r="193" spans="1:25" ht="12" customHeight="1">
      <c r="A193" s="22"/>
      <c r="B193" s="89"/>
      <c r="C193" s="89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16"/>
      <c r="R193" s="16"/>
      <c r="S193" s="16"/>
      <c r="T193" s="16"/>
      <c r="U193" s="16"/>
      <c r="V193" s="16"/>
      <c r="W193" s="16"/>
      <c r="X193" s="16"/>
      <c r="Y193" s="16"/>
    </row>
    <row r="194" spans="1:25" ht="12" customHeight="1">
      <c r="A194" s="22"/>
      <c r="B194" s="89"/>
      <c r="C194" s="89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16"/>
      <c r="R194" s="16"/>
      <c r="S194" s="16"/>
      <c r="T194" s="16"/>
      <c r="U194" s="16"/>
      <c r="V194" s="16"/>
      <c r="W194" s="16"/>
      <c r="X194" s="16"/>
      <c r="Y194" s="16"/>
    </row>
    <row r="195" spans="1:25" ht="12" customHeight="1">
      <c r="A195" s="22"/>
      <c r="B195" s="89"/>
      <c r="C195" s="89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16"/>
      <c r="R195" s="16"/>
      <c r="S195" s="16"/>
      <c r="T195" s="16"/>
      <c r="U195" s="16"/>
      <c r="V195" s="16"/>
      <c r="W195" s="16"/>
      <c r="X195" s="16"/>
      <c r="Y195" s="16"/>
    </row>
    <row r="196" spans="1:25" ht="12" customHeight="1">
      <c r="A196" s="22"/>
      <c r="B196" s="89"/>
      <c r="C196" s="89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16"/>
      <c r="R196" s="16"/>
      <c r="S196" s="16"/>
      <c r="T196" s="16"/>
      <c r="U196" s="16"/>
      <c r="V196" s="16"/>
      <c r="W196" s="16"/>
      <c r="X196" s="16"/>
      <c r="Y196" s="16"/>
    </row>
    <row r="197" spans="1:25" ht="12" customHeight="1">
      <c r="A197" s="22"/>
      <c r="B197" s="89"/>
      <c r="C197" s="89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16"/>
      <c r="R197" s="16"/>
      <c r="S197" s="16"/>
      <c r="T197" s="16"/>
      <c r="U197" s="16"/>
      <c r="V197" s="16"/>
      <c r="W197" s="16"/>
      <c r="X197" s="16"/>
      <c r="Y197" s="16"/>
    </row>
    <row r="198" spans="1:25" ht="12" customHeight="1">
      <c r="A198" s="22"/>
      <c r="B198" s="89"/>
      <c r="C198" s="89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16"/>
      <c r="R198" s="16"/>
      <c r="S198" s="16"/>
      <c r="T198" s="16"/>
      <c r="U198" s="16"/>
      <c r="V198" s="16"/>
      <c r="W198" s="16"/>
      <c r="X198" s="16"/>
      <c r="Y198" s="16"/>
    </row>
    <row r="199" spans="1:25" ht="12" customHeight="1">
      <c r="A199" s="22"/>
      <c r="B199" s="89"/>
      <c r="C199" s="89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16"/>
      <c r="R199" s="16"/>
      <c r="S199" s="16"/>
      <c r="T199" s="16"/>
      <c r="U199" s="16"/>
      <c r="V199" s="16"/>
      <c r="W199" s="16"/>
      <c r="X199" s="16"/>
      <c r="Y199" s="16"/>
    </row>
    <row r="200" spans="1:25" ht="12" customHeight="1">
      <c r="A200" s="22"/>
      <c r="B200" s="89"/>
      <c r="C200" s="89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16"/>
      <c r="R200" s="16"/>
      <c r="S200" s="16"/>
      <c r="T200" s="16"/>
      <c r="U200" s="16"/>
      <c r="V200" s="16"/>
      <c r="W200" s="16"/>
      <c r="X200" s="16"/>
      <c r="Y200" s="16"/>
    </row>
    <row r="201" spans="1:25" ht="12" customHeight="1">
      <c r="A201" s="22"/>
      <c r="B201" s="89"/>
      <c r="C201" s="89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16"/>
      <c r="R201" s="16"/>
      <c r="S201" s="16"/>
      <c r="T201" s="16"/>
      <c r="U201" s="16"/>
      <c r="V201" s="16"/>
      <c r="W201" s="16"/>
      <c r="X201" s="16"/>
      <c r="Y201" s="16"/>
    </row>
    <row r="202" spans="1:25" ht="12" customHeight="1">
      <c r="A202" s="22"/>
      <c r="B202" s="89"/>
      <c r="C202" s="89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16"/>
      <c r="R202" s="16"/>
      <c r="S202" s="16"/>
      <c r="T202" s="16"/>
      <c r="U202" s="16"/>
      <c r="V202" s="16"/>
      <c r="W202" s="16"/>
      <c r="X202" s="16"/>
      <c r="Y202" s="16"/>
    </row>
    <row r="203" spans="1:25" ht="12" customHeight="1">
      <c r="A203" s="22"/>
      <c r="B203" s="89"/>
      <c r="C203" s="89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16"/>
      <c r="R203" s="16"/>
      <c r="S203" s="16"/>
      <c r="T203" s="16"/>
      <c r="U203" s="16"/>
      <c r="V203" s="16"/>
      <c r="W203" s="16"/>
      <c r="X203" s="16"/>
      <c r="Y203" s="16"/>
    </row>
    <row r="204" spans="1:25" ht="12" customHeight="1">
      <c r="A204" s="22"/>
      <c r="B204" s="89"/>
      <c r="C204" s="89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16"/>
      <c r="R204" s="16"/>
      <c r="S204" s="16"/>
      <c r="T204" s="16"/>
      <c r="U204" s="16"/>
      <c r="V204" s="16"/>
      <c r="W204" s="16"/>
      <c r="X204" s="16"/>
      <c r="Y204" s="16"/>
    </row>
    <row r="205" spans="1:25" ht="12" customHeight="1">
      <c r="A205" s="22"/>
      <c r="B205" s="89"/>
      <c r="C205" s="8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16"/>
      <c r="R205" s="16"/>
      <c r="S205" s="16"/>
      <c r="T205" s="16"/>
      <c r="U205" s="16"/>
      <c r="V205" s="16"/>
      <c r="W205" s="16"/>
      <c r="X205" s="16"/>
      <c r="Y205" s="16"/>
    </row>
    <row r="206" spans="1:25" ht="12" customHeight="1">
      <c r="A206" s="22"/>
      <c r="B206" s="89"/>
      <c r="C206" s="89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16"/>
      <c r="R206" s="16"/>
      <c r="S206" s="16"/>
      <c r="T206" s="16"/>
      <c r="U206" s="16"/>
      <c r="V206" s="16"/>
      <c r="W206" s="16"/>
      <c r="X206" s="16"/>
      <c r="Y206" s="16"/>
    </row>
    <row r="207" spans="1:25" ht="12" customHeight="1">
      <c r="A207" s="22"/>
      <c r="B207" s="89"/>
      <c r="C207" s="89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16"/>
      <c r="R207" s="16"/>
      <c r="S207" s="16"/>
      <c r="T207" s="16"/>
      <c r="U207" s="16"/>
      <c r="V207" s="16"/>
      <c r="W207" s="16"/>
      <c r="X207" s="16"/>
      <c r="Y207" s="16"/>
    </row>
    <row r="208" spans="1:25" ht="12" customHeight="1">
      <c r="A208" s="22"/>
      <c r="B208" s="89"/>
      <c r="C208" s="89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16"/>
      <c r="R208" s="16"/>
      <c r="S208" s="16"/>
      <c r="T208" s="16"/>
      <c r="U208" s="16"/>
      <c r="V208" s="16"/>
      <c r="W208" s="16"/>
      <c r="X208" s="16"/>
      <c r="Y208" s="16"/>
    </row>
    <row r="209" spans="1:25" ht="12" customHeight="1">
      <c r="A209" s="22"/>
      <c r="B209" s="89"/>
      <c r="C209" s="89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16"/>
      <c r="R209" s="16"/>
      <c r="S209" s="16"/>
      <c r="T209" s="16"/>
      <c r="U209" s="16"/>
      <c r="V209" s="16"/>
      <c r="W209" s="16"/>
      <c r="X209" s="16"/>
      <c r="Y209" s="16"/>
    </row>
    <row r="210" spans="1:25" ht="12" customHeight="1">
      <c r="A210" s="22"/>
      <c r="B210" s="89"/>
      <c r="C210" s="89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16"/>
      <c r="R210" s="16"/>
      <c r="S210" s="16"/>
      <c r="T210" s="16"/>
      <c r="U210" s="16"/>
      <c r="V210" s="16"/>
      <c r="W210" s="16"/>
      <c r="X210" s="16"/>
      <c r="Y210" s="16"/>
    </row>
    <row r="211" spans="1:25" ht="12" customHeight="1">
      <c r="A211" s="22"/>
      <c r="B211" s="89"/>
      <c r="C211" s="89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16"/>
      <c r="R211" s="16"/>
      <c r="S211" s="16"/>
      <c r="T211" s="16"/>
      <c r="U211" s="16"/>
      <c r="V211" s="16"/>
      <c r="W211" s="16"/>
      <c r="X211" s="16"/>
      <c r="Y211" s="16"/>
    </row>
    <row r="212" spans="1:25" ht="12" customHeight="1">
      <c r="A212" s="22"/>
      <c r="B212" s="89"/>
      <c r="C212" s="89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16"/>
      <c r="R212" s="16"/>
      <c r="S212" s="16"/>
      <c r="T212" s="16"/>
      <c r="U212" s="16"/>
      <c r="V212" s="16"/>
      <c r="W212" s="16"/>
      <c r="X212" s="16"/>
      <c r="Y212" s="16"/>
    </row>
    <row r="213" spans="1:25" ht="12" customHeight="1">
      <c r="A213" s="22"/>
      <c r="B213" s="89"/>
      <c r="C213" s="89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16"/>
      <c r="R213" s="16"/>
      <c r="S213" s="16"/>
      <c r="T213" s="16"/>
      <c r="U213" s="16"/>
      <c r="V213" s="16"/>
      <c r="W213" s="16"/>
      <c r="X213" s="16"/>
      <c r="Y213" s="16"/>
    </row>
    <row r="214" spans="1:25" ht="12" customHeight="1">
      <c r="A214" s="22"/>
      <c r="B214" s="89"/>
      <c r="C214" s="89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16"/>
      <c r="R214" s="16"/>
      <c r="S214" s="16"/>
      <c r="T214" s="16"/>
      <c r="U214" s="16"/>
      <c r="V214" s="16"/>
      <c r="W214" s="16"/>
      <c r="X214" s="16"/>
      <c r="Y214" s="16"/>
    </row>
    <row r="215" spans="1:25" ht="12" customHeight="1">
      <c r="A215" s="22"/>
      <c r="B215" s="89"/>
      <c r="C215" s="89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16"/>
      <c r="R215" s="16"/>
      <c r="S215" s="16"/>
      <c r="T215" s="16"/>
      <c r="U215" s="16"/>
      <c r="V215" s="16"/>
      <c r="W215" s="16"/>
      <c r="X215" s="16"/>
      <c r="Y215" s="16"/>
    </row>
    <row r="216" spans="1:25" ht="12" customHeight="1">
      <c r="A216" s="22"/>
      <c r="B216" s="89"/>
      <c r="C216" s="89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16"/>
      <c r="R216" s="16"/>
      <c r="S216" s="16"/>
      <c r="T216" s="16"/>
      <c r="U216" s="16"/>
      <c r="V216" s="16"/>
      <c r="W216" s="16"/>
      <c r="X216" s="16"/>
      <c r="Y216" s="16"/>
    </row>
    <row r="217" spans="1:25" ht="12" customHeight="1">
      <c r="A217" s="22"/>
      <c r="B217" s="89"/>
      <c r="C217" s="89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16"/>
      <c r="R217" s="16"/>
      <c r="S217" s="16"/>
      <c r="T217" s="16"/>
      <c r="U217" s="16"/>
      <c r="V217" s="16"/>
      <c r="W217" s="16"/>
      <c r="X217" s="16"/>
      <c r="Y217" s="16"/>
    </row>
    <row r="218" spans="1:25" ht="12" customHeight="1">
      <c r="A218" s="22"/>
      <c r="B218" s="89"/>
      <c r="C218" s="89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16"/>
      <c r="R218" s="16"/>
      <c r="S218" s="16"/>
      <c r="T218" s="16"/>
      <c r="U218" s="16"/>
      <c r="V218" s="16"/>
      <c r="W218" s="16"/>
      <c r="X218" s="16"/>
      <c r="Y218" s="16"/>
    </row>
    <row r="219" spans="1:25" ht="12" customHeight="1">
      <c r="A219" s="22"/>
      <c r="B219" s="89"/>
      <c r="C219" s="8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16"/>
      <c r="R219" s="16"/>
      <c r="S219" s="16"/>
      <c r="T219" s="16"/>
      <c r="U219" s="16"/>
      <c r="V219" s="16"/>
      <c r="W219" s="16"/>
      <c r="X219" s="16"/>
      <c r="Y219" s="16"/>
    </row>
    <row r="220" spans="1:25" ht="12" customHeight="1">
      <c r="A220" s="22"/>
      <c r="B220" s="89"/>
      <c r="C220" s="89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16"/>
      <c r="R220" s="16"/>
      <c r="S220" s="16"/>
      <c r="T220" s="16"/>
      <c r="U220" s="16"/>
      <c r="V220" s="16"/>
      <c r="W220" s="16"/>
      <c r="X220" s="16"/>
      <c r="Y220" s="16"/>
    </row>
    <row r="221" spans="1:25" ht="12" customHeight="1">
      <c r="A221" s="22"/>
      <c r="B221" s="89"/>
      <c r="C221" s="8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16"/>
      <c r="R221" s="16"/>
      <c r="S221" s="16"/>
      <c r="T221" s="16"/>
      <c r="U221" s="16"/>
      <c r="V221" s="16"/>
      <c r="W221" s="16"/>
      <c r="X221" s="16"/>
      <c r="Y221" s="16"/>
    </row>
    <row r="222" spans="1:25" ht="12" customHeight="1">
      <c r="A222" s="22"/>
      <c r="B222" s="89"/>
      <c r="C222" s="89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16"/>
      <c r="R222" s="16"/>
      <c r="S222" s="16"/>
      <c r="T222" s="16"/>
      <c r="U222" s="16"/>
      <c r="V222" s="16"/>
      <c r="W222" s="16"/>
      <c r="X222" s="16"/>
      <c r="Y222" s="16"/>
    </row>
    <row r="223" spans="1:25" ht="12" customHeight="1">
      <c r="A223" s="22"/>
      <c r="B223" s="89"/>
      <c r="C223" s="89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16"/>
      <c r="R223" s="16"/>
      <c r="S223" s="16"/>
      <c r="T223" s="16"/>
      <c r="U223" s="16"/>
      <c r="V223" s="16"/>
      <c r="W223" s="16"/>
      <c r="X223" s="16"/>
      <c r="Y223" s="16"/>
    </row>
    <row r="224" spans="1:25" ht="12" customHeight="1">
      <c r="A224" s="22"/>
      <c r="B224" s="89"/>
      <c r="C224" s="89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16"/>
      <c r="R224" s="16"/>
      <c r="S224" s="16"/>
      <c r="T224" s="16"/>
      <c r="U224" s="16"/>
      <c r="V224" s="16"/>
      <c r="W224" s="16"/>
      <c r="X224" s="16"/>
      <c r="Y224" s="16"/>
    </row>
    <row r="225" spans="1:25" ht="12" customHeight="1">
      <c r="A225" s="22"/>
      <c r="B225" s="89"/>
      <c r="C225" s="89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16"/>
      <c r="R225" s="16"/>
      <c r="S225" s="16"/>
      <c r="T225" s="16"/>
      <c r="U225" s="16"/>
      <c r="V225" s="16"/>
      <c r="W225" s="16"/>
      <c r="X225" s="16"/>
      <c r="Y225" s="16"/>
    </row>
    <row r="226" spans="1:25" ht="12" customHeight="1">
      <c r="A226" s="22"/>
      <c r="B226" s="89"/>
      <c r="C226" s="89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16"/>
      <c r="R226" s="16"/>
      <c r="S226" s="16"/>
      <c r="T226" s="16"/>
      <c r="U226" s="16"/>
      <c r="V226" s="16"/>
      <c r="W226" s="16"/>
      <c r="X226" s="16"/>
      <c r="Y226" s="16"/>
    </row>
    <row r="227" spans="1:25" ht="12" customHeight="1">
      <c r="A227" s="22"/>
      <c r="B227" s="89"/>
      <c r="C227" s="89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16"/>
      <c r="R227" s="16"/>
      <c r="S227" s="16"/>
      <c r="T227" s="16"/>
      <c r="U227" s="16"/>
      <c r="V227" s="16"/>
      <c r="W227" s="16"/>
      <c r="X227" s="16"/>
      <c r="Y227" s="16"/>
    </row>
    <row r="228" spans="1:25" ht="12" customHeight="1">
      <c r="A228" s="22"/>
      <c r="B228" s="89"/>
      <c r="C228" s="89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16"/>
      <c r="R228" s="16"/>
      <c r="S228" s="16"/>
      <c r="T228" s="16"/>
      <c r="U228" s="16"/>
      <c r="V228" s="16"/>
      <c r="W228" s="16"/>
      <c r="X228" s="16"/>
      <c r="Y228" s="16"/>
    </row>
    <row r="229" spans="1:25" ht="12" customHeight="1">
      <c r="A229" s="22"/>
      <c r="B229" s="89"/>
      <c r="C229" s="89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16"/>
      <c r="R229" s="16"/>
      <c r="S229" s="16"/>
      <c r="T229" s="16"/>
      <c r="U229" s="16"/>
      <c r="V229" s="16"/>
      <c r="W229" s="16"/>
      <c r="X229" s="16"/>
      <c r="Y229" s="16"/>
    </row>
    <row r="230" spans="1:25" ht="12" customHeight="1">
      <c r="A230" s="22"/>
      <c r="B230" s="89"/>
      <c r="C230" s="89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16"/>
      <c r="R230" s="16"/>
      <c r="S230" s="16"/>
      <c r="T230" s="16"/>
      <c r="U230" s="16"/>
      <c r="V230" s="16"/>
      <c r="W230" s="16"/>
      <c r="X230" s="16"/>
      <c r="Y230" s="16"/>
    </row>
    <row r="231" spans="1:25" ht="12" customHeight="1">
      <c r="A231" s="22"/>
      <c r="B231" s="89"/>
      <c r="C231" s="89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16"/>
      <c r="R231" s="16"/>
      <c r="S231" s="16"/>
      <c r="T231" s="16"/>
      <c r="U231" s="16"/>
      <c r="V231" s="16"/>
      <c r="W231" s="16"/>
      <c r="X231" s="16"/>
      <c r="Y231" s="16"/>
    </row>
    <row r="232" spans="1:25" ht="12" customHeight="1">
      <c r="A232" s="22"/>
      <c r="B232" s="89"/>
      <c r="C232" s="89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16"/>
      <c r="R232" s="16"/>
      <c r="S232" s="16"/>
      <c r="T232" s="16"/>
      <c r="U232" s="16"/>
      <c r="V232" s="16"/>
      <c r="W232" s="16"/>
      <c r="X232" s="16"/>
      <c r="Y232" s="16"/>
    </row>
    <row r="233" spans="1:25" ht="12" customHeight="1">
      <c r="A233" s="22"/>
      <c r="B233" s="89"/>
      <c r="C233" s="89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16"/>
      <c r="R233" s="16"/>
      <c r="S233" s="16"/>
      <c r="T233" s="16"/>
      <c r="U233" s="16"/>
      <c r="V233" s="16"/>
      <c r="W233" s="16"/>
      <c r="X233" s="16"/>
      <c r="Y233" s="16"/>
    </row>
    <row r="234" spans="1:25" ht="12" customHeight="1">
      <c r="A234" s="22"/>
      <c r="B234" s="89"/>
      <c r="C234" s="89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16"/>
      <c r="R234" s="16"/>
      <c r="S234" s="16"/>
      <c r="T234" s="16"/>
      <c r="U234" s="16"/>
      <c r="V234" s="16"/>
      <c r="W234" s="16"/>
      <c r="X234" s="16"/>
      <c r="Y234" s="16"/>
    </row>
    <row r="235" spans="1:25" ht="12" customHeight="1">
      <c r="A235" s="22"/>
      <c r="B235" s="89"/>
      <c r="C235" s="89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16"/>
      <c r="R235" s="16"/>
      <c r="S235" s="16"/>
      <c r="T235" s="16"/>
      <c r="U235" s="16"/>
      <c r="V235" s="16"/>
      <c r="W235" s="16"/>
      <c r="X235" s="16"/>
      <c r="Y235" s="16"/>
    </row>
    <row r="236" spans="1:25" ht="12" customHeight="1">
      <c r="A236" s="22"/>
      <c r="B236" s="89"/>
      <c r="C236" s="89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16"/>
      <c r="R236" s="16"/>
      <c r="S236" s="16"/>
      <c r="T236" s="16"/>
      <c r="U236" s="16"/>
      <c r="V236" s="16"/>
      <c r="W236" s="16"/>
      <c r="X236" s="16"/>
      <c r="Y236" s="16"/>
    </row>
    <row r="237" spans="1:25" ht="12" customHeight="1">
      <c r="A237" s="22"/>
      <c r="B237" s="89"/>
      <c r="C237" s="89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16"/>
      <c r="R237" s="16"/>
      <c r="S237" s="16"/>
      <c r="T237" s="16"/>
      <c r="U237" s="16"/>
      <c r="V237" s="16"/>
      <c r="W237" s="16"/>
      <c r="X237" s="16"/>
      <c r="Y237" s="16"/>
    </row>
    <row r="238" spans="1:25" ht="12" customHeight="1">
      <c r="A238" s="22"/>
      <c r="B238" s="89"/>
      <c r="C238" s="89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16"/>
      <c r="R238" s="16"/>
      <c r="S238" s="16"/>
      <c r="T238" s="16"/>
      <c r="U238" s="16"/>
      <c r="V238" s="16"/>
      <c r="W238" s="16"/>
      <c r="X238" s="16"/>
      <c r="Y238" s="16"/>
    </row>
    <row r="239" spans="1:25" ht="12" customHeight="1">
      <c r="A239" s="22"/>
      <c r="B239" s="89"/>
      <c r="C239" s="89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16"/>
      <c r="R239" s="16"/>
      <c r="S239" s="16"/>
      <c r="T239" s="16"/>
      <c r="U239" s="16"/>
      <c r="V239" s="16"/>
      <c r="W239" s="16"/>
      <c r="X239" s="16"/>
      <c r="Y239" s="16"/>
    </row>
    <row r="240" spans="1:25" ht="12" customHeight="1">
      <c r="A240" s="22"/>
      <c r="B240" s="89"/>
      <c r="C240" s="89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16"/>
      <c r="R240" s="16"/>
      <c r="S240" s="16"/>
      <c r="T240" s="16"/>
      <c r="U240" s="16"/>
      <c r="V240" s="16"/>
      <c r="W240" s="16"/>
      <c r="X240" s="16"/>
      <c r="Y240" s="16"/>
    </row>
    <row r="241" spans="1:25" ht="12" customHeight="1">
      <c r="A241" s="22"/>
      <c r="B241" s="89"/>
      <c r="C241" s="89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16"/>
      <c r="R241" s="16"/>
      <c r="S241" s="16"/>
      <c r="T241" s="16"/>
      <c r="U241" s="16"/>
      <c r="V241" s="16"/>
      <c r="W241" s="16"/>
      <c r="X241" s="16"/>
      <c r="Y241" s="16"/>
    </row>
    <row r="242" spans="1:25" ht="12" customHeight="1">
      <c r="A242" s="22"/>
      <c r="B242" s="89"/>
      <c r="C242" s="89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16"/>
      <c r="R242" s="16"/>
      <c r="S242" s="16"/>
      <c r="T242" s="16"/>
      <c r="U242" s="16"/>
      <c r="V242" s="16"/>
      <c r="W242" s="16"/>
      <c r="X242" s="16"/>
      <c r="Y242" s="16"/>
    </row>
    <row r="243" spans="1:25" ht="12" customHeight="1">
      <c r="A243" s="22"/>
      <c r="B243" s="89"/>
      <c r="C243" s="89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16"/>
      <c r="R243" s="16"/>
      <c r="S243" s="16"/>
      <c r="T243" s="16"/>
      <c r="U243" s="16"/>
      <c r="V243" s="16"/>
      <c r="W243" s="16"/>
      <c r="X243" s="16"/>
      <c r="Y243" s="16"/>
    </row>
    <row r="244" spans="1:25" ht="12" customHeight="1">
      <c r="A244" s="22"/>
      <c r="B244" s="89"/>
      <c r="C244" s="89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16"/>
      <c r="R244" s="16"/>
      <c r="S244" s="16"/>
      <c r="T244" s="16"/>
      <c r="U244" s="16"/>
      <c r="V244" s="16"/>
      <c r="W244" s="16"/>
      <c r="X244" s="16"/>
      <c r="Y244" s="16"/>
    </row>
    <row r="245" spans="1:25" ht="12" customHeight="1">
      <c r="A245" s="22"/>
      <c r="B245" s="89"/>
      <c r="C245" s="89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16"/>
      <c r="R245" s="16"/>
      <c r="S245" s="16"/>
      <c r="T245" s="16"/>
      <c r="U245" s="16"/>
      <c r="V245" s="16"/>
      <c r="W245" s="16"/>
      <c r="X245" s="16"/>
      <c r="Y245" s="16"/>
    </row>
    <row r="246" spans="1:25" ht="12" customHeight="1">
      <c r="A246" s="22"/>
      <c r="B246" s="89"/>
      <c r="C246" s="89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16"/>
      <c r="R246" s="16"/>
      <c r="S246" s="16"/>
      <c r="T246" s="16"/>
      <c r="U246" s="16"/>
      <c r="V246" s="16"/>
      <c r="W246" s="16"/>
      <c r="X246" s="16"/>
      <c r="Y246" s="16"/>
    </row>
    <row r="247" spans="1:25" ht="12" customHeight="1">
      <c r="A247" s="22"/>
      <c r="B247" s="89"/>
      <c r="C247" s="89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16"/>
      <c r="R247" s="16"/>
      <c r="S247" s="16"/>
      <c r="T247" s="16"/>
      <c r="U247" s="16"/>
      <c r="V247" s="16"/>
      <c r="W247" s="16"/>
      <c r="X247" s="16"/>
      <c r="Y247" s="16"/>
    </row>
    <row r="248" spans="1:25" ht="12" customHeight="1">
      <c r="A248" s="22"/>
      <c r="B248" s="89"/>
      <c r="C248" s="89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16"/>
      <c r="R248" s="16"/>
      <c r="S248" s="16"/>
      <c r="T248" s="16"/>
      <c r="U248" s="16"/>
      <c r="V248" s="16"/>
      <c r="W248" s="16"/>
      <c r="X248" s="16"/>
      <c r="Y248" s="16"/>
    </row>
    <row r="249" spans="1:25" ht="12" customHeight="1">
      <c r="A249" s="22"/>
      <c r="B249" s="89"/>
      <c r="C249" s="89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16"/>
      <c r="R249" s="16"/>
      <c r="S249" s="16"/>
      <c r="T249" s="16"/>
      <c r="U249" s="16"/>
      <c r="V249" s="16"/>
      <c r="W249" s="16"/>
      <c r="X249" s="16"/>
      <c r="Y249" s="16"/>
    </row>
    <row r="250" spans="1:25" ht="12" customHeight="1">
      <c r="A250" s="22"/>
      <c r="B250" s="89"/>
      <c r="C250" s="89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16"/>
      <c r="R250" s="16"/>
      <c r="S250" s="16"/>
      <c r="T250" s="16"/>
      <c r="U250" s="16"/>
      <c r="V250" s="16"/>
      <c r="W250" s="16"/>
      <c r="X250" s="16"/>
      <c r="Y250" s="16"/>
    </row>
    <row r="251" spans="1:25" ht="12" customHeight="1">
      <c r="A251" s="22"/>
      <c r="B251" s="89"/>
      <c r="C251" s="89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16"/>
      <c r="R251" s="16"/>
      <c r="S251" s="16"/>
      <c r="T251" s="16"/>
      <c r="U251" s="16"/>
      <c r="V251" s="16"/>
      <c r="W251" s="16"/>
      <c r="X251" s="16"/>
      <c r="Y251" s="16"/>
    </row>
    <row r="252" spans="1:25" ht="12" customHeight="1">
      <c r="A252" s="22"/>
      <c r="B252" s="89"/>
      <c r="C252" s="89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16"/>
      <c r="R252" s="16"/>
      <c r="S252" s="16"/>
      <c r="T252" s="16"/>
      <c r="U252" s="16"/>
      <c r="V252" s="16"/>
      <c r="W252" s="16"/>
      <c r="X252" s="16"/>
      <c r="Y252" s="16"/>
    </row>
    <row r="253" spans="1:25" ht="12" customHeight="1">
      <c r="A253" s="22"/>
      <c r="B253" s="89"/>
      <c r="C253" s="89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16"/>
      <c r="R253" s="16"/>
      <c r="S253" s="16"/>
      <c r="T253" s="16"/>
      <c r="U253" s="16"/>
      <c r="V253" s="16"/>
      <c r="W253" s="16"/>
      <c r="X253" s="16"/>
      <c r="Y253" s="16"/>
    </row>
    <row r="254" spans="1:25" ht="12" customHeight="1">
      <c r="A254" s="22"/>
      <c r="B254" s="89"/>
      <c r="C254" s="89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16"/>
      <c r="R254" s="16"/>
      <c r="S254" s="16"/>
      <c r="T254" s="16"/>
      <c r="U254" s="16"/>
      <c r="V254" s="16"/>
      <c r="W254" s="16"/>
      <c r="X254" s="16"/>
      <c r="Y254" s="16"/>
    </row>
    <row r="255" spans="1:25" ht="12" customHeight="1">
      <c r="A255" s="22"/>
      <c r="B255" s="89"/>
      <c r="C255" s="89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16"/>
      <c r="R255" s="16"/>
      <c r="S255" s="16"/>
      <c r="T255" s="16"/>
      <c r="U255" s="16"/>
      <c r="V255" s="16"/>
      <c r="W255" s="16"/>
      <c r="X255" s="16"/>
      <c r="Y255" s="16"/>
    </row>
    <row r="256" spans="1:25" ht="12" customHeight="1">
      <c r="A256" s="22"/>
      <c r="B256" s="89"/>
      <c r="C256" s="89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16"/>
      <c r="R256" s="16"/>
      <c r="S256" s="16"/>
      <c r="T256" s="16"/>
      <c r="U256" s="16"/>
      <c r="V256" s="16"/>
      <c r="W256" s="16"/>
      <c r="X256" s="16"/>
      <c r="Y256" s="16"/>
    </row>
    <row r="257" spans="1:25" ht="12" customHeight="1">
      <c r="A257" s="22"/>
      <c r="B257" s="89"/>
      <c r="C257" s="89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16"/>
      <c r="R257" s="16"/>
      <c r="S257" s="16"/>
      <c r="T257" s="16"/>
      <c r="U257" s="16"/>
      <c r="V257" s="16"/>
      <c r="W257" s="16"/>
      <c r="X257" s="16"/>
      <c r="Y257" s="16"/>
    </row>
    <row r="258" spans="1:25" ht="12" customHeight="1">
      <c r="A258" s="22"/>
      <c r="B258" s="89"/>
      <c r="C258" s="89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16"/>
      <c r="R258" s="16"/>
      <c r="S258" s="16"/>
      <c r="T258" s="16"/>
      <c r="U258" s="16"/>
      <c r="V258" s="16"/>
      <c r="W258" s="16"/>
      <c r="X258" s="16"/>
      <c r="Y258" s="16"/>
    </row>
    <row r="259" spans="1:25" ht="12" customHeight="1">
      <c r="A259" s="22"/>
      <c r="B259" s="89"/>
      <c r="C259" s="89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16"/>
      <c r="R259" s="16"/>
      <c r="S259" s="16"/>
      <c r="T259" s="16"/>
      <c r="U259" s="16"/>
      <c r="V259" s="16"/>
      <c r="W259" s="16"/>
      <c r="X259" s="16"/>
      <c r="Y259" s="16"/>
    </row>
    <row r="260" spans="1:25" ht="12" customHeight="1">
      <c r="A260" s="22"/>
      <c r="B260" s="89"/>
      <c r="C260" s="89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16"/>
      <c r="R260" s="16"/>
      <c r="S260" s="16"/>
      <c r="T260" s="16"/>
      <c r="U260" s="16"/>
      <c r="V260" s="16"/>
      <c r="W260" s="16"/>
      <c r="X260" s="16"/>
      <c r="Y260" s="16"/>
    </row>
    <row r="261" spans="1:25" ht="12" customHeight="1">
      <c r="A261" s="22"/>
      <c r="B261" s="89"/>
      <c r="C261" s="89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16"/>
      <c r="R261" s="16"/>
      <c r="S261" s="16"/>
      <c r="T261" s="16"/>
      <c r="U261" s="16"/>
      <c r="V261" s="16"/>
      <c r="W261" s="16"/>
      <c r="X261" s="16"/>
      <c r="Y261" s="16"/>
    </row>
    <row r="262" spans="1:25" ht="12" customHeight="1">
      <c r="A262" s="22"/>
      <c r="B262" s="89"/>
      <c r="C262" s="89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16"/>
      <c r="R262" s="16"/>
      <c r="S262" s="16"/>
      <c r="T262" s="16"/>
      <c r="U262" s="16"/>
      <c r="V262" s="16"/>
      <c r="W262" s="16"/>
      <c r="X262" s="16"/>
      <c r="Y262" s="16"/>
    </row>
    <row r="263" spans="1:25" ht="12" customHeight="1">
      <c r="A263" s="22"/>
      <c r="B263" s="89"/>
      <c r="C263" s="89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16"/>
      <c r="R263" s="16"/>
      <c r="S263" s="16"/>
      <c r="T263" s="16"/>
      <c r="U263" s="16"/>
      <c r="V263" s="16"/>
      <c r="W263" s="16"/>
      <c r="X263" s="16"/>
      <c r="Y263" s="16"/>
    </row>
    <row r="264" spans="1:25" ht="12" customHeight="1">
      <c r="A264" s="22"/>
      <c r="B264" s="89"/>
      <c r="C264" s="8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16"/>
      <c r="R264" s="16"/>
      <c r="S264" s="16"/>
      <c r="T264" s="16"/>
      <c r="U264" s="16"/>
      <c r="V264" s="16"/>
      <c r="W264" s="16"/>
      <c r="X264" s="16"/>
      <c r="Y264" s="16"/>
    </row>
    <row r="265" spans="1:25" ht="12" customHeight="1">
      <c r="A265" s="22"/>
      <c r="B265" s="89"/>
      <c r="C265" s="89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16"/>
      <c r="R265" s="16"/>
      <c r="S265" s="16"/>
      <c r="T265" s="16"/>
      <c r="U265" s="16"/>
      <c r="V265" s="16"/>
      <c r="W265" s="16"/>
      <c r="X265" s="16"/>
      <c r="Y265" s="16"/>
    </row>
    <row r="266" spans="1:25" ht="12" customHeight="1">
      <c r="A266" s="22"/>
      <c r="B266" s="89"/>
      <c r="C266" s="89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16"/>
      <c r="R266" s="16"/>
      <c r="S266" s="16"/>
      <c r="T266" s="16"/>
      <c r="U266" s="16"/>
      <c r="V266" s="16"/>
      <c r="W266" s="16"/>
      <c r="X266" s="16"/>
      <c r="Y266" s="16"/>
    </row>
    <row r="267" spans="1:25" ht="12" customHeight="1">
      <c r="A267" s="22"/>
      <c r="B267" s="89"/>
      <c r="C267" s="89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16"/>
      <c r="R267" s="16"/>
      <c r="S267" s="16"/>
      <c r="T267" s="16"/>
      <c r="U267" s="16"/>
      <c r="V267" s="16"/>
      <c r="W267" s="16"/>
      <c r="X267" s="16"/>
      <c r="Y267" s="16"/>
    </row>
    <row r="268" spans="1:25" ht="12" customHeight="1">
      <c r="A268" s="22"/>
      <c r="B268" s="89"/>
      <c r="C268" s="89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16"/>
      <c r="R268" s="16"/>
      <c r="S268" s="16"/>
      <c r="T268" s="16"/>
      <c r="U268" s="16"/>
      <c r="V268" s="16"/>
      <c r="W268" s="16"/>
      <c r="X268" s="16"/>
      <c r="Y268" s="16"/>
    </row>
    <row r="269" spans="1:25" ht="12" customHeight="1">
      <c r="A269" s="22"/>
      <c r="B269" s="89"/>
      <c r="C269" s="89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16"/>
      <c r="R269" s="16"/>
      <c r="S269" s="16"/>
      <c r="T269" s="16"/>
      <c r="U269" s="16"/>
      <c r="V269" s="16"/>
      <c r="W269" s="16"/>
      <c r="X269" s="16"/>
      <c r="Y269" s="16"/>
    </row>
    <row r="270" spans="1:25" ht="12" customHeight="1">
      <c r="A270" s="22"/>
      <c r="B270" s="89"/>
      <c r="C270" s="89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16"/>
      <c r="R270" s="16"/>
      <c r="S270" s="16"/>
      <c r="T270" s="16"/>
      <c r="U270" s="16"/>
      <c r="V270" s="16"/>
      <c r="W270" s="16"/>
      <c r="X270" s="16"/>
      <c r="Y270" s="16"/>
    </row>
    <row r="271" spans="1:25" ht="12" customHeight="1">
      <c r="A271" s="22"/>
      <c r="B271" s="89"/>
      <c r="C271" s="89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16"/>
      <c r="R271" s="16"/>
      <c r="S271" s="16"/>
      <c r="T271" s="16"/>
      <c r="U271" s="16"/>
      <c r="V271" s="16"/>
      <c r="W271" s="16"/>
      <c r="X271" s="16"/>
      <c r="Y271" s="16"/>
    </row>
    <row r="272" spans="1:25" ht="12" customHeight="1">
      <c r="A272" s="22"/>
      <c r="B272" s="89"/>
      <c r="C272" s="89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16"/>
      <c r="R272" s="16"/>
      <c r="S272" s="16"/>
      <c r="T272" s="16"/>
      <c r="U272" s="16"/>
      <c r="V272" s="16"/>
      <c r="W272" s="16"/>
      <c r="X272" s="16"/>
      <c r="Y272" s="16"/>
    </row>
    <row r="273" spans="1:25" ht="12" customHeight="1">
      <c r="A273" s="22"/>
      <c r="B273" s="89"/>
      <c r="C273" s="89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16"/>
      <c r="R273" s="16"/>
      <c r="S273" s="16"/>
      <c r="T273" s="16"/>
      <c r="U273" s="16"/>
      <c r="V273" s="16"/>
      <c r="W273" s="16"/>
      <c r="X273" s="16"/>
      <c r="Y273" s="16"/>
    </row>
    <row r="274" spans="1:25" ht="12" customHeight="1">
      <c r="A274" s="22"/>
      <c r="B274" s="89"/>
      <c r="C274" s="89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16"/>
      <c r="R274" s="16"/>
      <c r="S274" s="16"/>
      <c r="T274" s="16"/>
      <c r="U274" s="16"/>
      <c r="V274" s="16"/>
      <c r="W274" s="16"/>
      <c r="X274" s="16"/>
      <c r="Y274" s="16"/>
    </row>
    <row r="275" spans="1:25" ht="12" customHeight="1">
      <c r="A275" s="22"/>
      <c r="B275" s="89"/>
      <c r="C275" s="89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16"/>
      <c r="R275" s="16"/>
      <c r="S275" s="16"/>
      <c r="T275" s="16"/>
      <c r="U275" s="16"/>
      <c r="V275" s="16"/>
      <c r="W275" s="16"/>
      <c r="X275" s="16"/>
      <c r="Y275" s="16"/>
    </row>
    <row r="276" spans="1:25" ht="12" customHeight="1">
      <c r="A276" s="22"/>
      <c r="B276" s="89"/>
      <c r="C276" s="89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16"/>
      <c r="R276" s="16"/>
      <c r="S276" s="16"/>
      <c r="T276" s="16"/>
      <c r="U276" s="16"/>
      <c r="V276" s="16"/>
      <c r="W276" s="16"/>
      <c r="X276" s="16"/>
      <c r="Y276" s="16"/>
    </row>
    <row r="277" spans="1:25" ht="12" customHeight="1">
      <c r="A277" s="22"/>
      <c r="B277" s="89"/>
      <c r="C277" s="89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16"/>
      <c r="R277" s="16"/>
      <c r="S277" s="16"/>
      <c r="T277" s="16"/>
      <c r="U277" s="16"/>
      <c r="V277" s="16"/>
      <c r="W277" s="16"/>
      <c r="X277" s="16"/>
      <c r="Y277" s="16"/>
    </row>
    <row r="278" spans="1:25" ht="12" customHeight="1">
      <c r="A278" s="22"/>
      <c r="B278" s="89"/>
      <c r="C278" s="89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16"/>
      <c r="R278" s="16"/>
      <c r="S278" s="16"/>
      <c r="T278" s="16"/>
      <c r="U278" s="16"/>
      <c r="V278" s="16"/>
      <c r="W278" s="16"/>
      <c r="X278" s="16"/>
      <c r="Y278" s="16"/>
    </row>
    <row r="279" spans="1:25" ht="12" customHeight="1">
      <c r="A279" s="22"/>
      <c r="B279" s="89"/>
      <c r="C279" s="8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16"/>
      <c r="R279" s="16"/>
      <c r="S279" s="16"/>
      <c r="T279" s="16"/>
      <c r="U279" s="16"/>
      <c r="V279" s="16"/>
      <c r="W279" s="16"/>
      <c r="X279" s="16"/>
      <c r="Y279" s="16"/>
    </row>
    <row r="280" spans="1:25" ht="12" customHeight="1">
      <c r="A280" s="22"/>
      <c r="B280" s="89"/>
      <c r="C280" s="89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16"/>
      <c r="R280" s="16"/>
      <c r="S280" s="16"/>
      <c r="T280" s="16"/>
      <c r="U280" s="16"/>
      <c r="V280" s="16"/>
      <c r="W280" s="16"/>
      <c r="X280" s="16"/>
      <c r="Y280" s="16"/>
    </row>
    <row r="281" spans="1:25" ht="12" customHeight="1">
      <c r="A281" s="22"/>
      <c r="B281" s="89"/>
      <c r="C281" s="89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16"/>
      <c r="R281" s="16"/>
      <c r="S281" s="16"/>
      <c r="T281" s="16"/>
      <c r="U281" s="16"/>
      <c r="V281" s="16"/>
      <c r="W281" s="16"/>
      <c r="X281" s="16"/>
      <c r="Y281" s="16"/>
    </row>
    <row r="282" spans="1:25" ht="12" customHeight="1">
      <c r="A282" s="22"/>
      <c r="B282" s="89"/>
      <c r="C282" s="89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16"/>
      <c r="R282" s="16"/>
      <c r="S282" s="16"/>
      <c r="T282" s="16"/>
      <c r="U282" s="16"/>
      <c r="V282" s="16"/>
      <c r="W282" s="16"/>
      <c r="X282" s="16"/>
      <c r="Y282" s="16"/>
    </row>
    <row r="283" spans="1:25" ht="12" customHeight="1">
      <c r="A283" s="22"/>
      <c r="B283" s="89"/>
      <c r="C283" s="89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16"/>
      <c r="R283" s="16"/>
      <c r="S283" s="16"/>
      <c r="T283" s="16"/>
      <c r="U283" s="16"/>
      <c r="V283" s="16"/>
      <c r="W283" s="16"/>
      <c r="X283" s="16"/>
      <c r="Y283" s="16"/>
    </row>
    <row r="284" spans="1:25" ht="12" customHeight="1">
      <c r="A284" s="22"/>
      <c r="B284" s="89"/>
      <c r="C284" s="89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16"/>
      <c r="R284" s="16"/>
      <c r="S284" s="16"/>
      <c r="T284" s="16"/>
      <c r="U284" s="16"/>
      <c r="V284" s="16"/>
      <c r="W284" s="16"/>
      <c r="X284" s="16"/>
      <c r="Y284" s="16"/>
    </row>
    <row r="285" spans="1:25" ht="12" customHeight="1">
      <c r="A285" s="22"/>
      <c r="B285" s="89"/>
      <c r="C285" s="89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16"/>
      <c r="R285" s="16"/>
      <c r="S285" s="16"/>
      <c r="T285" s="16"/>
      <c r="U285" s="16"/>
      <c r="V285" s="16"/>
      <c r="W285" s="16"/>
      <c r="X285" s="16"/>
      <c r="Y285" s="16"/>
    </row>
    <row r="286" spans="1:25" ht="12" customHeight="1">
      <c r="A286" s="22"/>
      <c r="B286" s="89"/>
      <c r="C286" s="8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16"/>
      <c r="R286" s="16"/>
      <c r="S286" s="16"/>
      <c r="T286" s="16"/>
      <c r="U286" s="16"/>
      <c r="V286" s="16"/>
      <c r="W286" s="16"/>
      <c r="X286" s="16"/>
      <c r="Y286" s="16"/>
    </row>
    <row r="287" spans="1:25" ht="12" customHeight="1">
      <c r="A287" s="22"/>
      <c r="B287" s="89"/>
      <c r="C287" s="89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16"/>
      <c r="R287" s="16"/>
      <c r="S287" s="16"/>
      <c r="T287" s="16"/>
      <c r="U287" s="16"/>
      <c r="V287" s="16"/>
      <c r="W287" s="16"/>
      <c r="X287" s="16"/>
      <c r="Y287" s="16"/>
    </row>
    <row r="288" spans="1:25" ht="12" customHeight="1">
      <c r="A288" s="22"/>
      <c r="B288" s="89"/>
      <c r="C288" s="89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16"/>
      <c r="R288" s="16"/>
      <c r="S288" s="16"/>
      <c r="T288" s="16"/>
      <c r="U288" s="16"/>
      <c r="V288" s="16"/>
      <c r="W288" s="16"/>
      <c r="X288" s="16"/>
      <c r="Y288" s="16"/>
    </row>
    <row r="289" spans="1:25" ht="12" customHeight="1">
      <c r="A289" s="22"/>
      <c r="B289" s="89"/>
      <c r="C289" s="89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16"/>
      <c r="R289" s="16"/>
      <c r="S289" s="16"/>
      <c r="T289" s="16"/>
      <c r="U289" s="16"/>
      <c r="V289" s="16"/>
      <c r="W289" s="16"/>
      <c r="X289" s="16"/>
      <c r="Y289" s="16"/>
    </row>
    <row r="290" spans="1:25" ht="12" customHeight="1">
      <c r="A290" s="22"/>
      <c r="B290" s="89"/>
      <c r="C290" s="89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16"/>
      <c r="R290" s="16"/>
      <c r="S290" s="16"/>
      <c r="T290" s="16"/>
      <c r="U290" s="16"/>
      <c r="V290" s="16"/>
      <c r="W290" s="16"/>
      <c r="X290" s="16"/>
      <c r="Y290" s="16"/>
    </row>
    <row r="291" spans="1:25" ht="12" customHeight="1">
      <c r="A291" s="22"/>
      <c r="B291" s="89"/>
      <c r="C291" s="89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16"/>
      <c r="R291" s="16"/>
      <c r="S291" s="16"/>
      <c r="T291" s="16"/>
      <c r="U291" s="16"/>
      <c r="V291" s="16"/>
      <c r="W291" s="16"/>
      <c r="X291" s="16"/>
      <c r="Y291" s="16"/>
    </row>
    <row r="292" spans="1:25" ht="12" customHeight="1">
      <c r="A292" s="22"/>
      <c r="B292" s="89"/>
      <c r="C292" s="89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16"/>
      <c r="R292" s="16"/>
      <c r="S292" s="16"/>
      <c r="T292" s="16"/>
      <c r="U292" s="16"/>
      <c r="V292" s="16"/>
      <c r="W292" s="16"/>
      <c r="X292" s="16"/>
      <c r="Y292" s="16"/>
    </row>
    <row r="293" spans="1:25" ht="12" customHeight="1">
      <c r="A293" s="22"/>
      <c r="B293" s="89"/>
      <c r="C293" s="89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16"/>
      <c r="R293" s="16"/>
      <c r="S293" s="16"/>
      <c r="T293" s="16"/>
      <c r="U293" s="16"/>
      <c r="V293" s="16"/>
      <c r="W293" s="16"/>
      <c r="X293" s="16"/>
      <c r="Y293" s="16"/>
    </row>
    <row r="294" spans="1:25" ht="12" customHeight="1">
      <c r="A294" s="22"/>
      <c r="B294" s="89"/>
      <c r="C294" s="89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16"/>
      <c r="R294" s="16"/>
      <c r="S294" s="16"/>
      <c r="T294" s="16"/>
      <c r="U294" s="16"/>
      <c r="V294" s="16"/>
      <c r="W294" s="16"/>
      <c r="X294" s="16"/>
      <c r="Y294" s="16"/>
    </row>
    <row r="295" spans="1:25" ht="12" customHeight="1">
      <c r="A295" s="22"/>
      <c r="B295" s="89"/>
      <c r="C295" s="89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16"/>
      <c r="R295" s="16"/>
      <c r="S295" s="16"/>
      <c r="T295" s="16"/>
      <c r="U295" s="16"/>
      <c r="V295" s="16"/>
      <c r="W295" s="16"/>
      <c r="X295" s="16"/>
      <c r="Y295" s="16"/>
    </row>
    <row r="296" spans="1:25" ht="12" customHeight="1">
      <c r="A296" s="22"/>
      <c r="B296" s="89"/>
      <c r="C296" s="89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16"/>
      <c r="R296" s="16"/>
      <c r="S296" s="16"/>
      <c r="T296" s="16"/>
      <c r="U296" s="16"/>
      <c r="V296" s="16"/>
      <c r="W296" s="16"/>
      <c r="X296" s="16"/>
      <c r="Y296" s="16"/>
    </row>
    <row r="297" spans="1:25" ht="12" customHeight="1">
      <c r="A297" s="22"/>
      <c r="B297" s="89"/>
      <c r="C297" s="89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16"/>
      <c r="R297" s="16"/>
      <c r="S297" s="16"/>
      <c r="T297" s="16"/>
      <c r="U297" s="16"/>
      <c r="V297" s="16"/>
      <c r="W297" s="16"/>
      <c r="X297" s="16"/>
      <c r="Y297" s="16"/>
    </row>
    <row r="298" spans="1:25" ht="12" customHeight="1">
      <c r="A298" s="22"/>
      <c r="B298" s="89"/>
      <c r="C298" s="89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16"/>
      <c r="R298" s="16"/>
      <c r="S298" s="16"/>
      <c r="T298" s="16"/>
      <c r="U298" s="16"/>
      <c r="V298" s="16"/>
      <c r="W298" s="16"/>
      <c r="X298" s="16"/>
      <c r="Y298" s="16"/>
    </row>
    <row r="299" spans="1:25" ht="12" customHeight="1">
      <c r="A299" s="22"/>
      <c r="B299" s="89"/>
      <c r="C299" s="89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16"/>
      <c r="R299" s="16"/>
      <c r="S299" s="16"/>
      <c r="T299" s="16"/>
      <c r="U299" s="16"/>
      <c r="V299" s="16"/>
      <c r="W299" s="16"/>
      <c r="X299" s="16"/>
      <c r="Y299" s="16"/>
    </row>
    <row r="300" spans="1:25" ht="12" customHeight="1">
      <c r="A300" s="22"/>
      <c r="B300" s="89"/>
      <c r="C300" s="89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16"/>
      <c r="R300" s="16"/>
      <c r="S300" s="16"/>
      <c r="T300" s="16"/>
      <c r="U300" s="16"/>
      <c r="V300" s="16"/>
      <c r="W300" s="16"/>
      <c r="X300" s="16"/>
      <c r="Y300" s="16"/>
    </row>
    <row r="301" spans="1:25" ht="12" customHeight="1">
      <c r="A301" s="22"/>
      <c r="B301" s="89"/>
      <c r="C301" s="89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16"/>
      <c r="R301" s="16"/>
      <c r="S301" s="16"/>
      <c r="T301" s="16"/>
      <c r="U301" s="16"/>
      <c r="V301" s="16"/>
      <c r="W301" s="16"/>
      <c r="X301" s="16"/>
      <c r="Y301" s="16"/>
    </row>
    <row r="302" spans="1:25" ht="12" customHeight="1">
      <c r="A302" s="22"/>
      <c r="B302" s="89"/>
      <c r="C302" s="89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16"/>
      <c r="R302" s="16"/>
      <c r="S302" s="16"/>
      <c r="T302" s="16"/>
      <c r="U302" s="16"/>
      <c r="V302" s="16"/>
      <c r="W302" s="16"/>
      <c r="X302" s="16"/>
      <c r="Y302" s="16"/>
    </row>
    <row r="303" spans="1:25" ht="12" customHeight="1">
      <c r="A303" s="22"/>
      <c r="B303" s="89"/>
      <c r="C303" s="89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16"/>
      <c r="R303" s="16"/>
      <c r="S303" s="16"/>
      <c r="T303" s="16"/>
      <c r="U303" s="16"/>
      <c r="V303" s="16"/>
      <c r="W303" s="16"/>
      <c r="X303" s="16"/>
      <c r="Y303" s="16"/>
    </row>
    <row r="304" spans="1:25" ht="12" customHeight="1">
      <c r="A304" s="22"/>
      <c r="B304" s="89"/>
      <c r="C304" s="89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16"/>
      <c r="R304" s="16"/>
      <c r="S304" s="16"/>
      <c r="T304" s="16"/>
      <c r="U304" s="16"/>
      <c r="V304" s="16"/>
      <c r="W304" s="16"/>
      <c r="X304" s="16"/>
      <c r="Y304" s="16"/>
    </row>
    <row r="305" spans="1:25" ht="12" customHeight="1">
      <c r="A305" s="22"/>
      <c r="B305" s="89"/>
      <c r="C305" s="89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16"/>
      <c r="R305" s="16"/>
      <c r="S305" s="16"/>
      <c r="T305" s="16"/>
      <c r="U305" s="16"/>
      <c r="V305" s="16"/>
      <c r="W305" s="16"/>
      <c r="X305" s="16"/>
      <c r="Y305" s="16"/>
    </row>
    <row r="306" spans="1:25" ht="12" customHeight="1">
      <c r="A306" s="22"/>
      <c r="B306" s="89"/>
      <c r="C306" s="89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16"/>
      <c r="R306" s="16"/>
      <c r="S306" s="16"/>
      <c r="T306" s="16"/>
      <c r="U306" s="16"/>
      <c r="V306" s="16"/>
      <c r="W306" s="16"/>
      <c r="X306" s="16"/>
      <c r="Y306" s="16"/>
    </row>
    <row r="307" spans="1:25" ht="12" customHeight="1">
      <c r="A307" s="22"/>
      <c r="B307" s="89"/>
      <c r="C307" s="89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16"/>
      <c r="R307" s="16"/>
      <c r="S307" s="16"/>
      <c r="T307" s="16"/>
      <c r="U307" s="16"/>
      <c r="V307" s="16"/>
      <c r="W307" s="16"/>
      <c r="X307" s="16"/>
      <c r="Y307" s="16"/>
    </row>
    <row r="308" spans="1:25" ht="12" customHeight="1">
      <c r="A308" s="22"/>
      <c r="B308" s="89"/>
      <c r="C308" s="89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16"/>
      <c r="R308" s="16"/>
      <c r="S308" s="16"/>
      <c r="T308" s="16"/>
      <c r="U308" s="16"/>
      <c r="V308" s="16"/>
      <c r="W308" s="16"/>
      <c r="X308" s="16"/>
      <c r="Y308" s="16"/>
    </row>
    <row r="309" spans="1:25" ht="12" customHeight="1">
      <c r="A309" s="22"/>
      <c r="B309" s="89"/>
      <c r="C309" s="89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16"/>
      <c r="R309" s="16"/>
      <c r="S309" s="16"/>
      <c r="T309" s="16"/>
      <c r="U309" s="16"/>
      <c r="V309" s="16"/>
      <c r="W309" s="16"/>
      <c r="X309" s="16"/>
      <c r="Y309" s="16"/>
    </row>
    <row r="310" spans="1:25" ht="12" customHeight="1">
      <c r="A310" s="22"/>
      <c r="B310" s="89"/>
      <c r="C310" s="89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16"/>
      <c r="R310" s="16"/>
      <c r="S310" s="16"/>
      <c r="T310" s="16"/>
      <c r="U310" s="16"/>
      <c r="V310" s="16"/>
      <c r="W310" s="16"/>
      <c r="X310" s="16"/>
      <c r="Y310" s="16"/>
    </row>
    <row r="311" spans="1:25" ht="12" customHeight="1">
      <c r="A311" s="22"/>
      <c r="B311" s="89"/>
      <c r="C311" s="89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16"/>
      <c r="R311" s="16"/>
      <c r="S311" s="16"/>
      <c r="T311" s="16"/>
      <c r="U311" s="16"/>
      <c r="V311" s="16"/>
      <c r="W311" s="16"/>
      <c r="X311" s="16"/>
      <c r="Y311" s="16"/>
    </row>
    <row r="312" spans="1:25" ht="12" customHeight="1">
      <c r="A312" s="22"/>
      <c r="B312" s="89"/>
      <c r="C312" s="89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16"/>
      <c r="R312" s="16"/>
      <c r="S312" s="16"/>
      <c r="T312" s="16"/>
      <c r="U312" s="16"/>
      <c r="V312" s="16"/>
      <c r="W312" s="16"/>
      <c r="X312" s="16"/>
      <c r="Y312" s="16"/>
    </row>
    <row r="313" spans="1:25" ht="12" customHeight="1">
      <c r="A313" s="22"/>
      <c r="B313" s="89"/>
      <c r="C313" s="89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16"/>
      <c r="R313" s="16"/>
      <c r="S313" s="16"/>
      <c r="T313" s="16"/>
      <c r="U313" s="16"/>
      <c r="V313" s="16"/>
      <c r="W313" s="16"/>
      <c r="X313" s="16"/>
      <c r="Y313" s="16"/>
    </row>
    <row r="314" spans="1:25" ht="12" customHeight="1">
      <c r="A314" s="22"/>
      <c r="B314" s="89"/>
      <c r="C314" s="89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16"/>
      <c r="R314" s="16"/>
      <c r="S314" s="16"/>
      <c r="T314" s="16"/>
      <c r="U314" s="16"/>
      <c r="V314" s="16"/>
      <c r="W314" s="16"/>
      <c r="X314" s="16"/>
      <c r="Y314" s="16"/>
    </row>
    <row r="315" spans="1:25" ht="12" customHeight="1">
      <c r="A315" s="22"/>
      <c r="B315" s="89"/>
      <c r="C315" s="89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16"/>
      <c r="R315" s="16"/>
      <c r="S315" s="16"/>
      <c r="T315" s="16"/>
      <c r="U315" s="16"/>
      <c r="V315" s="16"/>
      <c r="W315" s="16"/>
      <c r="X315" s="16"/>
      <c r="Y315" s="16"/>
    </row>
    <row r="316" spans="1:25" ht="12" customHeight="1">
      <c r="A316" s="22"/>
      <c r="B316" s="89"/>
      <c r="C316" s="89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16"/>
      <c r="R316" s="16"/>
      <c r="S316" s="16"/>
      <c r="T316" s="16"/>
      <c r="U316" s="16"/>
      <c r="V316" s="16"/>
      <c r="W316" s="16"/>
      <c r="X316" s="16"/>
      <c r="Y316" s="16"/>
    </row>
    <row r="317" spans="1:25" ht="12" customHeight="1">
      <c r="A317" s="22"/>
      <c r="B317" s="89"/>
      <c r="C317" s="89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16"/>
      <c r="R317" s="16"/>
      <c r="S317" s="16"/>
      <c r="T317" s="16"/>
      <c r="U317" s="16"/>
      <c r="V317" s="16"/>
      <c r="W317" s="16"/>
      <c r="X317" s="16"/>
      <c r="Y317" s="16"/>
    </row>
    <row r="318" spans="1:25" ht="12" customHeight="1">
      <c r="A318" s="22"/>
      <c r="B318" s="89"/>
      <c r="C318" s="89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16"/>
      <c r="R318" s="16"/>
      <c r="S318" s="16"/>
      <c r="T318" s="16"/>
      <c r="U318" s="16"/>
      <c r="V318" s="16"/>
      <c r="W318" s="16"/>
      <c r="X318" s="16"/>
      <c r="Y318" s="16"/>
    </row>
    <row r="319" spans="1:25" ht="12" customHeight="1">
      <c r="A319" s="22"/>
      <c r="B319" s="89"/>
      <c r="C319" s="89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16"/>
      <c r="R319" s="16"/>
      <c r="S319" s="16"/>
      <c r="T319" s="16"/>
      <c r="U319" s="16"/>
      <c r="V319" s="16"/>
      <c r="W319" s="16"/>
      <c r="X319" s="16"/>
      <c r="Y319" s="16"/>
    </row>
    <row r="320" spans="1:25" ht="12" customHeight="1">
      <c r="A320" s="22"/>
      <c r="B320" s="89"/>
      <c r="C320" s="89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16"/>
      <c r="R320" s="16"/>
      <c r="S320" s="16"/>
      <c r="T320" s="16"/>
      <c r="U320" s="16"/>
      <c r="V320" s="16"/>
      <c r="W320" s="16"/>
      <c r="X320" s="16"/>
      <c r="Y320" s="16"/>
    </row>
    <row r="321" spans="1:25" ht="12" customHeight="1">
      <c r="A321" s="22"/>
      <c r="B321" s="89"/>
      <c r="C321" s="89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16"/>
      <c r="R321" s="16"/>
      <c r="S321" s="16"/>
      <c r="T321" s="16"/>
      <c r="U321" s="16"/>
      <c r="V321" s="16"/>
      <c r="W321" s="16"/>
      <c r="X321" s="16"/>
      <c r="Y321" s="16"/>
    </row>
    <row r="322" spans="1:25" ht="12" customHeight="1">
      <c r="A322" s="22"/>
      <c r="B322" s="89"/>
      <c r="C322" s="89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16"/>
      <c r="R322" s="16"/>
      <c r="S322" s="16"/>
      <c r="T322" s="16"/>
      <c r="U322" s="16"/>
      <c r="V322" s="16"/>
      <c r="W322" s="16"/>
      <c r="X322" s="16"/>
      <c r="Y322" s="16"/>
    </row>
    <row r="323" spans="1:25" ht="12" customHeight="1">
      <c r="A323" s="22"/>
      <c r="B323" s="89"/>
      <c r="C323" s="89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16"/>
      <c r="R323" s="16"/>
      <c r="S323" s="16"/>
      <c r="T323" s="16"/>
      <c r="U323" s="16"/>
      <c r="V323" s="16"/>
      <c r="W323" s="16"/>
      <c r="X323" s="16"/>
      <c r="Y323" s="16"/>
    </row>
    <row r="324" spans="1:25" ht="12" customHeight="1">
      <c r="A324" s="22"/>
      <c r="B324" s="89"/>
      <c r="C324" s="89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16"/>
      <c r="R324" s="16"/>
      <c r="S324" s="16"/>
      <c r="T324" s="16"/>
      <c r="U324" s="16"/>
      <c r="V324" s="16"/>
      <c r="W324" s="16"/>
      <c r="X324" s="16"/>
      <c r="Y324" s="16"/>
    </row>
    <row r="325" spans="1:25" ht="12" customHeight="1">
      <c r="A325" s="22"/>
      <c r="B325" s="89"/>
      <c r="C325" s="89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16"/>
      <c r="R325" s="16"/>
      <c r="S325" s="16"/>
      <c r="T325" s="16"/>
      <c r="U325" s="16"/>
      <c r="V325" s="16"/>
      <c r="W325" s="16"/>
      <c r="X325" s="16"/>
      <c r="Y325" s="16"/>
    </row>
    <row r="326" spans="1:25" ht="12" customHeight="1">
      <c r="A326" s="22"/>
      <c r="B326" s="89"/>
      <c r="C326" s="89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16"/>
      <c r="R326" s="16"/>
      <c r="S326" s="16"/>
      <c r="T326" s="16"/>
      <c r="U326" s="16"/>
      <c r="V326" s="16"/>
      <c r="W326" s="16"/>
      <c r="X326" s="16"/>
      <c r="Y326" s="16"/>
    </row>
    <row r="327" spans="1:25" ht="12" customHeight="1">
      <c r="A327" s="22"/>
      <c r="B327" s="89"/>
      <c r="C327" s="89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16"/>
      <c r="R327" s="16"/>
      <c r="S327" s="16"/>
      <c r="T327" s="16"/>
      <c r="U327" s="16"/>
      <c r="V327" s="16"/>
      <c r="W327" s="16"/>
      <c r="X327" s="16"/>
      <c r="Y327" s="16"/>
    </row>
    <row r="328" spans="1:25" ht="12" customHeight="1">
      <c r="A328" s="22"/>
      <c r="B328" s="89"/>
      <c r="C328" s="89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16"/>
      <c r="R328" s="16"/>
      <c r="S328" s="16"/>
      <c r="T328" s="16"/>
      <c r="U328" s="16"/>
      <c r="V328" s="16"/>
      <c r="W328" s="16"/>
      <c r="X328" s="16"/>
      <c r="Y328" s="16"/>
    </row>
    <row r="329" spans="1:25" ht="12" customHeight="1">
      <c r="A329" s="22"/>
      <c r="B329" s="89"/>
      <c r="C329" s="89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16"/>
      <c r="R329" s="16"/>
      <c r="S329" s="16"/>
      <c r="T329" s="16"/>
      <c r="U329" s="16"/>
      <c r="V329" s="16"/>
      <c r="W329" s="16"/>
      <c r="X329" s="16"/>
      <c r="Y329" s="16"/>
    </row>
    <row r="330" spans="1:25" ht="12" customHeight="1">
      <c r="A330" s="22"/>
      <c r="B330" s="89"/>
      <c r="C330" s="89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16"/>
      <c r="R330" s="16"/>
      <c r="S330" s="16"/>
      <c r="T330" s="16"/>
      <c r="U330" s="16"/>
      <c r="V330" s="16"/>
      <c r="W330" s="16"/>
      <c r="X330" s="16"/>
      <c r="Y330" s="16"/>
    </row>
    <row r="331" spans="1:25" ht="12" customHeight="1">
      <c r="A331" s="22"/>
      <c r="B331" s="89"/>
      <c r="C331" s="89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16"/>
      <c r="R331" s="16"/>
      <c r="S331" s="16"/>
      <c r="T331" s="16"/>
      <c r="U331" s="16"/>
      <c r="V331" s="16"/>
      <c r="W331" s="16"/>
      <c r="X331" s="16"/>
      <c r="Y331" s="16"/>
    </row>
    <row r="332" spans="1:25" ht="12" customHeight="1">
      <c r="A332" s="22"/>
      <c r="B332" s="89"/>
      <c r="C332" s="89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16"/>
      <c r="R332" s="16"/>
      <c r="S332" s="16"/>
      <c r="T332" s="16"/>
      <c r="U332" s="16"/>
      <c r="V332" s="16"/>
      <c r="W332" s="16"/>
      <c r="X332" s="16"/>
      <c r="Y332" s="16"/>
    </row>
    <row r="333" spans="1:25" ht="12" customHeight="1">
      <c r="A333" s="22"/>
      <c r="B333" s="89"/>
      <c r="C333" s="89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16"/>
      <c r="R333" s="16"/>
      <c r="S333" s="16"/>
      <c r="T333" s="16"/>
      <c r="U333" s="16"/>
      <c r="V333" s="16"/>
      <c r="W333" s="16"/>
      <c r="X333" s="16"/>
      <c r="Y333" s="16"/>
    </row>
    <row r="334" spans="1:25" ht="12" customHeight="1">
      <c r="A334" s="22"/>
      <c r="B334" s="89"/>
      <c r="C334" s="89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16"/>
      <c r="R334" s="16"/>
      <c r="S334" s="16"/>
      <c r="T334" s="16"/>
      <c r="U334" s="16"/>
      <c r="V334" s="16"/>
      <c r="W334" s="16"/>
      <c r="X334" s="16"/>
      <c r="Y334" s="16"/>
    </row>
    <row r="335" spans="1:25" ht="12" customHeight="1">
      <c r="A335" s="22"/>
      <c r="B335" s="89"/>
      <c r="C335" s="89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16"/>
      <c r="R335" s="16"/>
      <c r="S335" s="16"/>
      <c r="T335" s="16"/>
      <c r="U335" s="16"/>
      <c r="V335" s="16"/>
      <c r="W335" s="16"/>
      <c r="X335" s="16"/>
      <c r="Y335" s="16"/>
    </row>
    <row r="336" spans="1:25" ht="12" customHeight="1">
      <c r="A336" s="22"/>
      <c r="B336" s="89"/>
      <c r="C336" s="89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16"/>
      <c r="R336" s="16"/>
      <c r="S336" s="16"/>
      <c r="T336" s="16"/>
      <c r="U336" s="16"/>
      <c r="V336" s="16"/>
      <c r="W336" s="16"/>
      <c r="X336" s="16"/>
      <c r="Y336" s="16"/>
    </row>
    <row r="337" spans="1:25" ht="12" customHeight="1">
      <c r="A337" s="22"/>
      <c r="B337" s="89"/>
      <c r="C337" s="89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16"/>
      <c r="R337" s="16"/>
      <c r="S337" s="16"/>
      <c r="T337" s="16"/>
      <c r="U337" s="16"/>
      <c r="V337" s="16"/>
      <c r="W337" s="16"/>
      <c r="X337" s="16"/>
      <c r="Y337" s="16"/>
    </row>
    <row r="338" spans="1:25" ht="12" customHeight="1">
      <c r="A338" s="22"/>
      <c r="B338" s="89"/>
      <c r="C338" s="89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16"/>
      <c r="R338" s="16"/>
      <c r="S338" s="16"/>
      <c r="T338" s="16"/>
      <c r="U338" s="16"/>
      <c r="V338" s="16"/>
      <c r="W338" s="16"/>
      <c r="X338" s="16"/>
      <c r="Y338" s="16"/>
    </row>
    <row r="339" spans="1:25" ht="12" customHeight="1">
      <c r="A339" s="22"/>
      <c r="B339" s="89"/>
      <c r="C339" s="89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16"/>
      <c r="R339" s="16"/>
      <c r="S339" s="16"/>
      <c r="T339" s="16"/>
      <c r="U339" s="16"/>
      <c r="V339" s="16"/>
      <c r="W339" s="16"/>
      <c r="X339" s="16"/>
      <c r="Y339" s="16"/>
    </row>
    <row r="340" spans="1:25" ht="12" customHeight="1">
      <c r="A340" s="22"/>
      <c r="B340" s="89"/>
      <c r="C340" s="89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16"/>
      <c r="R340" s="16"/>
      <c r="S340" s="16"/>
      <c r="T340" s="16"/>
      <c r="U340" s="16"/>
      <c r="V340" s="16"/>
      <c r="W340" s="16"/>
      <c r="X340" s="16"/>
      <c r="Y340" s="16"/>
    </row>
    <row r="341" spans="1:25" ht="12" customHeight="1">
      <c r="A341" s="22"/>
      <c r="B341" s="89"/>
      <c r="C341" s="89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16"/>
      <c r="R341" s="16"/>
      <c r="S341" s="16"/>
      <c r="T341" s="16"/>
      <c r="U341" s="16"/>
      <c r="V341" s="16"/>
      <c r="W341" s="16"/>
      <c r="X341" s="16"/>
      <c r="Y341" s="16"/>
    </row>
    <row r="342" spans="1:25" ht="12" customHeight="1">
      <c r="A342" s="22"/>
      <c r="B342" s="89"/>
      <c r="C342" s="89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16"/>
      <c r="R342" s="16"/>
      <c r="S342" s="16"/>
      <c r="T342" s="16"/>
      <c r="U342" s="16"/>
      <c r="V342" s="16"/>
      <c r="W342" s="16"/>
      <c r="X342" s="16"/>
      <c r="Y342" s="16"/>
    </row>
    <row r="343" spans="1:25" ht="12" customHeight="1">
      <c r="A343" s="22"/>
      <c r="B343" s="89"/>
      <c r="C343" s="89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16"/>
      <c r="R343" s="16"/>
      <c r="S343" s="16"/>
      <c r="T343" s="16"/>
      <c r="U343" s="16"/>
      <c r="V343" s="16"/>
      <c r="W343" s="16"/>
      <c r="X343" s="16"/>
      <c r="Y343" s="16"/>
    </row>
    <row r="344" spans="1:25" ht="12" customHeight="1">
      <c r="A344" s="22"/>
      <c r="B344" s="89"/>
      <c r="C344" s="89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16"/>
      <c r="R344" s="16"/>
      <c r="S344" s="16"/>
      <c r="T344" s="16"/>
      <c r="U344" s="16"/>
      <c r="V344" s="16"/>
      <c r="W344" s="16"/>
      <c r="X344" s="16"/>
      <c r="Y344" s="16"/>
    </row>
    <row r="345" spans="1:25" ht="12" customHeight="1">
      <c r="A345" s="22"/>
      <c r="B345" s="89"/>
      <c r="C345" s="89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16"/>
      <c r="R345" s="16"/>
      <c r="S345" s="16"/>
      <c r="T345" s="16"/>
      <c r="U345" s="16"/>
      <c r="V345" s="16"/>
      <c r="W345" s="16"/>
      <c r="X345" s="16"/>
      <c r="Y345" s="16"/>
    </row>
    <row r="346" spans="1:25" ht="12" customHeight="1">
      <c r="A346" s="22"/>
      <c r="B346" s="89"/>
      <c r="C346" s="89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16"/>
      <c r="R346" s="16"/>
      <c r="S346" s="16"/>
      <c r="T346" s="16"/>
      <c r="U346" s="16"/>
      <c r="V346" s="16"/>
      <c r="W346" s="16"/>
      <c r="X346" s="16"/>
      <c r="Y346" s="16"/>
    </row>
    <row r="347" spans="1:25" ht="12" customHeight="1">
      <c r="A347" s="22"/>
      <c r="B347" s="89"/>
      <c r="C347" s="89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16"/>
      <c r="R347" s="16"/>
      <c r="S347" s="16"/>
      <c r="T347" s="16"/>
      <c r="U347" s="16"/>
      <c r="V347" s="16"/>
      <c r="W347" s="16"/>
      <c r="X347" s="16"/>
      <c r="Y347" s="16"/>
    </row>
    <row r="348" spans="1:25" ht="12" customHeight="1">
      <c r="A348" s="22"/>
      <c r="B348" s="89"/>
      <c r="C348" s="89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16"/>
      <c r="R348" s="16"/>
      <c r="S348" s="16"/>
      <c r="T348" s="16"/>
      <c r="U348" s="16"/>
      <c r="V348" s="16"/>
      <c r="W348" s="16"/>
      <c r="X348" s="16"/>
      <c r="Y348" s="16"/>
    </row>
    <row r="349" spans="1:25" ht="12" customHeight="1">
      <c r="A349" s="22"/>
      <c r="B349" s="89"/>
      <c r="C349" s="89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16"/>
      <c r="R349" s="16"/>
      <c r="S349" s="16"/>
      <c r="T349" s="16"/>
      <c r="U349" s="16"/>
      <c r="V349" s="16"/>
      <c r="W349" s="16"/>
      <c r="X349" s="16"/>
      <c r="Y349" s="16"/>
    </row>
    <row r="350" spans="1:25" ht="12" customHeight="1">
      <c r="A350" s="22"/>
      <c r="B350" s="89"/>
      <c r="C350" s="89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16"/>
      <c r="R350" s="16"/>
      <c r="S350" s="16"/>
      <c r="T350" s="16"/>
      <c r="U350" s="16"/>
      <c r="V350" s="16"/>
      <c r="W350" s="16"/>
      <c r="X350" s="16"/>
      <c r="Y350" s="16"/>
    </row>
    <row r="351" spans="1:25" ht="12" customHeight="1">
      <c r="A351" s="22"/>
      <c r="B351" s="89"/>
      <c r="C351" s="89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16"/>
      <c r="R351" s="16"/>
      <c r="S351" s="16"/>
      <c r="T351" s="16"/>
      <c r="U351" s="16"/>
      <c r="V351" s="16"/>
      <c r="W351" s="16"/>
      <c r="X351" s="16"/>
      <c r="Y351" s="16"/>
    </row>
    <row r="352" spans="1:25" ht="12" customHeight="1">
      <c r="A352" s="22"/>
      <c r="B352" s="89"/>
      <c r="C352" s="89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16"/>
      <c r="R352" s="16"/>
      <c r="S352" s="16"/>
      <c r="T352" s="16"/>
      <c r="U352" s="16"/>
      <c r="V352" s="16"/>
      <c r="W352" s="16"/>
      <c r="X352" s="16"/>
      <c r="Y352" s="16"/>
    </row>
    <row r="353" spans="1:25" ht="12" customHeight="1">
      <c r="A353" s="22"/>
      <c r="B353" s="89"/>
      <c r="C353" s="89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16"/>
      <c r="R353" s="16"/>
      <c r="S353" s="16"/>
      <c r="T353" s="16"/>
      <c r="U353" s="16"/>
      <c r="V353" s="16"/>
      <c r="W353" s="16"/>
      <c r="X353" s="16"/>
      <c r="Y353" s="16"/>
    </row>
    <row r="354" spans="1:25" ht="12" customHeight="1">
      <c r="A354" s="22"/>
      <c r="B354" s="89"/>
      <c r="C354" s="89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16"/>
      <c r="R354" s="16"/>
      <c r="S354" s="16"/>
      <c r="T354" s="16"/>
      <c r="U354" s="16"/>
      <c r="V354" s="16"/>
      <c r="W354" s="16"/>
      <c r="X354" s="16"/>
      <c r="Y354" s="16"/>
    </row>
    <row r="355" spans="1:25" ht="12" customHeight="1">
      <c r="A355" s="22"/>
      <c r="B355" s="89"/>
      <c r="C355" s="89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16"/>
      <c r="R355" s="16"/>
      <c r="S355" s="16"/>
      <c r="T355" s="16"/>
      <c r="U355" s="16"/>
      <c r="V355" s="16"/>
      <c r="W355" s="16"/>
      <c r="X355" s="16"/>
      <c r="Y355" s="16"/>
    </row>
    <row r="356" spans="1:25" ht="12" customHeight="1">
      <c r="A356" s="22"/>
      <c r="B356" s="89"/>
      <c r="C356" s="89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16"/>
      <c r="R356" s="16"/>
      <c r="S356" s="16"/>
      <c r="T356" s="16"/>
      <c r="U356" s="16"/>
      <c r="V356" s="16"/>
      <c r="W356" s="16"/>
      <c r="X356" s="16"/>
      <c r="Y356" s="16"/>
    </row>
    <row r="357" spans="1:25" ht="12" customHeight="1">
      <c r="A357" s="22"/>
      <c r="B357" s="89"/>
      <c r="C357" s="89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16"/>
      <c r="R357" s="16"/>
      <c r="S357" s="16"/>
      <c r="T357" s="16"/>
      <c r="U357" s="16"/>
      <c r="V357" s="16"/>
      <c r="W357" s="16"/>
      <c r="X357" s="16"/>
      <c r="Y357" s="16"/>
    </row>
    <row r="358" spans="1:25" ht="12" customHeight="1">
      <c r="A358" s="22"/>
      <c r="B358" s="89"/>
      <c r="C358" s="89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16"/>
      <c r="R358" s="16"/>
      <c r="S358" s="16"/>
      <c r="T358" s="16"/>
      <c r="U358" s="16"/>
      <c r="V358" s="16"/>
      <c r="W358" s="16"/>
      <c r="X358" s="16"/>
      <c r="Y358" s="16"/>
    </row>
    <row r="359" spans="1:25" ht="12" customHeight="1">
      <c r="A359" s="22"/>
      <c r="B359" s="89"/>
      <c r="C359" s="89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16"/>
      <c r="R359" s="16"/>
      <c r="S359" s="16"/>
      <c r="T359" s="16"/>
      <c r="U359" s="16"/>
      <c r="V359" s="16"/>
      <c r="W359" s="16"/>
      <c r="X359" s="16"/>
      <c r="Y359" s="16"/>
    </row>
    <row r="360" spans="1:25" ht="12" customHeight="1">
      <c r="A360" s="22"/>
      <c r="B360" s="89"/>
      <c r="C360" s="89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16"/>
      <c r="R360" s="16"/>
      <c r="S360" s="16"/>
      <c r="T360" s="16"/>
      <c r="U360" s="16"/>
      <c r="V360" s="16"/>
      <c r="W360" s="16"/>
      <c r="X360" s="16"/>
      <c r="Y360" s="16"/>
    </row>
    <row r="361" spans="1:25" ht="12" customHeight="1">
      <c r="A361" s="22"/>
      <c r="B361" s="89"/>
      <c r="C361" s="89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16"/>
      <c r="R361" s="16"/>
      <c r="S361" s="16"/>
      <c r="T361" s="16"/>
      <c r="U361" s="16"/>
      <c r="V361" s="16"/>
      <c r="W361" s="16"/>
      <c r="X361" s="16"/>
      <c r="Y361" s="16"/>
    </row>
    <row r="362" spans="1:25" ht="12" customHeight="1">
      <c r="A362" s="22"/>
      <c r="B362" s="89"/>
      <c r="C362" s="89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16"/>
      <c r="R362" s="16"/>
      <c r="S362" s="16"/>
      <c r="T362" s="16"/>
      <c r="U362" s="16"/>
      <c r="V362" s="16"/>
      <c r="W362" s="16"/>
      <c r="X362" s="16"/>
      <c r="Y362" s="16"/>
    </row>
    <row r="363" spans="1:25" ht="12" customHeight="1">
      <c r="A363" s="22"/>
      <c r="B363" s="89"/>
      <c r="C363" s="89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16"/>
      <c r="R363" s="16"/>
      <c r="S363" s="16"/>
      <c r="T363" s="16"/>
      <c r="U363" s="16"/>
      <c r="V363" s="16"/>
      <c r="W363" s="16"/>
      <c r="X363" s="16"/>
      <c r="Y363" s="16"/>
    </row>
    <row r="364" spans="1:25" ht="12" customHeight="1">
      <c r="A364" s="22"/>
      <c r="B364" s="89"/>
      <c r="C364" s="89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16"/>
      <c r="R364" s="16"/>
      <c r="S364" s="16"/>
      <c r="T364" s="16"/>
      <c r="U364" s="16"/>
      <c r="V364" s="16"/>
      <c r="W364" s="16"/>
      <c r="X364" s="16"/>
      <c r="Y364" s="16"/>
    </row>
    <row r="365" spans="1:25" ht="12" customHeight="1">
      <c r="A365" s="22"/>
      <c r="B365" s="89"/>
      <c r="C365" s="89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16"/>
      <c r="R365" s="16"/>
      <c r="S365" s="16"/>
      <c r="T365" s="16"/>
      <c r="U365" s="16"/>
      <c r="V365" s="16"/>
      <c r="W365" s="16"/>
      <c r="X365" s="16"/>
      <c r="Y365" s="16"/>
    </row>
    <row r="366" spans="1:25" ht="12" customHeight="1">
      <c r="A366" s="22"/>
      <c r="B366" s="89"/>
      <c r="C366" s="89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16"/>
      <c r="R366" s="16"/>
      <c r="S366" s="16"/>
      <c r="T366" s="16"/>
      <c r="U366" s="16"/>
      <c r="V366" s="16"/>
      <c r="W366" s="16"/>
      <c r="X366" s="16"/>
      <c r="Y366" s="16"/>
    </row>
    <row r="367" spans="1:25" ht="12" customHeight="1">
      <c r="A367" s="22"/>
      <c r="B367" s="89"/>
      <c r="C367" s="89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16"/>
      <c r="R367" s="16"/>
      <c r="S367" s="16"/>
      <c r="T367" s="16"/>
      <c r="U367" s="16"/>
      <c r="V367" s="16"/>
      <c r="W367" s="16"/>
      <c r="X367" s="16"/>
      <c r="Y367" s="16"/>
    </row>
    <row r="368" spans="1:25" ht="12" customHeight="1">
      <c r="A368" s="22"/>
      <c r="B368" s="89"/>
      <c r="C368" s="89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16"/>
      <c r="R368" s="16"/>
      <c r="S368" s="16"/>
      <c r="T368" s="16"/>
      <c r="U368" s="16"/>
      <c r="V368" s="16"/>
      <c r="W368" s="16"/>
      <c r="X368" s="16"/>
      <c r="Y368" s="16"/>
    </row>
    <row r="369" spans="1:25" ht="12" customHeight="1">
      <c r="A369" s="22"/>
      <c r="B369" s="89"/>
      <c r="C369" s="89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16"/>
      <c r="R369" s="16"/>
      <c r="S369" s="16"/>
      <c r="T369" s="16"/>
      <c r="U369" s="16"/>
      <c r="V369" s="16"/>
      <c r="W369" s="16"/>
      <c r="X369" s="16"/>
      <c r="Y369" s="16"/>
    </row>
    <row r="370" spans="1:25" ht="12" customHeight="1">
      <c r="A370" s="22"/>
      <c r="B370" s="89"/>
      <c r="C370" s="89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16"/>
      <c r="R370" s="16"/>
      <c r="S370" s="16"/>
      <c r="T370" s="16"/>
      <c r="U370" s="16"/>
      <c r="V370" s="16"/>
      <c r="W370" s="16"/>
      <c r="X370" s="16"/>
      <c r="Y370" s="16"/>
    </row>
    <row r="371" spans="1:25" ht="12" customHeight="1">
      <c r="A371" s="22"/>
      <c r="B371" s="89"/>
      <c r="C371" s="89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16"/>
      <c r="R371" s="16"/>
      <c r="S371" s="16"/>
      <c r="T371" s="16"/>
      <c r="U371" s="16"/>
      <c r="V371" s="16"/>
      <c r="W371" s="16"/>
      <c r="X371" s="16"/>
      <c r="Y371" s="16"/>
    </row>
    <row r="372" spans="1:25" ht="12" customHeight="1">
      <c r="A372" s="22"/>
      <c r="B372" s="89"/>
      <c r="C372" s="89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16"/>
      <c r="R372" s="16"/>
      <c r="S372" s="16"/>
      <c r="T372" s="16"/>
      <c r="U372" s="16"/>
      <c r="V372" s="16"/>
      <c r="W372" s="16"/>
      <c r="X372" s="16"/>
      <c r="Y372" s="16"/>
    </row>
    <row r="373" spans="1:25" ht="12" customHeight="1">
      <c r="A373" s="22"/>
      <c r="B373" s="89"/>
      <c r="C373" s="89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16"/>
      <c r="R373" s="16"/>
      <c r="S373" s="16"/>
      <c r="T373" s="16"/>
      <c r="U373" s="16"/>
      <c r="V373" s="16"/>
      <c r="W373" s="16"/>
      <c r="X373" s="16"/>
      <c r="Y373" s="16"/>
    </row>
    <row r="374" spans="1:25" ht="12" customHeight="1">
      <c r="A374" s="22"/>
      <c r="B374" s="89"/>
      <c r="C374" s="89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16"/>
      <c r="R374" s="16"/>
      <c r="S374" s="16"/>
      <c r="T374" s="16"/>
      <c r="U374" s="16"/>
      <c r="V374" s="16"/>
      <c r="W374" s="16"/>
      <c r="X374" s="16"/>
      <c r="Y374" s="16"/>
    </row>
    <row r="375" spans="1:25" ht="12" customHeight="1">
      <c r="A375" s="22"/>
      <c r="B375" s="89"/>
      <c r="C375" s="89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16"/>
      <c r="R375" s="16"/>
      <c r="S375" s="16"/>
      <c r="T375" s="16"/>
      <c r="U375" s="16"/>
      <c r="V375" s="16"/>
      <c r="W375" s="16"/>
      <c r="X375" s="16"/>
      <c r="Y375" s="16"/>
    </row>
    <row r="376" spans="1:25" ht="12" customHeight="1">
      <c r="A376" s="22"/>
      <c r="B376" s="89"/>
      <c r="C376" s="89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16"/>
      <c r="R376" s="16"/>
      <c r="S376" s="16"/>
      <c r="T376" s="16"/>
      <c r="U376" s="16"/>
      <c r="V376" s="16"/>
      <c r="W376" s="16"/>
      <c r="X376" s="16"/>
      <c r="Y376" s="16"/>
    </row>
    <row r="377" spans="1:25" ht="12" customHeight="1">
      <c r="A377" s="22"/>
      <c r="B377" s="89"/>
      <c r="C377" s="89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16"/>
      <c r="R377" s="16"/>
      <c r="S377" s="16"/>
      <c r="T377" s="16"/>
      <c r="U377" s="16"/>
      <c r="V377" s="16"/>
      <c r="W377" s="16"/>
      <c r="X377" s="16"/>
      <c r="Y377" s="16"/>
    </row>
    <row r="378" spans="1:25" ht="12" customHeight="1">
      <c r="A378" s="22"/>
      <c r="B378" s="89"/>
      <c r="C378" s="89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16"/>
      <c r="R378" s="16"/>
      <c r="S378" s="16"/>
      <c r="T378" s="16"/>
      <c r="U378" s="16"/>
      <c r="V378" s="16"/>
      <c r="W378" s="16"/>
      <c r="X378" s="16"/>
      <c r="Y378" s="16"/>
    </row>
    <row r="379" spans="1:25" ht="12" customHeight="1">
      <c r="A379" s="22"/>
      <c r="B379" s="89"/>
      <c r="C379" s="89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16"/>
      <c r="R379" s="16"/>
      <c r="S379" s="16"/>
      <c r="T379" s="16"/>
      <c r="U379" s="16"/>
      <c r="V379" s="16"/>
      <c r="W379" s="16"/>
      <c r="X379" s="16"/>
      <c r="Y379" s="16"/>
    </row>
    <row r="380" spans="1:25" ht="12" customHeight="1">
      <c r="A380" s="22"/>
      <c r="B380" s="89"/>
      <c r="C380" s="89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16"/>
      <c r="R380" s="16"/>
      <c r="S380" s="16"/>
      <c r="T380" s="16"/>
      <c r="U380" s="16"/>
      <c r="V380" s="16"/>
      <c r="W380" s="16"/>
      <c r="X380" s="16"/>
      <c r="Y380" s="16"/>
    </row>
    <row r="381" spans="1:25" ht="12" customHeight="1">
      <c r="A381" s="22"/>
      <c r="B381" s="89"/>
      <c r="C381" s="89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16"/>
      <c r="R381" s="16"/>
      <c r="S381" s="16"/>
      <c r="T381" s="16"/>
      <c r="U381" s="16"/>
      <c r="V381" s="16"/>
      <c r="W381" s="16"/>
      <c r="X381" s="16"/>
      <c r="Y381" s="16"/>
    </row>
    <row r="382" spans="1:25" ht="12" customHeight="1">
      <c r="A382" s="22"/>
      <c r="B382" s="89"/>
      <c r="C382" s="89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16"/>
      <c r="R382" s="16"/>
      <c r="S382" s="16"/>
      <c r="T382" s="16"/>
      <c r="U382" s="16"/>
      <c r="V382" s="16"/>
      <c r="W382" s="16"/>
      <c r="X382" s="16"/>
      <c r="Y382" s="16"/>
    </row>
    <row r="383" spans="1:25" ht="12" customHeight="1">
      <c r="A383" s="22"/>
      <c r="B383" s="89"/>
      <c r="C383" s="89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16"/>
      <c r="R383" s="16"/>
      <c r="S383" s="16"/>
      <c r="T383" s="16"/>
      <c r="U383" s="16"/>
      <c r="V383" s="16"/>
      <c r="W383" s="16"/>
      <c r="X383" s="16"/>
      <c r="Y383" s="16"/>
    </row>
    <row r="384" spans="1:25" ht="12" customHeight="1">
      <c r="A384" s="22"/>
      <c r="B384" s="89"/>
      <c r="C384" s="89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16"/>
      <c r="R384" s="16"/>
      <c r="S384" s="16"/>
      <c r="T384" s="16"/>
      <c r="U384" s="16"/>
      <c r="V384" s="16"/>
      <c r="W384" s="16"/>
      <c r="X384" s="16"/>
      <c r="Y384" s="16"/>
    </row>
    <row r="385" spans="1:25" ht="12" customHeight="1">
      <c r="A385" s="22"/>
      <c r="B385" s="89"/>
      <c r="C385" s="89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16"/>
      <c r="R385" s="16"/>
      <c r="S385" s="16"/>
      <c r="T385" s="16"/>
      <c r="U385" s="16"/>
      <c r="V385" s="16"/>
      <c r="W385" s="16"/>
      <c r="X385" s="16"/>
      <c r="Y385" s="16"/>
    </row>
    <row r="386" spans="1:25" ht="12" customHeight="1">
      <c r="A386" s="22"/>
      <c r="B386" s="89"/>
      <c r="C386" s="89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16"/>
      <c r="R386" s="16"/>
      <c r="S386" s="16"/>
      <c r="T386" s="16"/>
      <c r="U386" s="16"/>
      <c r="V386" s="16"/>
      <c r="W386" s="16"/>
      <c r="X386" s="16"/>
      <c r="Y386" s="16"/>
    </row>
    <row r="387" spans="1:25" ht="12" customHeight="1">
      <c r="A387" s="22"/>
      <c r="B387" s="89"/>
      <c r="C387" s="89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16"/>
      <c r="R387" s="16"/>
      <c r="S387" s="16"/>
      <c r="T387" s="16"/>
      <c r="U387" s="16"/>
      <c r="V387" s="16"/>
      <c r="W387" s="16"/>
      <c r="X387" s="16"/>
      <c r="Y387" s="16"/>
    </row>
    <row r="388" spans="1:25" ht="12" customHeight="1">
      <c r="A388" s="22"/>
      <c r="B388" s="89"/>
      <c r="C388" s="89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16"/>
      <c r="R388" s="16"/>
      <c r="S388" s="16"/>
      <c r="T388" s="16"/>
      <c r="U388" s="16"/>
      <c r="V388" s="16"/>
      <c r="W388" s="16"/>
      <c r="X388" s="16"/>
      <c r="Y388" s="16"/>
    </row>
    <row r="389" spans="1:25" ht="12" customHeight="1">
      <c r="A389" s="22"/>
      <c r="B389" s="89"/>
      <c r="C389" s="89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16"/>
      <c r="R389" s="16"/>
      <c r="S389" s="16"/>
      <c r="T389" s="16"/>
      <c r="U389" s="16"/>
      <c r="V389" s="16"/>
      <c r="W389" s="16"/>
      <c r="X389" s="16"/>
      <c r="Y389" s="16"/>
    </row>
    <row r="390" spans="1:25" ht="12" customHeight="1">
      <c r="A390" s="22"/>
      <c r="B390" s="89"/>
      <c r="C390" s="89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16"/>
      <c r="R390" s="16"/>
      <c r="S390" s="16"/>
      <c r="T390" s="16"/>
      <c r="U390" s="16"/>
      <c r="V390" s="16"/>
      <c r="W390" s="16"/>
      <c r="X390" s="16"/>
      <c r="Y390" s="16"/>
    </row>
    <row r="391" spans="1:25" ht="12" customHeight="1">
      <c r="A391" s="22"/>
      <c r="B391" s="89"/>
      <c r="C391" s="89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16"/>
      <c r="R391" s="16"/>
      <c r="S391" s="16"/>
      <c r="T391" s="16"/>
      <c r="U391" s="16"/>
      <c r="V391" s="16"/>
      <c r="W391" s="16"/>
      <c r="X391" s="16"/>
      <c r="Y391" s="16"/>
    </row>
    <row r="392" spans="1:25" ht="12" customHeight="1">
      <c r="A392" s="22"/>
      <c r="B392" s="89"/>
      <c r="C392" s="89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16"/>
      <c r="R392" s="16"/>
      <c r="S392" s="16"/>
      <c r="T392" s="16"/>
      <c r="U392" s="16"/>
      <c r="V392" s="16"/>
      <c r="W392" s="16"/>
      <c r="X392" s="16"/>
      <c r="Y392" s="16"/>
    </row>
    <row r="393" spans="1:25" ht="12" customHeight="1">
      <c r="A393" s="22"/>
      <c r="B393" s="89"/>
      <c r="C393" s="89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16"/>
      <c r="R393" s="16"/>
      <c r="S393" s="16"/>
      <c r="T393" s="16"/>
      <c r="U393" s="16"/>
      <c r="V393" s="16"/>
      <c r="W393" s="16"/>
      <c r="X393" s="16"/>
      <c r="Y393" s="16"/>
    </row>
    <row r="394" spans="1:25" ht="12" customHeight="1">
      <c r="A394" s="22"/>
      <c r="B394" s="89"/>
      <c r="C394" s="89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16"/>
      <c r="R394" s="16"/>
      <c r="S394" s="16"/>
      <c r="T394" s="16"/>
      <c r="U394" s="16"/>
      <c r="V394" s="16"/>
      <c r="W394" s="16"/>
      <c r="X394" s="16"/>
      <c r="Y394" s="16"/>
    </row>
    <row r="395" spans="1:25" ht="12" customHeight="1">
      <c r="A395" s="22"/>
      <c r="B395" s="89"/>
      <c r="C395" s="89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16"/>
      <c r="R395" s="16"/>
      <c r="S395" s="16"/>
      <c r="T395" s="16"/>
      <c r="U395" s="16"/>
      <c r="V395" s="16"/>
      <c r="W395" s="16"/>
      <c r="X395" s="16"/>
      <c r="Y395" s="16"/>
    </row>
    <row r="396" spans="1:25" ht="12" customHeight="1">
      <c r="A396" s="22"/>
      <c r="B396" s="89"/>
      <c r="C396" s="89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16"/>
      <c r="R396" s="16"/>
      <c r="S396" s="16"/>
      <c r="T396" s="16"/>
      <c r="U396" s="16"/>
      <c r="V396" s="16"/>
      <c r="W396" s="16"/>
      <c r="X396" s="16"/>
      <c r="Y396" s="16"/>
    </row>
    <row r="397" spans="1:25" ht="12" customHeight="1">
      <c r="A397" s="22"/>
      <c r="B397" s="89"/>
      <c r="C397" s="89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16"/>
      <c r="R397" s="16"/>
      <c r="S397" s="16"/>
      <c r="T397" s="16"/>
      <c r="U397" s="16"/>
      <c r="V397" s="16"/>
      <c r="W397" s="16"/>
      <c r="X397" s="16"/>
      <c r="Y397" s="16"/>
    </row>
    <row r="398" spans="1:25" ht="12" customHeight="1">
      <c r="A398" s="22"/>
      <c r="B398" s="89"/>
      <c r="C398" s="89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16"/>
      <c r="R398" s="16"/>
      <c r="S398" s="16"/>
      <c r="T398" s="16"/>
      <c r="U398" s="16"/>
      <c r="V398" s="16"/>
      <c r="W398" s="16"/>
      <c r="X398" s="16"/>
      <c r="Y398" s="16"/>
    </row>
    <row r="399" spans="1:25" ht="12" customHeight="1">
      <c r="A399" s="22"/>
      <c r="B399" s="89"/>
      <c r="C399" s="89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16"/>
      <c r="R399" s="16"/>
      <c r="S399" s="16"/>
      <c r="T399" s="16"/>
      <c r="U399" s="16"/>
      <c r="V399" s="16"/>
      <c r="W399" s="16"/>
      <c r="X399" s="16"/>
      <c r="Y399" s="16"/>
    </row>
    <row r="400" spans="1:25" ht="12" customHeight="1">
      <c r="A400" s="22"/>
      <c r="B400" s="89"/>
      <c r="C400" s="89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16"/>
      <c r="R400" s="16"/>
      <c r="S400" s="16"/>
      <c r="T400" s="16"/>
      <c r="U400" s="16"/>
      <c r="V400" s="16"/>
      <c r="W400" s="16"/>
      <c r="X400" s="16"/>
      <c r="Y400" s="16"/>
    </row>
    <row r="401" spans="1:25" ht="12" customHeight="1">
      <c r="A401" s="22"/>
      <c r="B401" s="89"/>
      <c r="C401" s="89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16"/>
      <c r="R401" s="16"/>
      <c r="S401" s="16"/>
      <c r="T401" s="16"/>
      <c r="U401" s="16"/>
      <c r="V401" s="16"/>
      <c r="W401" s="16"/>
      <c r="X401" s="16"/>
      <c r="Y401" s="16"/>
    </row>
    <row r="402" spans="1:25" ht="12" customHeight="1">
      <c r="A402" s="22"/>
      <c r="B402" s="89"/>
      <c r="C402" s="89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16"/>
      <c r="R402" s="16"/>
      <c r="S402" s="16"/>
      <c r="T402" s="16"/>
      <c r="U402" s="16"/>
      <c r="V402" s="16"/>
      <c r="W402" s="16"/>
      <c r="X402" s="16"/>
      <c r="Y402" s="16"/>
    </row>
    <row r="403" spans="1:25" ht="12" customHeight="1">
      <c r="A403" s="22"/>
      <c r="B403" s="89"/>
      <c r="C403" s="89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16"/>
      <c r="R403" s="16"/>
      <c r="S403" s="16"/>
      <c r="T403" s="16"/>
      <c r="U403" s="16"/>
      <c r="V403" s="16"/>
      <c r="W403" s="16"/>
      <c r="X403" s="16"/>
      <c r="Y403" s="16"/>
    </row>
    <row r="404" spans="1:25" ht="12" customHeight="1">
      <c r="A404" s="22"/>
      <c r="B404" s="89"/>
      <c r="C404" s="89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16"/>
      <c r="R404" s="16"/>
      <c r="S404" s="16"/>
      <c r="T404" s="16"/>
      <c r="U404" s="16"/>
      <c r="V404" s="16"/>
      <c r="W404" s="16"/>
      <c r="X404" s="16"/>
      <c r="Y404" s="16"/>
    </row>
    <row r="405" spans="1:25" ht="12" customHeight="1">
      <c r="A405" s="22"/>
      <c r="B405" s="89"/>
      <c r="C405" s="89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16"/>
      <c r="R405" s="16"/>
      <c r="S405" s="16"/>
      <c r="T405" s="16"/>
      <c r="U405" s="16"/>
      <c r="V405" s="16"/>
      <c r="W405" s="16"/>
      <c r="X405" s="16"/>
      <c r="Y405" s="16"/>
    </row>
    <row r="406" spans="1:25" ht="12" customHeight="1">
      <c r="A406" s="22"/>
      <c r="B406" s="89"/>
      <c r="C406" s="89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16"/>
      <c r="R406" s="16"/>
      <c r="S406" s="16"/>
      <c r="T406" s="16"/>
      <c r="U406" s="16"/>
      <c r="V406" s="16"/>
      <c r="W406" s="16"/>
      <c r="X406" s="16"/>
      <c r="Y406" s="16"/>
    </row>
    <row r="407" spans="1:25" ht="12" customHeight="1">
      <c r="A407" s="22"/>
      <c r="B407" s="89"/>
      <c r="C407" s="89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16"/>
      <c r="R407" s="16"/>
      <c r="S407" s="16"/>
      <c r="T407" s="16"/>
      <c r="U407" s="16"/>
      <c r="V407" s="16"/>
      <c r="W407" s="16"/>
      <c r="X407" s="16"/>
      <c r="Y407" s="16"/>
    </row>
    <row r="408" spans="1:25" ht="12" customHeight="1">
      <c r="A408" s="22"/>
      <c r="B408" s="89"/>
      <c r="C408" s="89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16"/>
      <c r="R408" s="16"/>
      <c r="S408" s="16"/>
      <c r="T408" s="16"/>
      <c r="U408" s="16"/>
      <c r="V408" s="16"/>
      <c r="W408" s="16"/>
      <c r="X408" s="16"/>
      <c r="Y408" s="16"/>
    </row>
    <row r="409" spans="1:25" ht="12" customHeight="1">
      <c r="A409" s="22"/>
      <c r="B409" s="89"/>
      <c r="C409" s="89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16"/>
      <c r="R409" s="16"/>
      <c r="S409" s="16"/>
      <c r="T409" s="16"/>
      <c r="U409" s="16"/>
      <c r="V409" s="16"/>
      <c r="W409" s="16"/>
      <c r="X409" s="16"/>
      <c r="Y409" s="16"/>
    </row>
    <row r="410" spans="1:25" ht="12" customHeight="1">
      <c r="A410" s="22"/>
      <c r="B410" s="89"/>
      <c r="C410" s="89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16"/>
      <c r="R410" s="16"/>
      <c r="S410" s="16"/>
      <c r="T410" s="16"/>
      <c r="U410" s="16"/>
      <c r="V410" s="16"/>
      <c r="W410" s="16"/>
      <c r="X410" s="16"/>
      <c r="Y410" s="16"/>
    </row>
    <row r="411" spans="1:25" ht="12" customHeight="1">
      <c r="A411" s="22"/>
      <c r="B411" s="89"/>
      <c r="C411" s="89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16"/>
      <c r="R411" s="16"/>
      <c r="S411" s="16"/>
      <c r="T411" s="16"/>
      <c r="U411" s="16"/>
      <c r="V411" s="16"/>
      <c r="W411" s="16"/>
      <c r="X411" s="16"/>
      <c r="Y411" s="16"/>
    </row>
    <row r="412" spans="1:25" ht="12" customHeight="1">
      <c r="A412" s="22"/>
      <c r="B412" s="89"/>
      <c r="C412" s="89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16"/>
      <c r="R412" s="16"/>
      <c r="S412" s="16"/>
      <c r="T412" s="16"/>
      <c r="U412" s="16"/>
      <c r="V412" s="16"/>
      <c r="W412" s="16"/>
      <c r="X412" s="16"/>
      <c r="Y412" s="16"/>
    </row>
    <row r="413" spans="1:25" ht="12" customHeight="1">
      <c r="A413" s="22"/>
      <c r="B413" s="89"/>
      <c r="C413" s="89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16"/>
      <c r="R413" s="16"/>
      <c r="S413" s="16"/>
      <c r="T413" s="16"/>
      <c r="U413" s="16"/>
      <c r="V413" s="16"/>
      <c r="W413" s="16"/>
      <c r="X413" s="16"/>
      <c r="Y413" s="16"/>
    </row>
    <row r="414" spans="1:25" ht="12" customHeight="1">
      <c r="A414" s="22"/>
      <c r="B414" s="89"/>
      <c r="C414" s="89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16"/>
      <c r="R414" s="16"/>
      <c r="S414" s="16"/>
      <c r="T414" s="16"/>
      <c r="U414" s="16"/>
      <c r="V414" s="16"/>
      <c r="W414" s="16"/>
      <c r="X414" s="16"/>
      <c r="Y414" s="16"/>
    </row>
    <row r="415" spans="1:25" ht="12" customHeight="1">
      <c r="A415" s="22"/>
      <c r="B415" s="89"/>
      <c r="C415" s="89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16"/>
      <c r="R415" s="16"/>
      <c r="S415" s="16"/>
      <c r="T415" s="16"/>
      <c r="U415" s="16"/>
      <c r="V415" s="16"/>
      <c r="W415" s="16"/>
      <c r="X415" s="16"/>
      <c r="Y415" s="16"/>
    </row>
    <row r="416" spans="1:25" ht="12" customHeight="1">
      <c r="A416" s="22"/>
      <c r="B416" s="89"/>
      <c r="C416" s="89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16"/>
      <c r="R416" s="16"/>
      <c r="S416" s="16"/>
      <c r="T416" s="16"/>
      <c r="U416" s="16"/>
      <c r="V416" s="16"/>
      <c r="W416" s="16"/>
      <c r="X416" s="16"/>
      <c r="Y416" s="16"/>
    </row>
    <row r="417" spans="1:25" ht="12" customHeight="1">
      <c r="A417" s="22"/>
      <c r="B417" s="89"/>
      <c r="C417" s="89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16"/>
      <c r="R417" s="16"/>
      <c r="S417" s="16"/>
      <c r="T417" s="16"/>
      <c r="U417" s="16"/>
      <c r="V417" s="16"/>
      <c r="W417" s="16"/>
      <c r="X417" s="16"/>
      <c r="Y417" s="16"/>
    </row>
    <row r="418" spans="1:25" ht="12" customHeight="1">
      <c r="A418" s="22"/>
      <c r="B418" s="89"/>
      <c r="C418" s="89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16"/>
      <c r="R418" s="16"/>
      <c r="S418" s="16"/>
      <c r="T418" s="16"/>
      <c r="U418" s="16"/>
      <c r="V418" s="16"/>
      <c r="W418" s="16"/>
      <c r="X418" s="16"/>
      <c r="Y418" s="16"/>
    </row>
    <row r="419" spans="1:25" ht="12" customHeight="1">
      <c r="A419" s="22"/>
      <c r="B419" s="89"/>
      <c r="C419" s="89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16"/>
      <c r="R419" s="16"/>
      <c r="S419" s="16"/>
      <c r="T419" s="16"/>
      <c r="U419" s="16"/>
      <c r="V419" s="16"/>
      <c r="W419" s="16"/>
      <c r="X419" s="16"/>
      <c r="Y419" s="16"/>
    </row>
    <row r="420" spans="1:25" ht="12" customHeight="1">
      <c r="A420" s="22"/>
      <c r="B420" s="89"/>
      <c r="C420" s="89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16"/>
      <c r="R420" s="16"/>
      <c r="S420" s="16"/>
      <c r="T420" s="16"/>
      <c r="U420" s="16"/>
      <c r="V420" s="16"/>
      <c r="W420" s="16"/>
      <c r="X420" s="16"/>
      <c r="Y420" s="16"/>
    </row>
    <row r="421" spans="1:25" ht="12" customHeight="1">
      <c r="A421" s="22"/>
      <c r="B421" s="89"/>
      <c r="C421" s="89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16"/>
      <c r="R421" s="16"/>
      <c r="S421" s="16"/>
      <c r="T421" s="16"/>
      <c r="U421" s="16"/>
      <c r="V421" s="16"/>
      <c r="W421" s="16"/>
      <c r="X421" s="16"/>
      <c r="Y421" s="16"/>
    </row>
    <row r="422" spans="1:25" ht="12" customHeight="1">
      <c r="A422" s="22"/>
      <c r="B422" s="89"/>
      <c r="C422" s="89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16"/>
      <c r="R422" s="16"/>
      <c r="S422" s="16"/>
      <c r="T422" s="16"/>
      <c r="U422" s="16"/>
      <c r="V422" s="16"/>
      <c r="W422" s="16"/>
      <c r="X422" s="16"/>
      <c r="Y422" s="16"/>
    </row>
    <row r="423" spans="1:25" ht="12" customHeight="1">
      <c r="A423" s="22"/>
      <c r="B423" s="89"/>
      <c r="C423" s="89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16"/>
      <c r="R423" s="16"/>
      <c r="S423" s="16"/>
      <c r="T423" s="16"/>
      <c r="U423" s="16"/>
      <c r="V423" s="16"/>
      <c r="W423" s="16"/>
      <c r="X423" s="16"/>
      <c r="Y423" s="16"/>
    </row>
    <row r="424" spans="1:25" ht="12" customHeight="1">
      <c r="A424" s="22"/>
      <c r="B424" s="89"/>
      <c r="C424" s="89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16"/>
      <c r="R424" s="16"/>
      <c r="S424" s="16"/>
      <c r="T424" s="16"/>
      <c r="U424" s="16"/>
      <c r="V424" s="16"/>
      <c r="W424" s="16"/>
      <c r="X424" s="16"/>
      <c r="Y424" s="16"/>
    </row>
    <row r="425" spans="1:25" ht="12" customHeight="1">
      <c r="A425" s="22"/>
      <c r="B425" s="89"/>
      <c r="C425" s="89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16"/>
      <c r="R425" s="16"/>
      <c r="S425" s="16"/>
      <c r="T425" s="16"/>
      <c r="U425" s="16"/>
      <c r="V425" s="16"/>
      <c r="W425" s="16"/>
      <c r="X425" s="16"/>
      <c r="Y425" s="16"/>
    </row>
    <row r="426" spans="1:25" ht="12" customHeight="1">
      <c r="A426" s="22"/>
      <c r="B426" s="89"/>
      <c r="C426" s="89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16"/>
      <c r="R426" s="16"/>
      <c r="S426" s="16"/>
      <c r="T426" s="16"/>
      <c r="U426" s="16"/>
      <c r="V426" s="16"/>
      <c r="W426" s="16"/>
      <c r="X426" s="16"/>
      <c r="Y426" s="16"/>
    </row>
    <row r="427" spans="1:25" ht="12" customHeight="1">
      <c r="A427" s="22"/>
      <c r="B427" s="89"/>
      <c r="C427" s="89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16"/>
      <c r="R427" s="16"/>
      <c r="S427" s="16"/>
      <c r="T427" s="16"/>
      <c r="U427" s="16"/>
      <c r="V427" s="16"/>
      <c r="W427" s="16"/>
      <c r="X427" s="16"/>
      <c r="Y427" s="16"/>
    </row>
    <row r="428" spans="1:25" ht="12" customHeight="1">
      <c r="A428" s="22"/>
      <c r="B428" s="89"/>
      <c r="C428" s="89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16"/>
      <c r="R428" s="16"/>
      <c r="S428" s="16"/>
      <c r="T428" s="16"/>
      <c r="U428" s="16"/>
      <c r="V428" s="16"/>
      <c r="W428" s="16"/>
      <c r="X428" s="16"/>
      <c r="Y428" s="16"/>
    </row>
    <row r="429" spans="1:25" ht="12" customHeight="1">
      <c r="A429" s="22"/>
      <c r="B429" s="89"/>
      <c r="C429" s="89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16"/>
      <c r="R429" s="16"/>
      <c r="S429" s="16"/>
      <c r="T429" s="16"/>
      <c r="U429" s="16"/>
      <c r="V429" s="16"/>
      <c r="W429" s="16"/>
      <c r="X429" s="16"/>
      <c r="Y429" s="16"/>
    </row>
    <row r="430" spans="1:25" ht="12" customHeight="1">
      <c r="A430" s="22"/>
      <c r="B430" s="89"/>
      <c r="C430" s="89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16"/>
      <c r="R430" s="16"/>
      <c r="S430" s="16"/>
      <c r="T430" s="16"/>
      <c r="U430" s="16"/>
      <c r="V430" s="16"/>
      <c r="W430" s="16"/>
      <c r="X430" s="16"/>
      <c r="Y430" s="16"/>
    </row>
    <row r="431" spans="1:25" ht="12" customHeight="1">
      <c r="A431" s="22"/>
      <c r="B431" s="89"/>
      <c r="C431" s="89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16"/>
      <c r="R431" s="16"/>
      <c r="S431" s="16"/>
      <c r="T431" s="16"/>
      <c r="U431" s="16"/>
      <c r="V431" s="16"/>
      <c r="W431" s="16"/>
      <c r="X431" s="16"/>
      <c r="Y431" s="16"/>
    </row>
    <row r="432" spans="1:25" ht="12" customHeight="1">
      <c r="A432" s="22"/>
      <c r="B432" s="89"/>
      <c r="C432" s="89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16"/>
      <c r="R432" s="16"/>
      <c r="S432" s="16"/>
      <c r="T432" s="16"/>
      <c r="U432" s="16"/>
      <c r="V432" s="16"/>
      <c r="W432" s="16"/>
      <c r="X432" s="16"/>
      <c r="Y432" s="16"/>
    </row>
    <row r="433" spans="1:25" ht="12" customHeight="1">
      <c r="A433" s="22"/>
      <c r="B433" s="89"/>
      <c r="C433" s="89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16"/>
      <c r="R433" s="16"/>
      <c r="S433" s="16"/>
      <c r="T433" s="16"/>
      <c r="U433" s="16"/>
      <c r="V433" s="16"/>
      <c r="W433" s="16"/>
      <c r="X433" s="16"/>
      <c r="Y433" s="16"/>
    </row>
    <row r="434" spans="1:25" ht="12" customHeight="1">
      <c r="A434" s="22"/>
      <c r="B434" s="89"/>
      <c r="C434" s="89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16"/>
      <c r="R434" s="16"/>
      <c r="S434" s="16"/>
      <c r="T434" s="16"/>
      <c r="U434" s="16"/>
      <c r="V434" s="16"/>
      <c r="W434" s="16"/>
      <c r="X434" s="16"/>
      <c r="Y434" s="16"/>
    </row>
    <row r="435" spans="1:25" ht="12" customHeight="1">
      <c r="A435" s="22"/>
      <c r="B435" s="89"/>
      <c r="C435" s="89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16"/>
      <c r="R435" s="16"/>
      <c r="S435" s="16"/>
      <c r="T435" s="16"/>
      <c r="U435" s="16"/>
      <c r="V435" s="16"/>
      <c r="W435" s="16"/>
      <c r="X435" s="16"/>
      <c r="Y435" s="16"/>
    </row>
    <row r="436" spans="1:25" ht="12" customHeight="1">
      <c r="A436" s="22"/>
      <c r="B436" s="89"/>
      <c r="C436" s="89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16"/>
      <c r="R436" s="16"/>
      <c r="S436" s="16"/>
      <c r="T436" s="16"/>
      <c r="U436" s="16"/>
      <c r="V436" s="16"/>
      <c r="W436" s="16"/>
      <c r="X436" s="16"/>
      <c r="Y436" s="16"/>
    </row>
    <row r="437" spans="1:25" ht="12" customHeight="1">
      <c r="A437" s="22"/>
      <c r="B437" s="89"/>
      <c r="C437" s="89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16"/>
      <c r="R437" s="16"/>
      <c r="S437" s="16"/>
      <c r="T437" s="16"/>
      <c r="U437" s="16"/>
      <c r="V437" s="16"/>
      <c r="W437" s="16"/>
      <c r="X437" s="16"/>
      <c r="Y437" s="16"/>
    </row>
    <row r="438" spans="1:25" ht="12" customHeight="1">
      <c r="A438" s="22"/>
      <c r="B438" s="89"/>
      <c r="C438" s="89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16"/>
      <c r="R438" s="16"/>
      <c r="S438" s="16"/>
      <c r="T438" s="16"/>
      <c r="U438" s="16"/>
      <c r="V438" s="16"/>
      <c r="W438" s="16"/>
      <c r="X438" s="16"/>
      <c r="Y438" s="16"/>
    </row>
    <row r="439" spans="1:25" ht="12" customHeight="1">
      <c r="A439" s="22"/>
      <c r="B439" s="89"/>
      <c r="C439" s="89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16"/>
      <c r="R439" s="16"/>
      <c r="S439" s="16"/>
      <c r="T439" s="16"/>
      <c r="U439" s="16"/>
      <c r="V439" s="16"/>
      <c r="W439" s="16"/>
      <c r="X439" s="16"/>
      <c r="Y439" s="16"/>
    </row>
    <row r="440" spans="1:25" ht="12" customHeight="1">
      <c r="A440" s="22"/>
      <c r="B440" s="89"/>
      <c r="C440" s="89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16"/>
      <c r="R440" s="16"/>
      <c r="S440" s="16"/>
      <c r="T440" s="16"/>
      <c r="U440" s="16"/>
      <c r="V440" s="16"/>
      <c r="W440" s="16"/>
      <c r="X440" s="16"/>
      <c r="Y440" s="16"/>
    </row>
    <row r="441" spans="1:25" ht="12" customHeight="1">
      <c r="A441" s="22"/>
      <c r="B441" s="89"/>
      <c r="C441" s="89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16"/>
      <c r="R441" s="16"/>
      <c r="S441" s="16"/>
      <c r="T441" s="16"/>
      <c r="U441" s="16"/>
      <c r="V441" s="16"/>
      <c r="W441" s="16"/>
      <c r="X441" s="16"/>
      <c r="Y441" s="16"/>
    </row>
    <row r="442" spans="1:25" ht="12" customHeight="1">
      <c r="A442" s="22"/>
      <c r="B442" s="89"/>
      <c r="C442" s="89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16"/>
      <c r="R442" s="16"/>
      <c r="S442" s="16"/>
      <c r="T442" s="16"/>
      <c r="U442" s="16"/>
      <c r="V442" s="16"/>
      <c r="W442" s="16"/>
      <c r="X442" s="16"/>
      <c r="Y442" s="16"/>
    </row>
    <row r="443" spans="1:25" ht="12" customHeight="1">
      <c r="A443" s="22"/>
      <c r="B443" s="89"/>
      <c r="C443" s="89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16"/>
      <c r="R443" s="16"/>
      <c r="S443" s="16"/>
      <c r="T443" s="16"/>
      <c r="U443" s="16"/>
      <c r="V443" s="16"/>
      <c r="W443" s="16"/>
      <c r="X443" s="16"/>
      <c r="Y443" s="16"/>
    </row>
    <row r="444" spans="1:25" ht="12" customHeight="1">
      <c r="A444" s="22"/>
      <c r="B444" s="89"/>
      <c r="C444" s="89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16"/>
      <c r="R444" s="16"/>
      <c r="S444" s="16"/>
      <c r="T444" s="16"/>
      <c r="U444" s="16"/>
      <c r="V444" s="16"/>
      <c r="W444" s="16"/>
      <c r="X444" s="16"/>
      <c r="Y444" s="16"/>
    </row>
    <row r="445" spans="1:25" ht="12" customHeight="1">
      <c r="A445" s="22"/>
      <c r="B445" s="89"/>
      <c r="C445" s="89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16"/>
      <c r="R445" s="16"/>
      <c r="S445" s="16"/>
      <c r="T445" s="16"/>
      <c r="U445" s="16"/>
      <c r="V445" s="16"/>
      <c r="W445" s="16"/>
      <c r="X445" s="16"/>
      <c r="Y445" s="16"/>
    </row>
    <row r="446" spans="1:25" ht="12" customHeight="1">
      <c r="A446" s="22"/>
      <c r="B446" s="89"/>
      <c r="C446" s="89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16"/>
      <c r="R446" s="16"/>
      <c r="S446" s="16"/>
      <c r="T446" s="16"/>
      <c r="U446" s="16"/>
      <c r="V446" s="16"/>
      <c r="W446" s="16"/>
      <c r="X446" s="16"/>
      <c r="Y446" s="16"/>
    </row>
    <row r="447" spans="1:25" ht="12" customHeight="1">
      <c r="A447" s="22"/>
      <c r="B447" s="89"/>
      <c r="C447" s="89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16"/>
      <c r="R447" s="16"/>
      <c r="S447" s="16"/>
      <c r="T447" s="16"/>
      <c r="U447" s="16"/>
      <c r="V447" s="16"/>
      <c r="W447" s="16"/>
      <c r="X447" s="16"/>
      <c r="Y447" s="16"/>
    </row>
    <row r="448" spans="1:25" ht="12" customHeight="1">
      <c r="A448" s="22"/>
      <c r="B448" s="89"/>
      <c r="C448" s="89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16"/>
      <c r="R448" s="16"/>
      <c r="S448" s="16"/>
      <c r="T448" s="16"/>
      <c r="U448" s="16"/>
      <c r="V448" s="16"/>
      <c r="W448" s="16"/>
      <c r="X448" s="16"/>
      <c r="Y448" s="16"/>
    </row>
    <row r="449" spans="1:25" ht="12" customHeight="1">
      <c r="A449" s="22"/>
      <c r="B449" s="89"/>
      <c r="C449" s="89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16"/>
      <c r="R449" s="16"/>
      <c r="S449" s="16"/>
      <c r="T449" s="16"/>
      <c r="U449" s="16"/>
      <c r="V449" s="16"/>
      <c r="W449" s="16"/>
      <c r="X449" s="16"/>
      <c r="Y449" s="16"/>
    </row>
    <row r="450" spans="1:25" ht="12" customHeight="1">
      <c r="A450" s="22"/>
      <c r="B450" s="89"/>
      <c r="C450" s="89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16"/>
      <c r="R450" s="16"/>
      <c r="S450" s="16"/>
      <c r="T450" s="16"/>
      <c r="U450" s="16"/>
      <c r="V450" s="16"/>
      <c r="W450" s="16"/>
      <c r="X450" s="16"/>
      <c r="Y450" s="16"/>
    </row>
    <row r="451" spans="1:25" ht="12" customHeight="1">
      <c r="A451" s="22"/>
      <c r="B451" s="89"/>
      <c r="C451" s="89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16"/>
      <c r="R451" s="16"/>
      <c r="S451" s="16"/>
      <c r="T451" s="16"/>
      <c r="U451" s="16"/>
      <c r="V451" s="16"/>
      <c r="W451" s="16"/>
      <c r="X451" s="16"/>
      <c r="Y451" s="16"/>
    </row>
    <row r="452" spans="1:25" ht="12" customHeight="1">
      <c r="A452" s="22"/>
      <c r="B452" s="89"/>
      <c r="C452" s="89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16"/>
      <c r="R452" s="16"/>
      <c r="S452" s="16"/>
      <c r="T452" s="16"/>
      <c r="U452" s="16"/>
      <c r="V452" s="16"/>
      <c r="W452" s="16"/>
      <c r="X452" s="16"/>
      <c r="Y452" s="16"/>
    </row>
    <row r="453" spans="1:25" ht="12" customHeight="1">
      <c r="A453" s="22"/>
      <c r="B453" s="89"/>
      <c r="C453" s="89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16"/>
      <c r="R453" s="16"/>
      <c r="S453" s="16"/>
      <c r="T453" s="16"/>
      <c r="U453" s="16"/>
      <c r="V453" s="16"/>
      <c r="W453" s="16"/>
      <c r="X453" s="16"/>
      <c r="Y453" s="16"/>
    </row>
    <row r="454" spans="1:25" ht="12" customHeight="1">
      <c r="A454" s="22"/>
      <c r="B454" s="89"/>
      <c r="C454" s="89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16"/>
      <c r="R454" s="16"/>
      <c r="S454" s="16"/>
      <c r="T454" s="16"/>
      <c r="U454" s="16"/>
      <c r="V454" s="16"/>
      <c r="W454" s="16"/>
      <c r="X454" s="16"/>
      <c r="Y454" s="16"/>
    </row>
    <row r="455" spans="1:25" ht="12" customHeight="1">
      <c r="A455" s="22"/>
      <c r="B455" s="89"/>
      <c r="C455" s="89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16"/>
      <c r="R455" s="16"/>
      <c r="S455" s="16"/>
      <c r="T455" s="16"/>
      <c r="U455" s="16"/>
      <c r="V455" s="16"/>
      <c r="W455" s="16"/>
      <c r="X455" s="16"/>
      <c r="Y455" s="16"/>
    </row>
    <row r="456" spans="1:25" ht="12" customHeight="1">
      <c r="A456" s="22"/>
      <c r="B456" s="89"/>
      <c r="C456" s="89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16"/>
      <c r="R456" s="16"/>
      <c r="S456" s="16"/>
      <c r="T456" s="16"/>
      <c r="U456" s="16"/>
      <c r="V456" s="16"/>
      <c r="W456" s="16"/>
      <c r="X456" s="16"/>
      <c r="Y456" s="16"/>
    </row>
    <row r="457" spans="1:25" ht="12" customHeight="1">
      <c r="A457" s="22"/>
      <c r="B457" s="89"/>
      <c r="C457" s="89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16"/>
      <c r="R457" s="16"/>
      <c r="S457" s="16"/>
      <c r="T457" s="16"/>
      <c r="U457" s="16"/>
      <c r="V457" s="16"/>
      <c r="W457" s="16"/>
      <c r="X457" s="16"/>
      <c r="Y457" s="16"/>
    </row>
    <row r="458" spans="1:25" ht="12" customHeight="1">
      <c r="A458" s="22"/>
      <c r="B458" s="89"/>
      <c r="C458" s="89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16"/>
      <c r="R458" s="16"/>
      <c r="S458" s="16"/>
      <c r="T458" s="16"/>
      <c r="U458" s="16"/>
      <c r="V458" s="16"/>
      <c r="W458" s="16"/>
      <c r="X458" s="16"/>
      <c r="Y458" s="16"/>
    </row>
    <row r="459" spans="1:25" ht="12" customHeight="1">
      <c r="A459" s="22"/>
      <c r="B459" s="89"/>
      <c r="C459" s="89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16"/>
      <c r="R459" s="16"/>
      <c r="S459" s="16"/>
      <c r="T459" s="16"/>
      <c r="U459" s="16"/>
      <c r="V459" s="16"/>
      <c r="W459" s="16"/>
      <c r="X459" s="16"/>
      <c r="Y459" s="16"/>
    </row>
    <row r="460" spans="1:25" ht="12" customHeight="1">
      <c r="A460" s="22"/>
      <c r="B460" s="89"/>
      <c r="C460" s="89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16"/>
      <c r="R460" s="16"/>
      <c r="S460" s="16"/>
      <c r="T460" s="16"/>
      <c r="U460" s="16"/>
      <c r="V460" s="16"/>
      <c r="W460" s="16"/>
      <c r="X460" s="16"/>
      <c r="Y460" s="16"/>
    </row>
    <row r="461" spans="1:25" ht="12" customHeight="1">
      <c r="A461" s="22"/>
      <c r="B461" s="89"/>
      <c r="C461" s="89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16"/>
      <c r="R461" s="16"/>
      <c r="S461" s="16"/>
      <c r="T461" s="16"/>
      <c r="U461" s="16"/>
      <c r="V461" s="16"/>
      <c r="W461" s="16"/>
      <c r="X461" s="16"/>
      <c r="Y461" s="16"/>
    </row>
    <row r="462" spans="1:25" ht="12" customHeight="1">
      <c r="A462" s="22"/>
      <c r="B462" s="89"/>
      <c r="C462" s="89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16"/>
      <c r="R462" s="16"/>
      <c r="S462" s="16"/>
      <c r="T462" s="16"/>
      <c r="U462" s="16"/>
      <c r="V462" s="16"/>
      <c r="W462" s="16"/>
      <c r="X462" s="16"/>
      <c r="Y462" s="16"/>
    </row>
    <row r="463" spans="1:25" ht="12" customHeight="1">
      <c r="A463" s="22"/>
      <c r="B463" s="89"/>
      <c r="C463" s="89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16"/>
      <c r="R463" s="16"/>
      <c r="S463" s="16"/>
      <c r="T463" s="16"/>
      <c r="U463" s="16"/>
      <c r="V463" s="16"/>
      <c r="W463" s="16"/>
      <c r="X463" s="16"/>
      <c r="Y463" s="16"/>
    </row>
    <row r="464" spans="1:25" ht="12" customHeight="1">
      <c r="A464" s="22"/>
      <c r="B464" s="89"/>
      <c r="C464" s="89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16"/>
      <c r="R464" s="16"/>
      <c r="S464" s="16"/>
      <c r="T464" s="16"/>
      <c r="U464" s="16"/>
      <c r="V464" s="16"/>
      <c r="W464" s="16"/>
      <c r="X464" s="16"/>
      <c r="Y464" s="16"/>
    </row>
    <row r="465" spans="1:25" ht="12" customHeight="1">
      <c r="A465" s="22"/>
      <c r="B465" s="89"/>
      <c r="C465" s="89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16"/>
      <c r="R465" s="16"/>
      <c r="S465" s="16"/>
      <c r="T465" s="16"/>
      <c r="U465" s="16"/>
      <c r="V465" s="16"/>
      <c r="W465" s="16"/>
      <c r="X465" s="16"/>
      <c r="Y465" s="16"/>
    </row>
    <row r="466" spans="1:25" ht="12" customHeight="1">
      <c r="A466" s="22"/>
      <c r="B466" s="89"/>
      <c r="C466" s="89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16"/>
      <c r="R466" s="16"/>
      <c r="S466" s="16"/>
      <c r="T466" s="16"/>
      <c r="U466" s="16"/>
      <c r="V466" s="16"/>
      <c r="W466" s="16"/>
      <c r="X466" s="16"/>
      <c r="Y466" s="16"/>
    </row>
    <row r="467" spans="1:25" ht="12" customHeight="1">
      <c r="A467" s="22"/>
      <c r="B467" s="89"/>
      <c r="C467" s="89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16"/>
      <c r="R467" s="16"/>
      <c r="S467" s="16"/>
      <c r="T467" s="16"/>
      <c r="U467" s="16"/>
      <c r="V467" s="16"/>
      <c r="W467" s="16"/>
      <c r="X467" s="16"/>
      <c r="Y467" s="16"/>
    </row>
    <row r="468" spans="1:25" ht="12" customHeight="1">
      <c r="A468" s="22"/>
      <c r="B468" s="89"/>
      <c r="C468" s="89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16"/>
      <c r="R468" s="16"/>
      <c r="S468" s="16"/>
      <c r="T468" s="16"/>
      <c r="U468" s="16"/>
      <c r="V468" s="16"/>
      <c r="W468" s="16"/>
      <c r="X468" s="16"/>
      <c r="Y468" s="16"/>
    </row>
    <row r="469" spans="1:25" ht="12" customHeight="1">
      <c r="A469" s="22"/>
      <c r="B469" s="89"/>
      <c r="C469" s="89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16"/>
      <c r="R469" s="16"/>
      <c r="S469" s="16"/>
      <c r="T469" s="16"/>
      <c r="U469" s="16"/>
      <c r="V469" s="16"/>
      <c r="W469" s="16"/>
      <c r="X469" s="16"/>
      <c r="Y469" s="16"/>
    </row>
    <row r="470" spans="1:25" ht="12" customHeight="1">
      <c r="A470" s="22"/>
      <c r="B470" s="89"/>
      <c r="C470" s="89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16"/>
      <c r="R470" s="16"/>
      <c r="S470" s="16"/>
      <c r="T470" s="16"/>
      <c r="U470" s="16"/>
      <c r="V470" s="16"/>
      <c r="W470" s="16"/>
      <c r="X470" s="16"/>
      <c r="Y470" s="16"/>
    </row>
    <row r="471" spans="1:25" ht="12" customHeight="1">
      <c r="A471" s="22"/>
      <c r="B471" s="89"/>
      <c r="C471" s="89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16"/>
      <c r="R471" s="16"/>
      <c r="S471" s="16"/>
      <c r="T471" s="16"/>
      <c r="U471" s="16"/>
      <c r="V471" s="16"/>
      <c r="W471" s="16"/>
      <c r="X471" s="16"/>
      <c r="Y471" s="16"/>
    </row>
    <row r="472" spans="1:25" ht="12" customHeight="1">
      <c r="A472" s="22"/>
      <c r="B472" s="89"/>
      <c r="C472" s="89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16"/>
      <c r="R472" s="16"/>
      <c r="S472" s="16"/>
      <c r="T472" s="16"/>
      <c r="U472" s="16"/>
      <c r="V472" s="16"/>
      <c r="W472" s="16"/>
      <c r="X472" s="16"/>
      <c r="Y472" s="16"/>
    </row>
    <row r="473" spans="1:25" ht="12" customHeight="1">
      <c r="A473" s="22"/>
      <c r="B473" s="89"/>
      <c r="C473" s="89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16"/>
      <c r="R473" s="16"/>
      <c r="S473" s="16"/>
      <c r="T473" s="16"/>
      <c r="U473" s="16"/>
      <c r="V473" s="16"/>
      <c r="W473" s="16"/>
      <c r="X473" s="16"/>
      <c r="Y473" s="16"/>
    </row>
    <row r="474" spans="1:25" ht="12" customHeight="1">
      <c r="A474" s="22"/>
      <c r="B474" s="89"/>
      <c r="C474" s="89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16"/>
      <c r="R474" s="16"/>
      <c r="S474" s="16"/>
      <c r="T474" s="16"/>
      <c r="U474" s="16"/>
      <c r="V474" s="16"/>
      <c r="W474" s="16"/>
      <c r="X474" s="16"/>
      <c r="Y474" s="16"/>
    </row>
    <row r="475" spans="1:25" ht="12" customHeight="1">
      <c r="A475" s="22"/>
      <c r="B475" s="89"/>
      <c r="C475" s="89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16"/>
      <c r="R475" s="16"/>
      <c r="S475" s="16"/>
      <c r="T475" s="16"/>
      <c r="U475" s="16"/>
      <c r="V475" s="16"/>
      <c r="W475" s="16"/>
      <c r="X475" s="16"/>
      <c r="Y475" s="16"/>
    </row>
    <row r="476" spans="1:25" ht="12" customHeight="1">
      <c r="A476" s="22"/>
      <c r="B476" s="89"/>
      <c r="C476" s="89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16"/>
      <c r="R476" s="16"/>
      <c r="S476" s="16"/>
      <c r="T476" s="16"/>
      <c r="U476" s="16"/>
      <c r="V476" s="16"/>
      <c r="W476" s="16"/>
      <c r="X476" s="16"/>
      <c r="Y476" s="16"/>
    </row>
    <row r="477" spans="1:25" ht="12" customHeight="1">
      <c r="A477" s="22"/>
      <c r="B477" s="89"/>
      <c r="C477" s="89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16"/>
      <c r="R477" s="16"/>
      <c r="S477" s="16"/>
      <c r="T477" s="16"/>
      <c r="U477" s="16"/>
      <c r="V477" s="16"/>
      <c r="W477" s="16"/>
      <c r="X477" s="16"/>
      <c r="Y477" s="16"/>
    </row>
    <row r="478" spans="1:25" ht="12" customHeight="1">
      <c r="A478" s="22"/>
      <c r="B478" s="89"/>
      <c r="C478" s="89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16"/>
      <c r="R478" s="16"/>
      <c r="S478" s="16"/>
      <c r="T478" s="16"/>
      <c r="U478" s="16"/>
      <c r="V478" s="16"/>
      <c r="W478" s="16"/>
      <c r="X478" s="16"/>
      <c r="Y478" s="16"/>
    </row>
    <row r="479" spans="1:25" ht="12" customHeight="1">
      <c r="A479" s="22"/>
      <c r="B479" s="89"/>
      <c r="C479" s="89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16"/>
      <c r="R479" s="16"/>
      <c r="S479" s="16"/>
      <c r="T479" s="16"/>
      <c r="U479" s="16"/>
      <c r="V479" s="16"/>
      <c r="W479" s="16"/>
      <c r="X479" s="16"/>
      <c r="Y479" s="16"/>
    </row>
    <row r="480" spans="1:25" ht="12" customHeight="1">
      <c r="A480" s="22"/>
      <c r="B480" s="89"/>
      <c r="C480" s="89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16"/>
      <c r="R480" s="16"/>
      <c r="S480" s="16"/>
      <c r="T480" s="16"/>
      <c r="U480" s="16"/>
      <c r="V480" s="16"/>
      <c r="W480" s="16"/>
      <c r="X480" s="16"/>
      <c r="Y480" s="16"/>
    </row>
    <row r="481" spans="1:25" ht="12" customHeight="1">
      <c r="A481" s="22"/>
      <c r="B481" s="89"/>
      <c r="C481" s="89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16"/>
      <c r="R481" s="16"/>
      <c r="S481" s="16"/>
      <c r="T481" s="16"/>
      <c r="U481" s="16"/>
      <c r="V481" s="16"/>
      <c r="W481" s="16"/>
      <c r="X481" s="16"/>
      <c r="Y481" s="16"/>
    </row>
    <row r="482" spans="1:25" ht="12" customHeight="1">
      <c r="A482" s="22"/>
      <c r="B482" s="89"/>
      <c r="C482" s="89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16"/>
      <c r="R482" s="16"/>
      <c r="S482" s="16"/>
      <c r="T482" s="16"/>
      <c r="U482" s="16"/>
      <c r="V482" s="16"/>
      <c r="W482" s="16"/>
      <c r="X482" s="16"/>
      <c r="Y482" s="16"/>
    </row>
    <row r="483" spans="1:25" ht="12" customHeight="1">
      <c r="A483" s="22"/>
      <c r="B483" s="89"/>
      <c r="C483" s="89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16"/>
      <c r="R483" s="16"/>
      <c r="S483" s="16"/>
      <c r="T483" s="16"/>
      <c r="U483" s="16"/>
      <c r="V483" s="16"/>
      <c r="W483" s="16"/>
      <c r="X483" s="16"/>
      <c r="Y483" s="16"/>
    </row>
    <row r="484" spans="1:25" ht="12" customHeight="1">
      <c r="A484" s="22"/>
      <c r="B484" s="89"/>
      <c r="C484" s="89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16"/>
      <c r="R484" s="16"/>
      <c r="S484" s="16"/>
      <c r="T484" s="16"/>
      <c r="U484" s="16"/>
      <c r="V484" s="16"/>
      <c r="W484" s="16"/>
      <c r="X484" s="16"/>
      <c r="Y484" s="16"/>
    </row>
    <row r="485" spans="1:25" ht="12" customHeight="1">
      <c r="A485" s="22"/>
      <c r="B485" s="89"/>
      <c r="C485" s="89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16"/>
      <c r="R485" s="16"/>
      <c r="S485" s="16"/>
      <c r="T485" s="16"/>
      <c r="U485" s="16"/>
      <c r="V485" s="16"/>
      <c r="W485" s="16"/>
      <c r="X485" s="16"/>
      <c r="Y485" s="16"/>
    </row>
    <row r="486" spans="1:25" ht="12" customHeight="1">
      <c r="A486" s="22"/>
      <c r="B486" s="89"/>
      <c r="C486" s="89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16"/>
      <c r="R486" s="16"/>
      <c r="S486" s="16"/>
      <c r="T486" s="16"/>
      <c r="U486" s="16"/>
      <c r="V486" s="16"/>
      <c r="W486" s="16"/>
      <c r="X486" s="16"/>
      <c r="Y486" s="16"/>
    </row>
    <row r="487" spans="1:25" ht="12" customHeight="1">
      <c r="A487" s="22"/>
      <c r="B487" s="89"/>
      <c r="C487" s="89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16"/>
      <c r="R487" s="16"/>
      <c r="S487" s="16"/>
      <c r="T487" s="16"/>
      <c r="U487" s="16"/>
      <c r="V487" s="16"/>
      <c r="W487" s="16"/>
      <c r="X487" s="16"/>
      <c r="Y487" s="16"/>
    </row>
    <row r="488" spans="1:25" ht="12" customHeight="1">
      <c r="A488" s="22"/>
      <c r="B488" s="89"/>
      <c r="C488" s="89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16"/>
      <c r="R488" s="16"/>
      <c r="S488" s="16"/>
      <c r="T488" s="16"/>
      <c r="U488" s="16"/>
      <c r="V488" s="16"/>
      <c r="W488" s="16"/>
      <c r="X488" s="16"/>
      <c r="Y488" s="16"/>
    </row>
    <row r="489" spans="1:25" ht="12" customHeight="1">
      <c r="A489" s="22"/>
      <c r="B489" s="89"/>
      <c r="C489" s="89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16"/>
      <c r="R489" s="16"/>
      <c r="S489" s="16"/>
      <c r="T489" s="16"/>
      <c r="U489" s="16"/>
      <c r="V489" s="16"/>
      <c r="W489" s="16"/>
      <c r="X489" s="16"/>
      <c r="Y489" s="16"/>
    </row>
    <row r="490" spans="1:25" ht="12" customHeight="1">
      <c r="A490" s="22"/>
      <c r="B490" s="89"/>
      <c r="C490" s="89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16"/>
      <c r="R490" s="16"/>
      <c r="S490" s="16"/>
      <c r="T490" s="16"/>
      <c r="U490" s="16"/>
      <c r="V490" s="16"/>
      <c r="W490" s="16"/>
      <c r="X490" s="16"/>
      <c r="Y490" s="16"/>
    </row>
    <row r="491" spans="1:25" ht="12" customHeight="1">
      <c r="A491" s="22"/>
      <c r="B491" s="89"/>
      <c r="C491" s="89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16"/>
      <c r="R491" s="16"/>
      <c r="S491" s="16"/>
      <c r="T491" s="16"/>
      <c r="U491" s="16"/>
      <c r="V491" s="16"/>
      <c r="W491" s="16"/>
      <c r="X491" s="16"/>
      <c r="Y491" s="16"/>
    </row>
    <row r="492" spans="1:25" ht="12" customHeight="1">
      <c r="A492" s="22"/>
      <c r="B492" s="89"/>
      <c r="C492" s="89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16"/>
      <c r="R492" s="16"/>
      <c r="S492" s="16"/>
      <c r="T492" s="16"/>
      <c r="U492" s="16"/>
      <c r="V492" s="16"/>
      <c r="W492" s="16"/>
      <c r="X492" s="16"/>
      <c r="Y492" s="16"/>
    </row>
    <row r="493" spans="1:25" ht="12" customHeight="1">
      <c r="A493" s="22"/>
      <c r="B493" s="89"/>
      <c r="C493" s="89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16"/>
      <c r="R493" s="16"/>
      <c r="S493" s="16"/>
      <c r="T493" s="16"/>
      <c r="U493" s="16"/>
      <c r="V493" s="16"/>
      <c r="W493" s="16"/>
      <c r="X493" s="16"/>
      <c r="Y493" s="16"/>
    </row>
    <row r="494" spans="1:25" ht="12" customHeight="1">
      <c r="A494" s="22"/>
      <c r="B494" s="89"/>
      <c r="C494" s="89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16"/>
      <c r="R494" s="16"/>
      <c r="S494" s="16"/>
      <c r="T494" s="16"/>
      <c r="U494" s="16"/>
      <c r="V494" s="16"/>
      <c r="W494" s="16"/>
      <c r="X494" s="16"/>
      <c r="Y494" s="16"/>
    </row>
    <row r="495" spans="1:25" ht="12" customHeight="1">
      <c r="A495" s="22"/>
      <c r="B495" s="89"/>
      <c r="C495" s="89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16"/>
      <c r="R495" s="16"/>
      <c r="S495" s="16"/>
      <c r="T495" s="16"/>
      <c r="U495" s="16"/>
      <c r="V495" s="16"/>
      <c r="W495" s="16"/>
      <c r="X495" s="16"/>
      <c r="Y495" s="16"/>
    </row>
    <row r="496" spans="1:25" ht="12" customHeight="1">
      <c r="A496" s="22"/>
      <c r="B496" s="89"/>
      <c r="C496" s="89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16"/>
      <c r="R496" s="16"/>
      <c r="S496" s="16"/>
      <c r="T496" s="16"/>
      <c r="U496" s="16"/>
      <c r="V496" s="16"/>
      <c r="W496" s="16"/>
      <c r="X496" s="16"/>
      <c r="Y496" s="16"/>
    </row>
    <row r="497" spans="1:25" ht="12" customHeight="1">
      <c r="A497" s="22"/>
      <c r="B497" s="89"/>
      <c r="C497" s="89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16"/>
      <c r="R497" s="16"/>
      <c r="S497" s="16"/>
      <c r="T497" s="16"/>
      <c r="U497" s="16"/>
      <c r="V497" s="16"/>
      <c r="W497" s="16"/>
      <c r="X497" s="16"/>
      <c r="Y497" s="16"/>
    </row>
    <row r="498" spans="1:25" ht="12" customHeight="1">
      <c r="A498" s="22"/>
      <c r="B498" s="89"/>
      <c r="C498" s="89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16"/>
      <c r="R498" s="16"/>
      <c r="S498" s="16"/>
      <c r="T498" s="16"/>
      <c r="U498" s="16"/>
      <c r="V498" s="16"/>
      <c r="W498" s="16"/>
      <c r="X498" s="16"/>
      <c r="Y498" s="16"/>
    </row>
    <row r="499" spans="1:25" ht="12" customHeight="1">
      <c r="A499" s="22"/>
      <c r="B499" s="89"/>
      <c r="C499" s="89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16"/>
      <c r="R499" s="16"/>
      <c r="S499" s="16"/>
      <c r="T499" s="16"/>
      <c r="U499" s="16"/>
      <c r="V499" s="16"/>
      <c r="W499" s="16"/>
      <c r="X499" s="16"/>
      <c r="Y499" s="16"/>
    </row>
    <row r="500" spans="1:25" ht="12" customHeight="1">
      <c r="A500" s="22"/>
      <c r="B500" s="89"/>
      <c r="C500" s="89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16"/>
      <c r="R500" s="16"/>
      <c r="S500" s="16"/>
      <c r="T500" s="16"/>
      <c r="U500" s="16"/>
      <c r="V500" s="16"/>
      <c r="W500" s="16"/>
      <c r="X500" s="16"/>
      <c r="Y500" s="16"/>
    </row>
    <row r="501" spans="1:25" ht="12" customHeight="1">
      <c r="A501" s="22"/>
      <c r="B501" s="89"/>
      <c r="C501" s="89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16"/>
      <c r="R501" s="16"/>
      <c r="S501" s="16"/>
      <c r="T501" s="16"/>
      <c r="U501" s="16"/>
      <c r="V501" s="16"/>
      <c r="W501" s="16"/>
      <c r="X501" s="16"/>
      <c r="Y501" s="16"/>
    </row>
    <row r="502" spans="1:25" ht="12" customHeight="1">
      <c r="A502" s="22"/>
      <c r="B502" s="89"/>
      <c r="C502" s="89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16"/>
      <c r="R502" s="16"/>
      <c r="S502" s="16"/>
      <c r="T502" s="16"/>
      <c r="U502" s="16"/>
      <c r="V502" s="16"/>
      <c r="W502" s="16"/>
      <c r="X502" s="16"/>
      <c r="Y502" s="16"/>
    </row>
    <row r="503" spans="1:25" ht="12" customHeight="1">
      <c r="A503" s="22"/>
      <c r="B503" s="89"/>
      <c r="C503" s="89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16"/>
      <c r="R503" s="16"/>
      <c r="S503" s="16"/>
      <c r="T503" s="16"/>
      <c r="U503" s="16"/>
      <c r="V503" s="16"/>
      <c r="W503" s="16"/>
      <c r="X503" s="16"/>
      <c r="Y503" s="16"/>
    </row>
    <row r="504" spans="1:25" ht="12" customHeight="1">
      <c r="A504" s="22"/>
      <c r="B504" s="89"/>
      <c r="C504" s="89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16"/>
      <c r="R504" s="16"/>
      <c r="S504" s="16"/>
      <c r="T504" s="16"/>
      <c r="U504" s="16"/>
      <c r="V504" s="16"/>
      <c r="W504" s="16"/>
      <c r="X504" s="16"/>
      <c r="Y504" s="16"/>
    </row>
    <row r="505" spans="1:25" ht="12" customHeight="1">
      <c r="A505" s="22"/>
      <c r="B505" s="89"/>
      <c r="C505" s="89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16"/>
      <c r="R505" s="16"/>
      <c r="S505" s="16"/>
      <c r="T505" s="16"/>
      <c r="U505" s="16"/>
      <c r="V505" s="16"/>
      <c r="W505" s="16"/>
      <c r="X505" s="16"/>
      <c r="Y505" s="16"/>
    </row>
    <row r="506" spans="1:25" ht="12" customHeight="1">
      <c r="A506" s="22"/>
      <c r="B506" s="89"/>
      <c r="C506" s="89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16"/>
      <c r="R506" s="16"/>
      <c r="S506" s="16"/>
      <c r="T506" s="16"/>
      <c r="U506" s="16"/>
      <c r="V506" s="16"/>
      <c r="W506" s="16"/>
      <c r="X506" s="16"/>
      <c r="Y506" s="16"/>
    </row>
    <row r="507" spans="1:25" ht="12" customHeight="1">
      <c r="A507" s="22"/>
      <c r="B507" s="89"/>
      <c r="C507" s="89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16"/>
      <c r="R507" s="16"/>
      <c r="S507" s="16"/>
      <c r="T507" s="16"/>
      <c r="U507" s="16"/>
      <c r="V507" s="16"/>
      <c r="W507" s="16"/>
      <c r="X507" s="16"/>
      <c r="Y507" s="16"/>
    </row>
    <row r="508" spans="1:25" ht="12" customHeight="1">
      <c r="A508" s="22"/>
      <c r="B508" s="89"/>
      <c r="C508" s="89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16"/>
      <c r="R508" s="16"/>
      <c r="S508" s="16"/>
      <c r="T508" s="16"/>
      <c r="U508" s="16"/>
      <c r="V508" s="16"/>
      <c r="W508" s="16"/>
      <c r="X508" s="16"/>
      <c r="Y508" s="16"/>
    </row>
    <row r="509" spans="1:25" ht="12" customHeight="1">
      <c r="A509" s="22"/>
      <c r="B509" s="89"/>
      <c r="C509" s="89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16"/>
      <c r="R509" s="16"/>
      <c r="S509" s="16"/>
      <c r="T509" s="16"/>
      <c r="U509" s="16"/>
      <c r="V509" s="16"/>
      <c r="W509" s="16"/>
      <c r="X509" s="16"/>
      <c r="Y509" s="16"/>
    </row>
    <row r="510" spans="1:25" ht="12" customHeight="1">
      <c r="A510" s="22"/>
      <c r="B510" s="89"/>
      <c r="C510" s="89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16"/>
      <c r="R510" s="16"/>
      <c r="S510" s="16"/>
      <c r="T510" s="16"/>
      <c r="U510" s="16"/>
      <c r="V510" s="16"/>
      <c r="W510" s="16"/>
      <c r="X510" s="16"/>
      <c r="Y510" s="16"/>
    </row>
    <row r="511" spans="1:25" ht="12" customHeight="1">
      <c r="A511" s="22"/>
      <c r="B511" s="89"/>
      <c r="C511" s="89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16"/>
      <c r="R511" s="16"/>
      <c r="S511" s="16"/>
      <c r="T511" s="16"/>
      <c r="U511" s="16"/>
      <c r="V511" s="16"/>
      <c r="W511" s="16"/>
      <c r="X511" s="16"/>
      <c r="Y511" s="16"/>
    </row>
    <row r="512" spans="1:25" ht="12" customHeight="1">
      <c r="A512" s="22"/>
      <c r="B512" s="89"/>
      <c r="C512" s="89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16"/>
      <c r="R512" s="16"/>
      <c r="S512" s="16"/>
      <c r="T512" s="16"/>
      <c r="U512" s="16"/>
      <c r="V512" s="16"/>
      <c r="W512" s="16"/>
      <c r="X512" s="16"/>
      <c r="Y512" s="16"/>
    </row>
    <row r="513" spans="1:25" ht="12" customHeight="1">
      <c r="A513" s="22"/>
      <c r="B513" s="89"/>
      <c r="C513" s="89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16"/>
      <c r="R513" s="16"/>
      <c r="S513" s="16"/>
      <c r="T513" s="16"/>
      <c r="U513" s="16"/>
      <c r="V513" s="16"/>
      <c r="W513" s="16"/>
      <c r="X513" s="16"/>
      <c r="Y513" s="16"/>
    </row>
    <row r="514" spans="1:25" ht="12" customHeight="1">
      <c r="A514" s="22"/>
      <c r="B514" s="89"/>
      <c r="C514" s="89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16"/>
      <c r="R514" s="16"/>
      <c r="S514" s="16"/>
      <c r="T514" s="16"/>
      <c r="U514" s="16"/>
      <c r="V514" s="16"/>
      <c r="W514" s="16"/>
      <c r="X514" s="16"/>
      <c r="Y514" s="16"/>
    </row>
    <row r="515" spans="1:25" ht="12" customHeight="1">
      <c r="A515" s="22"/>
      <c r="B515" s="89"/>
      <c r="C515" s="89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16"/>
      <c r="R515" s="16"/>
      <c r="S515" s="16"/>
      <c r="T515" s="16"/>
      <c r="U515" s="16"/>
      <c r="V515" s="16"/>
      <c r="W515" s="16"/>
      <c r="X515" s="16"/>
      <c r="Y515" s="16"/>
    </row>
    <row r="516" spans="1:25" ht="12" customHeight="1">
      <c r="A516" s="22"/>
      <c r="B516" s="89"/>
      <c r="C516" s="89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16"/>
      <c r="R516" s="16"/>
      <c r="S516" s="16"/>
      <c r="T516" s="16"/>
      <c r="U516" s="16"/>
      <c r="V516" s="16"/>
      <c r="W516" s="16"/>
      <c r="X516" s="16"/>
      <c r="Y516" s="16"/>
    </row>
    <row r="517" spans="1:25" ht="12" customHeight="1">
      <c r="A517" s="22"/>
      <c r="B517" s="89"/>
      <c r="C517" s="89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16"/>
      <c r="R517" s="16"/>
      <c r="S517" s="16"/>
      <c r="T517" s="16"/>
      <c r="U517" s="16"/>
      <c r="V517" s="16"/>
      <c r="W517" s="16"/>
      <c r="X517" s="16"/>
      <c r="Y517" s="16"/>
    </row>
    <row r="518" spans="1:25" ht="12" customHeight="1">
      <c r="A518" s="22"/>
      <c r="B518" s="89"/>
      <c r="C518" s="89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16"/>
      <c r="R518" s="16"/>
      <c r="S518" s="16"/>
      <c r="T518" s="16"/>
      <c r="U518" s="16"/>
      <c r="V518" s="16"/>
      <c r="W518" s="16"/>
      <c r="X518" s="16"/>
      <c r="Y518" s="16"/>
    </row>
    <row r="519" spans="1:25" ht="12" customHeight="1">
      <c r="A519" s="22"/>
      <c r="B519" s="89"/>
      <c r="C519" s="89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16"/>
      <c r="R519" s="16"/>
      <c r="S519" s="16"/>
      <c r="T519" s="16"/>
      <c r="U519" s="16"/>
      <c r="V519" s="16"/>
      <c r="W519" s="16"/>
      <c r="X519" s="16"/>
      <c r="Y519" s="16"/>
    </row>
    <row r="520" spans="1:25" ht="12" customHeight="1">
      <c r="A520" s="22"/>
      <c r="B520" s="89"/>
      <c r="C520" s="89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16"/>
      <c r="R520" s="16"/>
      <c r="S520" s="16"/>
      <c r="T520" s="16"/>
      <c r="U520" s="16"/>
      <c r="V520" s="16"/>
      <c r="W520" s="16"/>
      <c r="X520" s="16"/>
      <c r="Y520" s="16"/>
    </row>
    <row r="521" spans="1:25" ht="12" customHeight="1">
      <c r="A521" s="22"/>
      <c r="B521" s="89"/>
      <c r="C521" s="89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16"/>
      <c r="R521" s="16"/>
      <c r="S521" s="16"/>
      <c r="T521" s="16"/>
      <c r="U521" s="16"/>
      <c r="V521" s="16"/>
      <c r="W521" s="16"/>
      <c r="X521" s="16"/>
      <c r="Y521" s="16"/>
    </row>
    <row r="522" spans="1:25" ht="12" customHeight="1">
      <c r="A522" s="22"/>
      <c r="B522" s="89"/>
      <c r="C522" s="89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16"/>
      <c r="R522" s="16"/>
      <c r="S522" s="16"/>
      <c r="T522" s="16"/>
      <c r="U522" s="16"/>
      <c r="V522" s="16"/>
      <c r="W522" s="16"/>
      <c r="X522" s="16"/>
      <c r="Y522" s="16"/>
    </row>
    <row r="523" spans="1:25" ht="12" customHeight="1">
      <c r="A523" s="22"/>
      <c r="B523" s="89"/>
      <c r="C523" s="89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16"/>
      <c r="R523" s="16"/>
      <c r="S523" s="16"/>
      <c r="T523" s="16"/>
      <c r="U523" s="16"/>
      <c r="V523" s="16"/>
      <c r="W523" s="16"/>
      <c r="X523" s="16"/>
      <c r="Y523" s="16"/>
    </row>
    <row r="524" spans="1:25" ht="12" customHeight="1">
      <c r="A524" s="22"/>
      <c r="B524" s="89"/>
      <c r="C524" s="89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16"/>
      <c r="R524" s="16"/>
      <c r="S524" s="16"/>
      <c r="T524" s="16"/>
      <c r="U524" s="16"/>
      <c r="V524" s="16"/>
      <c r="W524" s="16"/>
      <c r="X524" s="16"/>
      <c r="Y524" s="16"/>
    </row>
    <row r="525" spans="1:25" ht="12" customHeight="1">
      <c r="A525" s="22"/>
      <c r="B525" s="89"/>
      <c r="C525" s="89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16"/>
      <c r="R525" s="16"/>
      <c r="S525" s="16"/>
      <c r="T525" s="16"/>
      <c r="U525" s="16"/>
      <c r="V525" s="16"/>
      <c r="W525" s="16"/>
      <c r="X525" s="16"/>
      <c r="Y525" s="16"/>
    </row>
    <row r="526" spans="1:25" ht="12" customHeight="1">
      <c r="A526" s="22"/>
      <c r="B526" s="89"/>
      <c r="C526" s="89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16"/>
      <c r="R526" s="16"/>
      <c r="S526" s="16"/>
      <c r="T526" s="16"/>
      <c r="U526" s="16"/>
      <c r="V526" s="16"/>
      <c r="W526" s="16"/>
      <c r="X526" s="16"/>
      <c r="Y526" s="16"/>
    </row>
    <row r="527" spans="1:25" ht="12" customHeight="1">
      <c r="A527" s="22"/>
      <c r="B527" s="89"/>
      <c r="C527" s="89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16"/>
      <c r="R527" s="16"/>
      <c r="S527" s="16"/>
      <c r="T527" s="16"/>
      <c r="U527" s="16"/>
      <c r="V527" s="16"/>
      <c r="W527" s="16"/>
      <c r="X527" s="16"/>
      <c r="Y527" s="16"/>
    </row>
    <row r="528" spans="1:25" ht="12" customHeight="1">
      <c r="A528" s="22"/>
      <c r="B528" s="89"/>
      <c r="C528" s="89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16"/>
      <c r="R528" s="16"/>
      <c r="S528" s="16"/>
      <c r="T528" s="16"/>
      <c r="U528" s="16"/>
      <c r="V528" s="16"/>
      <c r="W528" s="16"/>
      <c r="X528" s="16"/>
      <c r="Y528" s="16"/>
    </row>
    <row r="529" spans="1:25" ht="12" customHeight="1">
      <c r="A529" s="22"/>
      <c r="B529" s="89"/>
      <c r="C529" s="89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16"/>
      <c r="R529" s="16"/>
      <c r="S529" s="16"/>
      <c r="T529" s="16"/>
      <c r="U529" s="16"/>
      <c r="V529" s="16"/>
      <c r="W529" s="16"/>
      <c r="X529" s="16"/>
      <c r="Y529" s="16"/>
    </row>
    <row r="530" spans="1:25" ht="12" customHeight="1">
      <c r="A530" s="22"/>
      <c r="B530" s="89"/>
      <c r="C530" s="89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16"/>
      <c r="R530" s="16"/>
      <c r="S530" s="16"/>
      <c r="T530" s="16"/>
      <c r="U530" s="16"/>
      <c r="V530" s="16"/>
      <c r="W530" s="16"/>
      <c r="X530" s="16"/>
      <c r="Y530" s="16"/>
    </row>
    <row r="531" spans="1:25" ht="12" customHeight="1">
      <c r="A531" s="22"/>
      <c r="B531" s="89"/>
      <c r="C531" s="89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16"/>
      <c r="R531" s="16"/>
      <c r="S531" s="16"/>
      <c r="T531" s="16"/>
      <c r="U531" s="16"/>
      <c r="V531" s="16"/>
      <c r="W531" s="16"/>
      <c r="X531" s="16"/>
      <c r="Y531" s="16"/>
    </row>
    <row r="532" spans="1:25" ht="12" customHeight="1">
      <c r="A532" s="22"/>
      <c r="B532" s="89"/>
      <c r="C532" s="89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16"/>
      <c r="R532" s="16"/>
      <c r="S532" s="16"/>
      <c r="T532" s="16"/>
      <c r="U532" s="16"/>
      <c r="V532" s="16"/>
      <c r="W532" s="16"/>
      <c r="X532" s="16"/>
      <c r="Y532" s="16"/>
    </row>
    <row r="533" spans="1:25" ht="12" customHeight="1">
      <c r="A533" s="22"/>
      <c r="B533" s="89"/>
      <c r="C533" s="89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16"/>
      <c r="R533" s="16"/>
      <c r="S533" s="16"/>
      <c r="T533" s="16"/>
      <c r="U533" s="16"/>
      <c r="V533" s="16"/>
      <c r="W533" s="16"/>
      <c r="X533" s="16"/>
      <c r="Y533" s="16"/>
    </row>
    <row r="534" spans="1:25" ht="12" customHeight="1">
      <c r="A534" s="22"/>
      <c r="B534" s="89"/>
      <c r="C534" s="89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16"/>
      <c r="R534" s="16"/>
      <c r="S534" s="16"/>
      <c r="T534" s="16"/>
      <c r="U534" s="16"/>
      <c r="V534" s="16"/>
      <c r="W534" s="16"/>
      <c r="X534" s="16"/>
      <c r="Y534" s="16"/>
    </row>
    <row r="535" spans="1:25" ht="12" customHeight="1">
      <c r="A535" s="22"/>
      <c r="B535" s="89"/>
      <c r="C535" s="89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16"/>
      <c r="R535" s="16"/>
      <c r="S535" s="16"/>
      <c r="T535" s="16"/>
      <c r="U535" s="16"/>
      <c r="V535" s="16"/>
      <c r="W535" s="16"/>
      <c r="X535" s="16"/>
      <c r="Y535" s="16"/>
    </row>
    <row r="536" spans="1:25" ht="12" customHeight="1">
      <c r="A536" s="22"/>
      <c r="B536" s="89"/>
      <c r="C536" s="89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16"/>
      <c r="R536" s="16"/>
      <c r="S536" s="16"/>
      <c r="T536" s="16"/>
      <c r="U536" s="16"/>
      <c r="V536" s="16"/>
      <c r="W536" s="16"/>
      <c r="X536" s="16"/>
      <c r="Y536" s="16"/>
    </row>
    <row r="537" spans="1:25" ht="12" customHeight="1">
      <c r="A537" s="22"/>
      <c r="B537" s="89"/>
      <c r="C537" s="89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16"/>
      <c r="R537" s="16"/>
      <c r="S537" s="16"/>
      <c r="T537" s="16"/>
      <c r="U537" s="16"/>
      <c r="V537" s="16"/>
      <c r="W537" s="16"/>
      <c r="X537" s="16"/>
      <c r="Y537" s="16"/>
    </row>
    <row r="538" spans="1:25" ht="12" customHeight="1">
      <c r="A538" s="22"/>
      <c r="B538" s="89"/>
      <c r="C538" s="89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16"/>
      <c r="R538" s="16"/>
      <c r="S538" s="16"/>
      <c r="T538" s="16"/>
      <c r="U538" s="16"/>
      <c r="V538" s="16"/>
      <c r="W538" s="16"/>
      <c r="X538" s="16"/>
      <c r="Y538" s="16"/>
    </row>
    <row r="539" spans="1:25" ht="12" customHeight="1">
      <c r="A539" s="22"/>
      <c r="B539" s="89"/>
      <c r="C539" s="89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16"/>
      <c r="R539" s="16"/>
      <c r="S539" s="16"/>
      <c r="T539" s="16"/>
      <c r="U539" s="16"/>
      <c r="V539" s="16"/>
      <c r="W539" s="16"/>
      <c r="X539" s="16"/>
      <c r="Y539" s="16"/>
    </row>
    <row r="540" spans="1:25" ht="12" customHeight="1">
      <c r="A540" s="22"/>
      <c r="B540" s="89"/>
      <c r="C540" s="89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16"/>
      <c r="R540" s="16"/>
      <c r="S540" s="16"/>
      <c r="T540" s="16"/>
      <c r="U540" s="16"/>
      <c r="V540" s="16"/>
      <c r="W540" s="16"/>
      <c r="X540" s="16"/>
      <c r="Y540" s="16"/>
    </row>
    <row r="541" spans="1:25" ht="12" customHeight="1">
      <c r="A541" s="22"/>
      <c r="B541" s="89"/>
      <c r="C541" s="89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16"/>
      <c r="R541" s="16"/>
      <c r="S541" s="16"/>
      <c r="T541" s="16"/>
      <c r="U541" s="16"/>
      <c r="V541" s="16"/>
      <c r="W541" s="16"/>
      <c r="X541" s="16"/>
      <c r="Y541" s="16"/>
    </row>
    <row r="542" spans="1:25" ht="12" customHeight="1">
      <c r="A542" s="22"/>
      <c r="B542" s="89"/>
      <c r="C542" s="89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16"/>
      <c r="R542" s="16"/>
      <c r="S542" s="16"/>
      <c r="T542" s="16"/>
      <c r="U542" s="16"/>
      <c r="V542" s="16"/>
      <c r="W542" s="16"/>
      <c r="X542" s="16"/>
      <c r="Y542" s="16"/>
    </row>
    <row r="543" spans="1:25" ht="12" customHeight="1">
      <c r="A543" s="22"/>
      <c r="B543" s="89"/>
      <c r="C543" s="89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16"/>
      <c r="R543" s="16"/>
      <c r="S543" s="16"/>
      <c r="T543" s="16"/>
      <c r="U543" s="16"/>
      <c r="V543" s="16"/>
      <c r="W543" s="16"/>
      <c r="X543" s="16"/>
      <c r="Y543" s="16"/>
    </row>
    <row r="544" spans="1:25" ht="12" customHeight="1">
      <c r="A544" s="22"/>
      <c r="B544" s="89"/>
      <c r="C544" s="89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16"/>
      <c r="R544" s="16"/>
      <c r="S544" s="16"/>
      <c r="T544" s="16"/>
      <c r="U544" s="16"/>
      <c r="V544" s="16"/>
      <c r="W544" s="16"/>
      <c r="X544" s="16"/>
      <c r="Y544" s="16"/>
    </row>
    <row r="545" spans="1:25" ht="12" customHeight="1">
      <c r="A545" s="22"/>
      <c r="B545" s="89"/>
      <c r="C545" s="89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16"/>
      <c r="R545" s="16"/>
      <c r="S545" s="16"/>
      <c r="T545" s="16"/>
      <c r="U545" s="16"/>
      <c r="V545" s="16"/>
      <c r="W545" s="16"/>
      <c r="X545" s="16"/>
      <c r="Y545" s="16"/>
    </row>
    <row r="546" spans="1:25" ht="12" customHeight="1">
      <c r="A546" s="22"/>
      <c r="B546" s="89"/>
      <c r="C546" s="89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16"/>
      <c r="R546" s="16"/>
      <c r="S546" s="16"/>
      <c r="T546" s="16"/>
      <c r="U546" s="16"/>
      <c r="V546" s="16"/>
      <c r="W546" s="16"/>
      <c r="X546" s="16"/>
      <c r="Y546" s="16"/>
    </row>
    <row r="547" spans="1:25" ht="12" customHeight="1">
      <c r="A547" s="22"/>
      <c r="B547" s="89"/>
      <c r="C547" s="89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16"/>
      <c r="R547" s="16"/>
      <c r="S547" s="16"/>
      <c r="T547" s="16"/>
      <c r="U547" s="16"/>
      <c r="V547" s="16"/>
      <c r="W547" s="16"/>
      <c r="X547" s="16"/>
      <c r="Y547" s="16"/>
    </row>
    <row r="548" spans="1:25" ht="12" customHeight="1">
      <c r="A548" s="22"/>
      <c r="B548" s="89"/>
      <c r="C548" s="89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16"/>
      <c r="R548" s="16"/>
      <c r="S548" s="16"/>
      <c r="T548" s="16"/>
      <c r="U548" s="16"/>
      <c r="V548" s="16"/>
      <c r="W548" s="16"/>
      <c r="X548" s="16"/>
      <c r="Y548" s="16"/>
    </row>
    <row r="549" spans="1:25" ht="12" customHeight="1">
      <c r="A549" s="22"/>
      <c r="B549" s="89"/>
      <c r="C549" s="89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16"/>
      <c r="R549" s="16"/>
      <c r="S549" s="16"/>
      <c r="T549" s="16"/>
      <c r="U549" s="16"/>
      <c r="V549" s="16"/>
      <c r="W549" s="16"/>
      <c r="X549" s="16"/>
      <c r="Y549" s="16"/>
    </row>
    <row r="550" spans="1:25" ht="12" customHeight="1">
      <c r="A550" s="22"/>
      <c r="B550" s="89"/>
      <c r="C550" s="89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16"/>
      <c r="R550" s="16"/>
      <c r="S550" s="16"/>
      <c r="T550" s="16"/>
      <c r="U550" s="16"/>
      <c r="V550" s="16"/>
      <c r="W550" s="16"/>
      <c r="X550" s="16"/>
      <c r="Y550" s="16"/>
    </row>
    <row r="551" spans="1:25" ht="12" customHeight="1">
      <c r="A551" s="22"/>
      <c r="B551" s="89"/>
      <c r="C551" s="89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16"/>
      <c r="R551" s="16"/>
      <c r="S551" s="16"/>
      <c r="T551" s="16"/>
      <c r="U551" s="16"/>
      <c r="V551" s="16"/>
      <c r="W551" s="16"/>
      <c r="X551" s="16"/>
      <c r="Y551" s="16"/>
    </row>
    <row r="552" spans="1:25" ht="12" customHeight="1">
      <c r="A552" s="22"/>
      <c r="B552" s="89"/>
      <c r="C552" s="89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16"/>
      <c r="R552" s="16"/>
      <c r="S552" s="16"/>
      <c r="T552" s="16"/>
      <c r="U552" s="16"/>
      <c r="V552" s="16"/>
      <c r="W552" s="16"/>
      <c r="X552" s="16"/>
      <c r="Y552" s="16"/>
    </row>
    <row r="553" spans="1:25" ht="12" customHeight="1">
      <c r="A553" s="22"/>
      <c r="B553" s="89"/>
      <c r="C553" s="89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16"/>
      <c r="R553" s="16"/>
      <c r="S553" s="16"/>
      <c r="T553" s="16"/>
      <c r="U553" s="16"/>
      <c r="V553" s="16"/>
      <c r="W553" s="16"/>
      <c r="X553" s="16"/>
      <c r="Y553" s="16"/>
    </row>
    <row r="554" spans="1:25" ht="12" customHeight="1">
      <c r="A554" s="22"/>
      <c r="B554" s="89"/>
      <c r="C554" s="89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16"/>
      <c r="R554" s="16"/>
      <c r="S554" s="16"/>
      <c r="T554" s="16"/>
      <c r="U554" s="16"/>
      <c r="V554" s="16"/>
      <c r="W554" s="16"/>
      <c r="X554" s="16"/>
      <c r="Y554" s="16"/>
    </row>
    <row r="555" spans="1:25" ht="12" customHeight="1">
      <c r="A555" s="22"/>
      <c r="B555" s="89"/>
      <c r="C555" s="89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16"/>
      <c r="R555" s="16"/>
      <c r="S555" s="16"/>
      <c r="T555" s="16"/>
      <c r="U555" s="16"/>
      <c r="V555" s="16"/>
      <c r="W555" s="16"/>
      <c r="X555" s="16"/>
      <c r="Y555" s="16"/>
    </row>
    <row r="556" spans="1:25" ht="12" customHeight="1">
      <c r="A556" s="22"/>
      <c r="B556" s="89"/>
      <c r="C556" s="89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16"/>
      <c r="R556" s="16"/>
      <c r="S556" s="16"/>
      <c r="T556" s="16"/>
      <c r="U556" s="16"/>
      <c r="V556" s="16"/>
      <c r="W556" s="16"/>
      <c r="X556" s="16"/>
      <c r="Y556" s="16"/>
    </row>
    <row r="557" spans="1:25" ht="12" customHeight="1">
      <c r="A557" s="22"/>
      <c r="B557" s="89"/>
      <c r="C557" s="89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16"/>
      <c r="R557" s="16"/>
      <c r="S557" s="16"/>
      <c r="T557" s="16"/>
      <c r="U557" s="16"/>
      <c r="V557" s="16"/>
      <c r="W557" s="16"/>
      <c r="X557" s="16"/>
      <c r="Y557" s="16"/>
    </row>
    <row r="558" spans="1:25" ht="12" customHeight="1">
      <c r="A558" s="22"/>
      <c r="B558" s="89"/>
      <c r="C558" s="89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16"/>
      <c r="R558" s="16"/>
      <c r="S558" s="16"/>
      <c r="T558" s="16"/>
      <c r="U558" s="16"/>
      <c r="V558" s="16"/>
      <c r="W558" s="16"/>
      <c r="X558" s="16"/>
      <c r="Y558" s="16"/>
    </row>
    <row r="559" spans="1:25" ht="12" customHeight="1">
      <c r="A559" s="22"/>
      <c r="B559" s="89"/>
      <c r="C559" s="89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16"/>
      <c r="R559" s="16"/>
      <c r="S559" s="16"/>
      <c r="T559" s="16"/>
      <c r="U559" s="16"/>
      <c r="V559" s="16"/>
      <c r="W559" s="16"/>
      <c r="X559" s="16"/>
      <c r="Y559" s="16"/>
    </row>
    <row r="560" spans="1:25" ht="12" customHeight="1">
      <c r="A560" s="22"/>
      <c r="B560" s="89"/>
      <c r="C560" s="89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16"/>
      <c r="R560" s="16"/>
      <c r="S560" s="16"/>
      <c r="T560" s="16"/>
      <c r="U560" s="16"/>
      <c r="V560" s="16"/>
      <c r="W560" s="16"/>
      <c r="X560" s="16"/>
      <c r="Y560" s="16"/>
    </row>
    <row r="561" spans="1:25" ht="12" customHeight="1">
      <c r="A561" s="22"/>
      <c r="B561" s="89"/>
      <c r="C561" s="89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16"/>
      <c r="R561" s="16"/>
      <c r="S561" s="16"/>
      <c r="T561" s="16"/>
      <c r="U561" s="16"/>
      <c r="V561" s="16"/>
      <c r="W561" s="16"/>
      <c r="X561" s="16"/>
      <c r="Y561" s="16"/>
    </row>
    <row r="562" spans="1:25" ht="12" customHeight="1">
      <c r="A562" s="22"/>
      <c r="B562" s="89"/>
      <c r="C562" s="89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16"/>
      <c r="R562" s="16"/>
      <c r="S562" s="16"/>
      <c r="T562" s="16"/>
      <c r="U562" s="16"/>
      <c r="V562" s="16"/>
      <c r="W562" s="16"/>
      <c r="X562" s="16"/>
      <c r="Y562" s="16"/>
    </row>
    <row r="563" spans="1:25" ht="12" customHeight="1">
      <c r="A563" s="22"/>
      <c r="B563" s="89"/>
      <c r="C563" s="89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16"/>
      <c r="R563" s="16"/>
      <c r="S563" s="16"/>
      <c r="T563" s="16"/>
      <c r="U563" s="16"/>
      <c r="V563" s="16"/>
      <c r="W563" s="16"/>
      <c r="X563" s="16"/>
      <c r="Y563" s="16"/>
    </row>
    <row r="564" spans="1:25" ht="12" customHeight="1">
      <c r="A564" s="22"/>
      <c r="B564" s="89"/>
      <c r="C564" s="89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16"/>
      <c r="R564" s="16"/>
      <c r="S564" s="16"/>
      <c r="T564" s="16"/>
      <c r="U564" s="16"/>
      <c r="V564" s="16"/>
      <c r="W564" s="16"/>
      <c r="X564" s="16"/>
      <c r="Y564" s="16"/>
    </row>
    <row r="565" spans="1:25" ht="12" customHeight="1">
      <c r="A565" s="22"/>
      <c r="B565" s="89"/>
      <c r="C565" s="89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16"/>
      <c r="R565" s="16"/>
      <c r="S565" s="16"/>
      <c r="T565" s="16"/>
      <c r="U565" s="16"/>
      <c r="V565" s="16"/>
      <c r="W565" s="16"/>
      <c r="X565" s="16"/>
      <c r="Y565" s="16"/>
    </row>
    <row r="566" spans="1:25" ht="12" customHeight="1">
      <c r="A566" s="22"/>
      <c r="B566" s="89"/>
      <c r="C566" s="89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16"/>
      <c r="R566" s="16"/>
      <c r="S566" s="16"/>
      <c r="T566" s="16"/>
      <c r="U566" s="16"/>
      <c r="V566" s="16"/>
      <c r="W566" s="16"/>
      <c r="X566" s="16"/>
      <c r="Y566" s="16"/>
    </row>
    <row r="567" spans="1:25" ht="12" customHeight="1">
      <c r="A567" s="22"/>
      <c r="B567" s="89"/>
      <c r="C567" s="89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16"/>
      <c r="R567" s="16"/>
      <c r="S567" s="16"/>
      <c r="T567" s="16"/>
      <c r="U567" s="16"/>
      <c r="V567" s="16"/>
      <c r="W567" s="16"/>
      <c r="X567" s="16"/>
      <c r="Y567" s="16"/>
    </row>
    <row r="568" spans="1:25" ht="12" customHeight="1">
      <c r="A568" s="22"/>
      <c r="B568" s="89"/>
      <c r="C568" s="89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16"/>
      <c r="R568" s="16"/>
      <c r="S568" s="16"/>
      <c r="T568" s="16"/>
      <c r="U568" s="16"/>
      <c r="V568" s="16"/>
      <c r="W568" s="16"/>
      <c r="X568" s="16"/>
      <c r="Y568" s="16"/>
    </row>
    <row r="569" spans="1:25" ht="12" customHeight="1">
      <c r="A569" s="22"/>
      <c r="B569" s="89"/>
      <c r="C569" s="89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16"/>
      <c r="R569" s="16"/>
      <c r="S569" s="16"/>
      <c r="T569" s="16"/>
      <c r="U569" s="16"/>
      <c r="V569" s="16"/>
      <c r="W569" s="16"/>
      <c r="X569" s="16"/>
      <c r="Y569" s="16"/>
    </row>
    <row r="570" spans="1:25" ht="12" customHeight="1">
      <c r="A570" s="22"/>
      <c r="B570" s="89"/>
      <c r="C570" s="89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16"/>
      <c r="R570" s="16"/>
      <c r="S570" s="16"/>
      <c r="T570" s="16"/>
      <c r="U570" s="16"/>
      <c r="V570" s="16"/>
      <c r="W570" s="16"/>
      <c r="X570" s="16"/>
      <c r="Y570" s="16"/>
    </row>
    <row r="571" spans="1:25" ht="12" customHeight="1">
      <c r="A571" s="22"/>
      <c r="B571" s="89"/>
      <c r="C571" s="89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16"/>
      <c r="R571" s="16"/>
      <c r="S571" s="16"/>
      <c r="T571" s="16"/>
      <c r="U571" s="16"/>
      <c r="V571" s="16"/>
      <c r="W571" s="16"/>
      <c r="X571" s="16"/>
      <c r="Y571" s="16"/>
    </row>
    <row r="572" spans="1:25" ht="12" customHeight="1">
      <c r="A572" s="22"/>
      <c r="B572" s="89"/>
      <c r="C572" s="89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16"/>
      <c r="R572" s="16"/>
      <c r="S572" s="16"/>
      <c r="T572" s="16"/>
      <c r="U572" s="16"/>
      <c r="V572" s="16"/>
      <c r="W572" s="16"/>
      <c r="X572" s="16"/>
      <c r="Y572" s="16"/>
    </row>
    <row r="573" spans="1:25" ht="12" customHeight="1">
      <c r="A573" s="22"/>
      <c r="B573" s="89"/>
      <c r="C573" s="89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16"/>
      <c r="R573" s="16"/>
      <c r="S573" s="16"/>
      <c r="T573" s="16"/>
      <c r="U573" s="16"/>
      <c r="V573" s="16"/>
      <c r="W573" s="16"/>
      <c r="X573" s="16"/>
      <c r="Y573" s="16"/>
    </row>
    <row r="574" spans="1:25" ht="12" customHeight="1">
      <c r="A574" s="22"/>
      <c r="B574" s="89"/>
      <c r="C574" s="89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16"/>
      <c r="R574" s="16"/>
      <c r="S574" s="16"/>
      <c r="T574" s="16"/>
      <c r="U574" s="16"/>
      <c r="V574" s="16"/>
      <c r="W574" s="16"/>
      <c r="X574" s="16"/>
      <c r="Y574" s="16"/>
    </row>
    <row r="575" spans="1:25" ht="12" customHeight="1">
      <c r="A575" s="22"/>
      <c r="B575" s="89"/>
      <c r="C575" s="89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16"/>
      <c r="R575" s="16"/>
      <c r="S575" s="16"/>
      <c r="T575" s="16"/>
      <c r="U575" s="16"/>
      <c r="V575" s="16"/>
      <c r="W575" s="16"/>
      <c r="X575" s="16"/>
      <c r="Y575" s="16"/>
    </row>
    <row r="576" spans="1:25" ht="12" customHeight="1">
      <c r="A576" s="22"/>
      <c r="B576" s="89"/>
      <c r="C576" s="89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16"/>
      <c r="R576" s="16"/>
      <c r="S576" s="16"/>
      <c r="T576" s="16"/>
      <c r="U576" s="16"/>
      <c r="V576" s="16"/>
      <c r="W576" s="16"/>
      <c r="X576" s="16"/>
      <c r="Y576" s="16"/>
    </row>
    <row r="577" spans="1:25" ht="12" customHeight="1">
      <c r="A577" s="22"/>
      <c r="B577" s="89"/>
      <c r="C577" s="89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16"/>
      <c r="R577" s="16"/>
      <c r="S577" s="16"/>
      <c r="T577" s="16"/>
      <c r="U577" s="16"/>
      <c r="V577" s="16"/>
      <c r="W577" s="16"/>
      <c r="X577" s="16"/>
      <c r="Y577" s="16"/>
    </row>
    <row r="578" spans="1:25" ht="12" customHeight="1">
      <c r="A578" s="22"/>
      <c r="B578" s="89"/>
      <c r="C578" s="89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16"/>
      <c r="R578" s="16"/>
      <c r="S578" s="16"/>
      <c r="T578" s="16"/>
      <c r="U578" s="16"/>
      <c r="V578" s="16"/>
      <c r="W578" s="16"/>
      <c r="X578" s="16"/>
      <c r="Y578" s="16"/>
    </row>
    <row r="579" spans="1:25" ht="12" customHeight="1">
      <c r="A579" s="22"/>
      <c r="B579" s="89"/>
      <c r="C579" s="89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16"/>
      <c r="R579" s="16"/>
      <c r="S579" s="16"/>
      <c r="T579" s="16"/>
      <c r="U579" s="16"/>
      <c r="V579" s="16"/>
      <c r="W579" s="16"/>
      <c r="X579" s="16"/>
      <c r="Y579" s="16"/>
    </row>
    <row r="580" spans="1:25" ht="12" customHeight="1">
      <c r="A580" s="22"/>
      <c r="B580" s="89"/>
      <c r="C580" s="89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16"/>
      <c r="R580" s="16"/>
      <c r="S580" s="16"/>
      <c r="T580" s="16"/>
      <c r="U580" s="16"/>
      <c r="V580" s="16"/>
      <c r="W580" s="16"/>
      <c r="X580" s="16"/>
      <c r="Y580" s="16"/>
    </row>
    <row r="581" spans="1:25" ht="12" customHeight="1">
      <c r="A581" s="22"/>
      <c r="B581" s="89"/>
      <c r="C581" s="89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16"/>
      <c r="R581" s="16"/>
      <c r="S581" s="16"/>
      <c r="T581" s="16"/>
      <c r="U581" s="16"/>
      <c r="V581" s="16"/>
      <c r="W581" s="16"/>
      <c r="X581" s="16"/>
      <c r="Y581" s="16"/>
    </row>
    <row r="582" spans="1:25" ht="12" customHeight="1">
      <c r="A582" s="22"/>
      <c r="B582" s="89"/>
      <c r="C582" s="89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16"/>
      <c r="R582" s="16"/>
      <c r="S582" s="16"/>
      <c r="T582" s="16"/>
      <c r="U582" s="16"/>
      <c r="V582" s="16"/>
      <c r="W582" s="16"/>
      <c r="X582" s="16"/>
      <c r="Y582" s="16"/>
    </row>
    <row r="583" spans="1:25" ht="12" customHeight="1">
      <c r="A583" s="22"/>
      <c r="B583" s="89"/>
      <c r="C583" s="89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16"/>
      <c r="R583" s="16"/>
      <c r="S583" s="16"/>
      <c r="T583" s="16"/>
      <c r="U583" s="16"/>
      <c r="V583" s="16"/>
      <c r="W583" s="16"/>
      <c r="X583" s="16"/>
      <c r="Y583" s="16"/>
    </row>
    <row r="584" spans="1:25" ht="12" customHeight="1">
      <c r="A584" s="22"/>
      <c r="B584" s="89"/>
      <c r="C584" s="89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16"/>
      <c r="R584" s="16"/>
      <c r="S584" s="16"/>
      <c r="T584" s="16"/>
      <c r="U584" s="16"/>
      <c r="V584" s="16"/>
      <c r="W584" s="16"/>
      <c r="X584" s="16"/>
      <c r="Y584" s="16"/>
    </row>
    <row r="585" spans="1:25" ht="12" customHeight="1">
      <c r="A585" s="22"/>
      <c r="B585" s="89"/>
      <c r="C585" s="89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16"/>
      <c r="R585" s="16"/>
      <c r="S585" s="16"/>
      <c r="T585" s="16"/>
      <c r="U585" s="16"/>
      <c r="V585" s="16"/>
      <c r="W585" s="16"/>
      <c r="X585" s="16"/>
      <c r="Y585" s="16"/>
    </row>
    <row r="586" spans="1:25" ht="12" customHeight="1">
      <c r="A586" s="22"/>
      <c r="B586" s="89"/>
      <c r="C586" s="89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16"/>
      <c r="R586" s="16"/>
      <c r="S586" s="16"/>
      <c r="T586" s="16"/>
      <c r="U586" s="16"/>
      <c r="V586" s="16"/>
      <c r="W586" s="16"/>
      <c r="X586" s="16"/>
      <c r="Y586" s="16"/>
    </row>
    <row r="587" spans="1:25" ht="12" customHeight="1">
      <c r="A587" s="22"/>
      <c r="B587" s="89"/>
      <c r="C587" s="89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16"/>
      <c r="R587" s="16"/>
      <c r="S587" s="16"/>
      <c r="T587" s="16"/>
      <c r="U587" s="16"/>
      <c r="V587" s="16"/>
      <c r="W587" s="16"/>
      <c r="X587" s="16"/>
      <c r="Y587" s="16"/>
    </row>
    <row r="588" spans="1:25" ht="12" customHeight="1">
      <c r="A588" s="22"/>
      <c r="B588" s="89"/>
      <c r="C588" s="89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16"/>
      <c r="R588" s="16"/>
      <c r="S588" s="16"/>
      <c r="T588" s="16"/>
      <c r="U588" s="16"/>
      <c r="V588" s="16"/>
      <c r="W588" s="16"/>
      <c r="X588" s="16"/>
      <c r="Y588" s="16"/>
    </row>
    <row r="589" spans="1:25" ht="12" customHeight="1">
      <c r="A589" s="22"/>
      <c r="B589" s="89"/>
      <c r="C589" s="89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16"/>
      <c r="R589" s="16"/>
      <c r="S589" s="16"/>
      <c r="T589" s="16"/>
      <c r="U589" s="16"/>
      <c r="V589" s="16"/>
      <c r="W589" s="16"/>
      <c r="X589" s="16"/>
      <c r="Y589" s="16"/>
    </row>
    <row r="590" spans="1:25" ht="12" customHeight="1">
      <c r="A590" s="22"/>
      <c r="B590" s="89"/>
      <c r="C590" s="89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16"/>
      <c r="R590" s="16"/>
      <c r="S590" s="16"/>
      <c r="T590" s="16"/>
      <c r="U590" s="16"/>
      <c r="V590" s="16"/>
      <c r="W590" s="16"/>
      <c r="X590" s="16"/>
      <c r="Y590" s="16"/>
    </row>
    <row r="591" spans="1:25" ht="12" customHeight="1">
      <c r="A591" s="22"/>
      <c r="B591" s="89"/>
      <c r="C591" s="89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16"/>
      <c r="R591" s="16"/>
      <c r="S591" s="16"/>
      <c r="T591" s="16"/>
      <c r="U591" s="16"/>
      <c r="V591" s="16"/>
      <c r="W591" s="16"/>
      <c r="X591" s="16"/>
      <c r="Y591" s="16"/>
    </row>
    <row r="592" spans="1:25" ht="12" customHeight="1">
      <c r="A592" s="22"/>
      <c r="B592" s="89"/>
      <c r="C592" s="89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16"/>
      <c r="R592" s="16"/>
      <c r="S592" s="16"/>
      <c r="T592" s="16"/>
      <c r="U592" s="16"/>
      <c r="V592" s="16"/>
      <c r="W592" s="16"/>
      <c r="X592" s="16"/>
      <c r="Y592" s="16"/>
    </row>
    <row r="593" spans="1:25" ht="12" customHeight="1">
      <c r="A593" s="22"/>
      <c r="B593" s="89"/>
      <c r="C593" s="89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16"/>
      <c r="R593" s="16"/>
      <c r="S593" s="16"/>
      <c r="T593" s="16"/>
      <c r="U593" s="16"/>
      <c r="V593" s="16"/>
      <c r="W593" s="16"/>
      <c r="X593" s="16"/>
      <c r="Y593" s="16"/>
    </row>
    <row r="594" spans="1:25" ht="12" customHeight="1">
      <c r="A594" s="22"/>
      <c r="B594" s="89"/>
      <c r="C594" s="89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16"/>
      <c r="R594" s="16"/>
      <c r="S594" s="16"/>
      <c r="T594" s="16"/>
      <c r="U594" s="16"/>
      <c r="V594" s="16"/>
      <c r="W594" s="16"/>
      <c r="X594" s="16"/>
      <c r="Y594" s="16"/>
    </row>
    <row r="595" spans="1:25" ht="12" customHeight="1">
      <c r="A595" s="22"/>
      <c r="B595" s="89"/>
      <c r="C595" s="89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16"/>
      <c r="R595" s="16"/>
      <c r="S595" s="16"/>
      <c r="T595" s="16"/>
      <c r="U595" s="16"/>
      <c r="V595" s="16"/>
      <c r="W595" s="16"/>
      <c r="X595" s="16"/>
      <c r="Y595" s="16"/>
    </row>
    <row r="596" spans="1:25" ht="12" customHeight="1">
      <c r="A596" s="22"/>
      <c r="B596" s="89"/>
      <c r="C596" s="89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16"/>
      <c r="R596" s="16"/>
      <c r="S596" s="16"/>
      <c r="T596" s="16"/>
      <c r="U596" s="16"/>
      <c r="V596" s="16"/>
      <c r="W596" s="16"/>
      <c r="X596" s="16"/>
      <c r="Y596" s="16"/>
    </row>
    <row r="597" spans="1:25" ht="12" customHeight="1">
      <c r="A597" s="22"/>
      <c r="B597" s="89"/>
      <c r="C597" s="89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16"/>
      <c r="R597" s="16"/>
      <c r="S597" s="16"/>
      <c r="T597" s="16"/>
      <c r="U597" s="16"/>
      <c r="V597" s="16"/>
      <c r="W597" s="16"/>
      <c r="X597" s="16"/>
      <c r="Y597" s="16"/>
    </row>
    <row r="598" spans="1:25" ht="12" customHeight="1">
      <c r="A598" s="22"/>
      <c r="B598" s="89"/>
      <c r="C598" s="89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16"/>
      <c r="R598" s="16"/>
      <c r="S598" s="16"/>
      <c r="T598" s="16"/>
      <c r="U598" s="16"/>
      <c r="V598" s="16"/>
      <c r="W598" s="16"/>
      <c r="X598" s="16"/>
      <c r="Y598" s="16"/>
    </row>
    <row r="599" spans="1:25" ht="12" customHeight="1">
      <c r="A599" s="22"/>
      <c r="B599" s="89"/>
      <c r="C599" s="89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16"/>
      <c r="R599" s="16"/>
      <c r="S599" s="16"/>
      <c r="T599" s="16"/>
      <c r="U599" s="16"/>
      <c r="V599" s="16"/>
      <c r="W599" s="16"/>
      <c r="X599" s="16"/>
      <c r="Y599" s="16"/>
    </row>
    <row r="600" spans="1:25" ht="12" customHeight="1">
      <c r="A600" s="22"/>
      <c r="B600" s="89"/>
      <c r="C600" s="89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16"/>
      <c r="R600" s="16"/>
      <c r="S600" s="16"/>
      <c r="T600" s="16"/>
      <c r="U600" s="16"/>
      <c r="V600" s="16"/>
      <c r="W600" s="16"/>
      <c r="X600" s="16"/>
      <c r="Y600" s="16"/>
    </row>
    <row r="601" spans="1:25" ht="12" customHeight="1">
      <c r="A601" s="22"/>
      <c r="B601" s="89"/>
      <c r="C601" s="89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16"/>
      <c r="R601" s="16"/>
      <c r="S601" s="16"/>
      <c r="T601" s="16"/>
      <c r="U601" s="16"/>
      <c r="V601" s="16"/>
      <c r="W601" s="16"/>
      <c r="X601" s="16"/>
      <c r="Y601" s="16"/>
    </row>
    <row r="602" spans="1:25" ht="12" customHeight="1">
      <c r="A602" s="22"/>
      <c r="B602" s="89"/>
      <c r="C602" s="89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16"/>
      <c r="R602" s="16"/>
      <c r="S602" s="16"/>
      <c r="T602" s="16"/>
      <c r="U602" s="16"/>
      <c r="V602" s="16"/>
      <c r="W602" s="16"/>
      <c r="X602" s="16"/>
      <c r="Y602" s="16"/>
    </row>
    <row r="603" spans="1:25" ht="12" customHeight="1">
      <c r="A603" s="22"/>
      <c r="B603" s="89"/>
      <c r="C603" s="89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16"/>
      <c r="R603" s="16"/>
      <c r="S603" s="16"/>
      <c r="T603" s="16"/>
      <c r="U603" s="16"/>
      <c r="V603" s="16"/>
      <c r="W603" s="16"/>
      <c r="X603" s="16"/>
      <c r="Y603" s="16"/>
    </row>
    <row r="604" spans="1:25" ht="12" customHeight="1">
      <c r="A604" s="22"/>
      <c r="B604" s="89"/>
      <c r="C604" s="89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16"/>
      <c r="R604" s="16"/>
      <c r="S604" s="16"/>
      <c r="T604" s="16"/>
      <c r="U604" s="16"/>
      <c r="V604" s="16"/>
      <c r="W604" s="16"/>
      <c r="X604" s="16"/>
      <c r="Y604" s="16"/>
    </row>
    <row r="605" spans="1:25" ht="12" customHeight="1">
      <c r="A605" s="22"/>
      <c r="B605" s="89"/>
      <c r="C605" s="89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16"/>
      <c r="R605" s="16"/>
      <c r="S605" s="16"/>
      <c r="T605" s="16"/>
      <c r="U605" s="16"/>
      <c r="V605" s="16"/>
      <c r="W605" s="16"/>
      <c r="X605" s="16"/>
      <c r="Y605" s="16"/>
    </row>
    <row r="606" spans="1:25" ht="12" customHeight="1">
      <c r="A606" s="22"/>
      <c r="B606" s="89"/>
      <c r="C606" s="89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16"/>
      <c r="R606" s="16"/>
      <c r="S606" s="16"/>
      <c r="T606" s="16"/>
      <c r="U606" s="16"/>
      <c r="V606" s="16"/>
      <c r="W606" s="16"/>
      <c r="X606" s="16"/>
      <c r="Y606" s="16"/>
    </row>
    <row r="607" spans="1:25" ht="12" customHeight="1">
      <c r="A607" s="22"/>
      <c r="B607" s="89"/>
      <c r="C607" s="89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16"/>
      <c r="R607" s="16"/>
      <c r="S607" s="16"/>
      <c r="T607" s="16"/>
      <c r="U607" s="16"/>
      <c r="V607" s="16"/>
      <c r="W607" s="16"/>
      <c r="X607" s="16"/>
      <c r="Y607" s="16"/>
    </row>
    <row r="608" spans="1:25" ht="12" customHeight="1">
      <c r="A608" s="22"/>
      <c r="B608" s="89"/>
      <c r="C608" s="89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16"/>
      <c r="R608" s="16"/>
      <c r="S608" s="16"/>
      <c r="T608" s="16"/>
      <c r="U608" s="16"/>
      <c r="V608" s="16"/>
      <c r="W608" s="16"/>
      <c r="X608" s="16"/>
      <c r="Y608" s="16"/>
    </row>
    <row r="609" spans="1:25" ht="12" customHeight="1">
      <c r="A609" s="22"/>
      <c r="B609" s="89"/>
      <c r="C609" s="89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16"/>
      <c r="R609" s="16"/>
      <c r="S609" s="16"/>
      <c r="T609" s="16"/>
      <c r="U609" s="16"/>
      <c r="V609" s="16"/>
      <c r="W609" s="16"/>
      <c r="X609" s="16"/>
      <c r="Y609" s="16"/>
    </row>
    <row r="610" spans="1:25" ht="12" customHeight="1">
      <c r="A610" s="22"/>
      <c r="B610" s="89"/>
      <c r="C610" s="89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16"/>
      <c r="R610" s="16"/>
      <c r="S610" s="16"/>
      <c r="T610" s="16"/>
      <c r="U610" s="16"/>
      <c r="V610" s="16"/>
      <c r="W610" s="16"/>
      <c r="X610" s="16"/>
      <c r="Y610" s="16"/>
    </row>
    <row r="611" spans="1:25" ht="12" customHeight="1">
      <c r="A611" s="22"/>
      <c r="B611" s="89"/>
      <c r="C611" s="89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16"/>
      <c r="R611" s="16"/>
      <c r="S611" s="16"/>
      <c r="T611" s="16"/>
      <c r="U611" s="16"/>
      <c r="V611" s="16"/>
      <c r="W611" s="16"/>
      <c r="X611" s="16"/>
      <c r="Y611" s="16"/>
    </row>
    <row r="612" spans="1:25" ht="12" customHeight="1">
      <c r="A612" s="22"/>
      <c r="B612" s="89"/>
      <c r="C612" s="89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16"/>
      <c r="R612" s="16"/>
      <c r="S612" s="16"/>
      <c r="T612" s="16"/>
      <c r="U612" s="16"/>
      <c r="V612" s="16"/>
      <c r="W612" s="16"/>
      <c r="X612" s="16"/>
      <c r="Y612" s="16"/>
    </row>
    <row r="613" spans="1:25" ht="12" customHeight="1">
      <c r="A613" s="22"/>
      <c r="B613" s="89"/>
      <c r="C613" s="89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16"/>
      <c r="R613" s="16"/>
      <c r="S613" s="16"/>
      <c r="T613" s="16"/>
      <c r="U613" s="16"/>
      <c r="V613" s="16"/>
      <c r="W613" s="16"/>
      <c r="X613" s="16"/>
      <c r="Y613" s="16"/>
    </row>
    <row r="614" spans="1:25" ht="12" customHeight="1">
      <c r="A614" s="22"/>
      <c r="B614" s="89"/>
      <c r="C614" s="89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16"/>
      <c r="R614" s="16"/>
      <c r="S614" s="16"/>
      <c r="T614" s="16"/>
      <c r="U614" s="16"/>
      <c r="V614" s="16"/>
      <c r="W614" s="16"/>
      <c r="X614" s="16"/>
      <c r="Y614" s="16"/>
    </row>
    <row r="615" spans="1:25" ht="12" customHeight="1">
      <c r="A615" s="22"/>
      <c r="B615" s="89"/>
      <c r="C615" s="89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16"/>
      <c r="R615" s="16"/>
      <c r="S615" s="16"/>
      <c r="T615" s="16"/>
      <c r="U615" s="16"/>
      <c r="V615" s="16"/>
      <c r="W615" s="16"/>
      <c r="X615" s="16"/>
      <c r="Y615" s="16"/>
    </row>
    <row r="616" spans="1:25" ht="12" customHeight="1">
      <c r="A616" s="22"/>
      <c r="B616" s="89"/>
      <c r="C616" s="89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16"/>
      <c r="R616" s="16"/>
      <c r="S616" s="16"/>
      <c r="T616" s="16"/>
      <c r="U616" s="16"/>
      <c r="V616" s="16"/>
      <c r="W616" s="16"/>
      <c r="X616" s="16"/>
      <c r="Y616" s="16"/>
    </row>
    <row r="617" spans="1:25" ht="12" customHeight="1">
      <c r="A617" s="22"/>
      <c r="B617" s="89"/>
      <c r="C617" s="89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16"/>
      <c r="R617" s="16"/>
      <c r="S617" s="16"/>
      <c r="T617" s="16"/>
      <c r="U617" s="16"/>
      <c r="V617" s="16"/>
      <c r="W617" s="16"/>
      <c r="X617" s="16"/>
      <c r="Y617" s="16"/>
    </row>
    <row r="618" spans="1:25" ht="12" customHeight="1">
      <c r="A618" s="22"/>
      <c r="B618" s="89"/>
      <c r="C618" s="89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16"/>
      <c r="R618" s="16"/>
      <c r="S618" s="16"/>
      <c r="T618" s="16"/>
      <c r="U618" s="16"/>
      <c r="V618" s="16"/>
      <c r="W618" s="16"/>
      <c r="X618" s="16"/>
      <c r="Y618" s="16"/>
    </row>
    <row r="619" spans="1:25" ht="12" customHeight="1">
      <c r="A619" s="22"/>
      <c r="B619" s="89"/>
      <c r="C619" s="89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16"/>
      <c r="R619" s="16"/>
      <c r="S619" s="16"/>
      <c r="T619" s="16"/>
      <c r="U619" s="16"/>
      <c r="V619" s="16"/>
      <c r="W619" s="16"/>
      <c r="X619" s="16"/>
      <c r="Y619" s="16"/>
    </row>
    <row r="620" spans="1:25" ht="12" customHeight="1">
      <c r="A620" s="22"/>
      <c r="B620" s="89"/>
      <c r="C620" s="89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16"/>
      <c r="R620" s="16"/>
      <c r="S620" s="16"/>
      <c r="T620" s="16"/>
      <c r="U620" s="16"/>
      <c r="V620" s="16"/>
      <c r="W620" s="16"/>
      <c r="X620" s="16"/>
      <c r="Y620" s="16"/>
    </row>
    <row r="621" spans="1:25" ht="12" customHeight="1">
      <c r="A621" s="22"/>
      <c r="B621" s="89"/>
      <c r="C621" s="89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16"/>
      <c r="R621" s="16"/>
      <c r="S621" s="16"/>
      <c r="T621" s="16"/>
      <c r="U621" s="16"/>
      <c r="V621" s="16"/>
      <c r="W621" s="16"/>
      <c r="X621" s="16"/>
      <c r="Y621" s="16"/>
    </row>
    <row r="622" spans="1:25" ht="12" customHeight="1">
      <c r="A622" s="22"/>
      <c r="B622" s="89"/>
      <c r="C622" s="89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16"/>
      <c r="R622" s="16"/>
      <c r="S622" s="16"/>
      <c r="T622" s="16"/>
      <c r="U622" s="16"/>
      <c r="V622" s="16"/>
      <c r="W622" s="16"/>
      <c r="X622" s="16"/>
      <c r="Y622" s="16"/>
    </row>
    <row r="623" spans="1:25" ht="12" customHeight="1">
      <c r="A623" s="22"/>
      <c r="B623" s="89"/>
      <c r="C623" s="89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16"/>
      <c r="R623" s="16"/>
      <c r="S623" s="16"/>
      <c r="T623" s="16"/>
      <c r="U623" s="16"/>
      <c r="V623" s="16"/>
      <c r="W623" s="16"/>
      <c r="X623" s="16"/>
      <c r="Y623" s="16"/>
    </row>
    <row r="624" spans="1:25" ht="12" customHeight="1">
      <c r="A624" s="22"/>
      <c r="B624" s="89"/>
      <c r="C624" s="89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16"/>
      <c r="R624" s="16"/>
      <c r="S624" s="16"/>
      <c r="T624" s="16"/>
      <c r="U624" s="16"/>
      <c r="V624" s="16"/>
      <c r="W624" s="16"/>
      <c r="X624" s="16"/>
      <c r="Y624" s="16"/>
    </row>
    <row r="625" spans="1:25" ht="12" customHeight="1">
      <c r="A625" s="22"/>
      <c r="B625" s="89"/>
      <c r="C625" s="89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16"/>
      <c r="R625" s="16"/>
      <c r="S625" s="16"/>
      <c r="T625" s="16"/>
      <c r="U625" s="16"/>
      <c r="V625" s="16"/>
      <c r="W625" s="16"/>
      <c r="X625" s="16"/>
      <c r="Y625" s="16"/>
    </row>
    <row r="626" spans="1:25" ht="12" customHeight="1">
      <c r="A626" s="22"/>
      <c r="B626" s="89"/>
      <c r="C626" s="89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16"/>
      <c r="R626" s="16"/>
      <c r="S626" s="16"/>
      <c r="T626" s="16"/>
      <c r="U626" s="16"/>
      <c r="V626" s="16"/>
      <c r="W626" s="16"/>
      <c r="X626" s="16"/>
      <c r="Y626" s="16"/>
    </row>
    <row r="627" spans="1:25" ht="12" customHeight="1">
      <c r="A627" s="22"/>
      <c r="B627" s="89"/>
      <c r="C627" s="89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16"/>
      <c r="R627" s="16"/>
      <c r="S627" s="16"/>
      <c r="T627" s="16"/>
      <c r="U627" s="16"/>
      <c r="V627" s="16"/>
      <c r="W627" s="16"/>
      <c r="X627" s="16"/>
      <c r="Y627" s="16"/>
    </row>
    <row r="628" spans="1:25" ht="12" customHeight="1">
      <c r="A628" s="22"/>
      <c r="B628" s="89"/>
      <c r="C628" s="89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16"/>
      <c r="R628" s="16"/>
      <c r="S628" s="16"/>
      <c r="T628" s="16"/>
      <c r="U628" s="16"/>
      <c r="V628" s="16"/>
      <c r="W628" s="16"/>
      <c r="X628" s="16"/>
      <c r="Y628" s="16"/>
    </row>
    <row r="629" spans="1:25" ht="12" customHeight="1">
      <c r="A629" s="22"/>
      <c r="B629" s="89"/>
      <c r="C629" s="89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16"/>
      <c r="R629" s="16"/>
      <c r="S629" s="16"/>
      <c r="T629" s="16"/>
      <c r="U629" s="16"/>
      <c r="V629" s="16"/>
      <c r="W629" s="16"/>
      <c r="X629" s="16"/>
      <c r="Y629" s="16"/>
    </row>
    <row r="630" spans="1:25" ht="12" customHeight="1">
      <c r="A630" s="22"/>
      <c r="B630" s="89"/>
      <c r="C630" s="89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16"/>
      <c r="R630" s="16"/>
      <c r="S630" s="16"/>
      <c r="T630" s="16"/>
      <c r="U630" s="16"/>
      <c r="V630" s="16"/>
      <c r="W630" s="16"/>
      <c r="X630" s="16"/>
      <c r="Y630" s="16"/>
    </row>
    <row r="631" spans="1:25" ht="12" customHeight="1">
      <c r="A631" s="22"/>
      <c r="B631" s="89"/>
      <c r="C631" s="89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16"/>
      <c r="R631" s="16"/>
      <c r="S631" s="16"/>
      <c r="T631" s="16"/>
      <c r="U631" s="16"/>
      <c r="V631" s="16"/>
      <c r="W631" s="16"/>
      <c r="X631" s="16"/>
      <c r="Y631" s="16"/>
    </row>
    <row r="632" spans="1:25" ht="12" customHeight="1">
      <c r="A632" s="22"/>
      <c r="B632" s="89"/>
      <c r="C632" s="89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16"/>
      <c r="R632" s="16"/>
      <c r="S632" s="16"/>
      <c r="T632" s="16"/>
      <c r="U632" s="16"/>
      <c r="V632" s="16"/>
      <c r="W632" s="16"/>
      <c r="X632" s="16"/>
      <c r="Y632" s="16"/>
    </row>
    <row r="633" spans="1:25" ht="12" customHeight="1">
      <c r="A633" s="22"/>
      <c r="B633" s="89"/>
      <c r="C633" s="89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16"/>
      <c r="R633" s="16"/>
      <c r="S633" s="16"/>
      <c r="T633" s="16"/>
      <c r="U633" s="16"/>
      <c r="V633" s="16"/>
      <c r="W633" s="16"/>
      <c r="X633" s="16"/>
      <c r="Y633" s="16"/>
    </row>
    <row r="634" spans="1:25" ht="12" customHeight="1">
      <c r="A634" s="22"/>
      <c r="B634" s="89"/>
      <c r="C634" s="89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16"/>
      <c r="R634" s="16"/>
      <c r="S634" s="16"/>
      <c r="T634" s="16"/>
      <c r="U634" s="16"/>
      <c r="V634" s="16"/>
      <c r="W634" s="16"/>
      <c r="X634" s="16"/>
      <c r="Y634" s="16"/>
    </row>
    <row r="635" spans="1:25" ht="12" customHeight="1">
      <c r="A635" s="22"/>
      <c r="B635" s="89"/>
      <c r="C635" s="89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16"/>
      <c r="R635" s="16"/>
      <c r="S635" s="16"/>
      <c r="T635" s="16"/>
      <c r="U635" s="16"/>
      <c r="V635" s="16"/>
      <c r="W635" s="16"/>
      <c r="X635" s="16"/>
      <c r="Y635" s="16"/>
    </row>
    <row r="636" spans="1:25" ht="12" customHeight="1">
      <c r="A636" s="22"/>
      <c r="B636" s="89"/>
      <c r="C636" s="89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16"/>
      <c r="R636" s="16"/>
      <c r="S636" s="16"/>
      <c r="T636" s="16"/>
      <c r="U636" s="16"/>
      <c r="V636" s="16"/>
      <c r="W636" s="16"/>
      <c r="X636" s="16"/>
      <c r="Y636" s="16"/>
    </row>
    <row r="637" spans="1:25" ht="12" customHeight="1">
      <c r="A637" s="22"/>
      <c r="B637" s="89"/>
      <c r="C637" s="89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16"/>
      <c r="R637" s="16"/>
      <c r="S637" s="16"/>
      <c r="T637" s="16"/>
      <c r="U637" s="16"/>
      <c r="V637" s="16"/>
      <c r="W637" s="16"/>
      <c r="X637" s="16"/>
      <c r="Y637" s="16"/>
    </row>
    <row r="638" spans="1:25" ht="12" customHeight="1">
      <c r="A638" s="22"/>
      <c r="B638" s="89"/>
      <c r="C638" s="89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16"/>
      <c r="R638" s="16"/>
      <c r="S638" s="16"/>
      <c r="T638" s="16"/>
      <c r="U638" s="16"/>
      <c r="V638" s="16"/>
      <c r="W638" s="16"/>
      <c r="X638" s="16"/>
      <c r="Y638" s="16"/>
    </row>
    <row r="639" spans="1:25" ht="12" customHeight="1">
      <c r="A639" s="22"/>
      <c r="B639" s="89"/>
      <c r="C639" s="89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16"/>
      <c r="R639" s="16"/>
      <c r="S639" s="16"/>
      <c r="T639" s="16"/>
      <c r="U639" s="16"/>
      <c r="V639" s="16"/>
      <c r="W639" s="16"/>
      <c r="X639" s="16"/>
      <c r="Y639" s="16"/>
    </row>
    <row r="640" spans="1:25" ht="12" customHeight="1">
      <c r="A640" s="22"/>
      <c r="B640" s="89"/>
      <c r="C640" s="89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16"/>
      <c r="R640" s="16"/>
      <c r="S640" s="16"/>
      <c r="T640" s="16"/>
      <c r="U640" s="16"/>
      <c r="V640" s="16"/>
      <c r="W640" s="16"/>
      <c r="X640" s="16"/>
      <c r="Y640" s="16"/>
    </row>
    <row r="641" spans="1:25" ht="12" customHeight="1">
      <c r="A641" s="22"/>
      <c r="B641" s="89"/>
      <c r="C641" s="89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16"/>
      <c r="R641" s="16"/>
      <c r="S641" s="16"/>
      <c r="T641" s="16"/>
      <c r="U641" s="16"/>
      <c r="V641" s="16"/>
      <c r="W641" s="16"/>
      <c r="X641" s="16"/>
      <c r="Y641" s="16"/>
    </row>
    <row r="642" spans="1:25" ht="12" customHeight="1">
      <c r="A642" s="22"/>
      <c r="B642" s="89"/>
      <c r="C642" s="89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16"/>
      <c r="R642" s="16"/>
      <c r="S642" s="16"/>
      <c r="T642" s="16"/>
      <c r="U642" s="16"/>
      <c r="V642" s="16"/>
      <c r="W642" s="16"/>
      <c r="X642" s="16"/>
      <c r="Y642" s="16"/>
    </row>
    <row r="643" spans="1:25" ht="12" customHeight="1">
      <c r="A643" s="22"/>
      <c r="B643" s="89"/>
      <c r="C643" s="89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16"/>
      <c r="R643" s="16"/>
      <c r="S643" s="16"/>
      <c r="T643" s="16"/>
      <c r="U643" s="16"/>
      <c r="V643" s="16"/>
      <c r="W643" s="16"/>
      <c r="X643" s="16"/>
      <c r="Y643" s="16"/>
    </row>
    <row r="644" spans="1:25" ht="12" customHeight="1">
      <c r="A644" s="22"/>
      <c r="B644" s="89"/>
      <c r="C644" s="89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16"/>
      <c r="R644" s="16"/>
      <c r="S644" s="16"/>
      <c r="T644" s="16"/>
      <c r="U644" s="16"/>
      <c r="V644" s="16"/>
      <c r="W644" s="16"/>
      <c r="X644" s="16"/>
      <c r="Y644" s="16"/>
    </row>
    <row r="645" spans="1:25" ht="12" customHeight="1">
      <c r="A645" s="22"/>
      <c r="B645" s="89"/>
      <c r="C645" s="89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16"/>
      <c r="R645" s="16"/>
      <c r="S645" s="16"/>
      <c r="T645" s="16"/>
      <c r="U645" s="16"/>
      <c r="V645" s="16"/>
      <c r="W645" s="16"/>
      <c r="X645" s="16"/>
      <c r="Y645" s="16"/>
    </row>
    <row r="646" spans="1:25" ht="12" customHeight="1">
      <c r="A646" s="22"/>
      <c r="B646" s="89"/>
      <c r="C646" s="89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16"/>
      <c r="R646" s="16"/>
      <c r="S646" s="16"/>
      <c r="T646" s="16"/>
      <c r="U646" s="16"/>
      <c r="V646" s="16"/>
      <c r="W646" s="16"/>
      <c r="X646" s="16"/>
      <c r="Y646" s="16"/>
    </row>
    <row r="647" spans="1:25" ht="12" customHeight="1">
      <c r="A647" s="22"/>
      <c r="B647" s="89"/>
      <c r="C647" s="89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16"/>
      <c r="R647" s="16"/>
      <c r="S647" s="16"/>
      <c r="T647" s="16"/>
      <c r="U647" s="16"/>
      <c r="V647" s="16"/>
      <c r="W647" s="16"/>
      <c r="X647" s="16"/>
      <c r="Y647" s="16"/>
    </row>
    <row r="648" spans="1:25" ht="12" customHeight="1">
      <c r="A648" s="22"/>
      <c r="B648" s="89"/>
      <c r="C648" s="89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16"/>
      <c r="R648" s="16"/>
      <c r="S648" s="16"/>
      <c r="T648" s="16"/>
      <c r="U648" s="16"/>
      <c r="V648" s="16"/>
      <c r="W648" s="16"/>
      <c r="X648" s="16"/>
      <c r="Y648" s="16"/>
    </row>
    <row r="649" spans="1:25" ht="12" customHeight="1">
      <c r="A649" s="22"/>
      <c r="B649" s="89"/>
      <c r="C649" s="89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16"/>
      <c r="R649" s="16"/>
      <c r="S649" s="16"/>
      <c r="T649" s="16"/>
      <c r="U649" s="16"/>
      <c r="V649" s="16"/>
      <c r="W649" s="16"/>
      <c r="X649" s="16"/>
      <c r="Y649" s="16"/>
    </row>
    <row r="650" spans="1:25" ht="12" customHeight="1">
      <c r="A650" s="22"/>
      <c r="B650" s="89"/>
      <c r="C650" s="89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16"/>
      <c r="R650" s="16"/>
      <c r="S650" s="16"/>
      <c r="T650" s="16"/>
      <c r="U650" s="16"/>
      <c r="V650" s="16"/>
      <c r="W650" s="16"/>
      <c r="X650" s="16"/>
      <c r="Y650" s="16"/>
    </row>
    <row r="651" spans="1:25" ht="12" customHeight="1">
      <c r="A651" s="22"/>
      <c r="B651" s="89"/>
      <c r="C651" s="89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16"/>
      <c r="R651" s="16"/>
      <c r="S651" s="16"/>
      <c r="T651" s="16"/>
      <c r="U651" s="16"/>
      <c r="V651" s="16"/>
      <c r="W651" s="16"/>
      <c r="X651" s="16"/>
      <c r="Y651" s="16"/>
    </row>
    <row r="652" spans="1:25" ht="12" customHeight="1">
      <c r="A652" s="22"/>
      <c r="B652" s="89"/>
      <c r="C652" s="89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16"/>
      <c r="R652" s="16"/>
      <c r="S652" s="16"/>
      <c r="T652" s="16"/>
      <c r="U652" s="16"/>
      <c r="V652" s="16"/>
      <c r="W652" s="16"/>
      <c r="X652" s="16"/>
      <c r="Y652" s="16"/>
    </row>
    <row r="653" spans="1:25" ht="12" customHeight="1">
      <c r="A653" s="22"/>
      <c r="B653" s="89"/>
      <c r="C653" s="89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16"/>
      <c r="R653" s="16"/>
      <c r="S653" s="16"/>
      <c r="T653" s="16"/>
      <c r="U653" s="16"/>
      <c r="V653" s="16"/>
      <c r="W653" s="16"/>
      <c r="X653" s="16"/>
      <c r="Y653" s="16"/>
    </row>
    <row r="654" spans="1:25" ht="12" customHeight="1">
      <c r="A654" s="22"/>
      <c r="B654" s="89"/>
      <c r="C654" s="89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16"/>
      <c r="R654" s="16"/>
      <c r="S654" s="16"/>
      <c r="T654" s="16"/>
      <c r="U654" s="16"/>
      <c r="V654" s="16"/>
      <c r="W654" s="16"/>
      <c r="X654" s="16"/>
      <c r="Y654" s="16"/>
    </row>
    <row r="655" spans="1:25" ht="12" customHeight="1">
      <c r="A655" s="22"/>
      <c r="B655" s="89"/>
      <c r="C655" s="89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16"/>
      <c r="R655" s="16"/>
      <c r="S655" s="16"/>
      <c r="T655" s="16"/>
      <c r="U655" s="16"/>
      <c r="V655" s="16"/>
      <c r="W655" s="16"/>
      <c r="X655" s="16"/>
      <c r="Y655" s="16"/>
    </row>
    <row r="656" spans="1:25" ht="12" customHeight="1">
      <c r="A656" s="22"/>
      <c r="B656" s="89"/>
      <c r="C656" s="89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16"/>
      <c r="R656" s="16"/>
      <c r="S656" s="16"/>
      <c r="T656" s="16"/>
      <c r="U656" s="16"/>
      <c r="V656" s="16"/>
      <c r="W656" s="16"/>
      <c r="X656" s="16"/>
      <c r="Y656" s="16"/>
    </row>
    <row r="657" spans="1:25" ht="12" customHeight="1">
      <c r="A657" s="22"/>
      <c r="B657" s="89"/>
      <c r="C657" s="89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16"/>
      <c r="R657" s="16"/>
      <c r="S657" s="16"/>
      <c r="T657" s="16"/>
      <c r="U657" s="16"/>
      <c r="V657" s="16"/>
      <c r="W657" s="16"/>
      <c r="X657" s="16"/>
      <c r="Y657" s="16"/>
    </row>
    <row r="658" spans="1:25" ht="12" customHeight="1">
      <c r="A658" s="22"/>
      <c r="B658" s="89"/>
      <c r="C658" s="89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16"/>
      <c r="R658" s="16"/>
      <c r="S658" s="16"/>
      <c r="T658" s="16"/>
      <c r="U658" s="16"/>
      <c r="V658" s="16"/>
      <c r="W658" s="16"/>
      <c r="X658" s="16"/>
      <c r="Y658" s="16"/>
    </row>
    <row r="659" spans="1:25" ht="12" customHeight="1">
      <c r="A659" s="22"/>
      <c r="B659" s="89"/>
      <c r="C659" s="89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16"/>
      <c r="R659" s="16"/>
      <c r="S659" s="16"/>
      <c r="T659" s="16"/>
      <c r="U659" s="16"/>
      <c r="V659" s="16"/>
      <c r="W659" s="16"/>
      <c r="X659" s="16"/>
      <c r="Y659" s="16"/>
    </row>
    <row r="660" spans="1:25" ht="12" customHeight="1">
      <c r="A660" s="22"/>
      <c r="B660" s="89"/>
      <c r="C660" s="89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16"/>
      <c r="R660" s="16"/>
      <c r="S660" s="16"/>
      <c r="T660" s="16"/>
      <c r="U660" s="16"/>
      <c r="V660" s="16"/>
      <c r="W660" s="16"/>
      <c r="X660" s="16"/>
      <c r="Y660" s="16"/>
    </row>
    <row r="661" spans="1:25" ht="12" customHeight="1">
      <c r="A661" s="22"/>
      <c r="B661" s="89"/>
      <c r="C661" s="89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16"/>
      <c r="R661" s="16"/>
      <c r="S661" s="16"/>
      <c r="T661" s="16"/>
      <c r="U661" s="16"/>
      <c r="V661" s="16"/>
      <c r="W661" s="16"/>
      <c r="X661" s="16"/>
      <c r="Y661" s="16"/>
    </row>
    <row r="662" spans="1:25" ht="12" customHeight="1">
      <c r="A662" s="22"/>
      <c r="B662" s="89"/>
      <c r="C662" s="89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16"/>
      <c r="R662" s="16"/>
      <c r="S662" s="16"/>
      <c r="T662" s="16"/>
      <c r="U662" s="16"/>
      <c r="V662" s="16"/>
      <c r="W662" s="16"/>
      <c r="X662" s="16"/>
      <c r="Y662" s="16"/>
    </row>
    <row r="663" spans="1:25" ht="12" customHeight="1">
      <c r="A663" s="22"/>
      <c r="B663" s="89"/>
      <c r="C663" s="89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16"/>
      <c r="R663" s="16"/>
      <c r="S663" s="16"/>
      <c r="T663" s="16"/>
      <c r="U663" s="16"/>
      <c r="V663" s="16"/>
      <c r="W663" s="16"/>
      <c r="X663" s="16"/>
      <c r="Y663" s="16"/>
    </row>
    <row r="664" spans="1:25" ht="12" customHeight="1">
      <c r="A664" s="22"/>
      <c r="B664" s="89"/>
      <c r="C664" s="89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16"/>
      <c r="R664" s="16"/>
      <c r="S664" s="16"/>
      <c r="T664" s="16"/>
      <c r="U664" s="16"/>
      <c r="V664" s="16"/>
      <c r="W664" s="16"/>
      <c r="X664" s="16"/>
      <c r="Y664" s="16"/>
    </row>
    <row r="665" spans="1:25" ht="12" customHeight="1">
      <c r="A665" s="22"/>
      <c r="B665" s="89"/>
      <c r="C665" s="89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16"/>
      <c r="R665" s="16"/>
      <c r="S665" s="16"/>
      <c r="T665" s="16"/>
      <c r="U665" s="16"/>
      <c r="V665" s="16"/>
      <c r="W665" s="16"/>
      <c r="X665" s="16"/>
      <c r="Y665" s="16"/>
    </row>
    <row r="666" spans="1:25" ht="12" customHeight="1">
      <c r="A666" s="22"/>
      <c r="B666" s="89"/>
      <c r="C666" s="89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16"/>
      <c r="R666" s="16"/>
      <c r="S666" s="16"/>
      <c r="T666" s="16"/>
      <c r="U666" s="16"/>
      <c r="V666" s="16"/>
      <c r="W666" s="16"/>
      <c r="X666" s="16"/>
      <c r="Y666" s="16"/>
    </row>
    <row r="667" spans="1:25" ht="12" customHeight="1">
      <c r="A667" s="22"/>
      <c r="B667" s="89"/>
      <c r="C667" s="89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16"/>
      <c r="R667" s="16"/>
      <c r="S667" s="16"/>
      <c r="T667" s="16"/>
      <c r="U667" s="16"/>
      <c r="V667" s="16"/>
      <c r="W667" s="16"/>
      <c r="X667" s="16"/>
      <c r="Y667" s="16"/>
    </row>
    <row r="668" spans="1:25" ht="12" customHeight="1">
      <c r="A668" s="22"/>
      <c r="B668" s="89"/>
      <c r="C668" s="89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16"/>
      <c r="R668" s="16"/>
      <c r="S668" s="16"/>
      <c r="T668" s="16"/>
      <c r="U668" s="16"/>
      <c r="V668" s="16"/>
      <c r="W668" s="16"/>
      <c r="X668" s="16"/>
      <c r="Y668" s="16"/>
    </row>
    <row r="669" spans="1:25" ht="12" customHeight="1">
      <c r="A669" s="22"/>
      <c r="B669" s="89"/>
      <c r="C669" s="89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16"/>
      <c r="R669" s="16"/>
      <c r="S669" s="16"/>
      <c r="T669" s="16"/>
      <c r="U669" s="16"/>
      <c r="V669" s="16"/>
      <c r="W669" s="16"/>
      <c r="X669" s="16"/>
      <c r="Y669" s="16"/>
    </row>
    <row r="670" spans="1:25" ht="12" customHeight="1">
      <c r="A670" s="22"/>
      <c r="B670" s="89"/>
      <c r="C670" s="89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16"/>
      <c r="R670" s="16"/>
      <c r="S670" s="16"/>
      <c r="T670" s="16"/>
      <c r="U670" s="16"/>
      <c r="V670" s="16"/>
      <c r="W670" s="16"/>
      <c r="X670" s="16"/>
      <c r="Y670" s="16"/>
    </row>
    <row r="671" spans="1:25" ht="12" customHeight="1">
      <c r="A671" s="22"/>
      <c r="B671" s="89"/>
      <c r="C671" s="89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16"/>
      <c r="R671" s="16"/>
      <c r="S671" s="16"/>
      <c r="T671" s="16"/>
      <c r="U671" s="16"/>
      <c r="V671" s="16"/>
      <c r="W671" s="16"/>
      <c r="X671" s="16"/>
      <c r="Y671" s="16"/>
    </row>
    <row r="672" spans="1:25" ht="12" customHeight="1">
      <c r="A672" s="22"/>
      <c r="B672" s="89"/>
      <c r="C672" s="89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16"/>
      <c r="R672" s="16"/>
      <c r="S672" s="16"/>
      <c r="T672" s="16"/>
      <c r="U672" s="16"/>
      <c r="V672" s="16"/>
      <c r="W672" s="16"/>
      <c r="X672" s="16"/>
      <c r="Y672" s="16"/>
    </row>
    <row r="673" spans="1:25" ht="12" customHeight="1">
      <c r="A673" s="22"/>
      <c r="B673" s="89"/>
      <c r="C673" s="89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16"/>
      <c r="R673" s="16"/>
      <c r="S673" s="16"/>
      <c r="T673" s="16"/>
      <c r="U673" s="16"/>
      <c r="V673" s="16"/>
      <c r="W673" s="16"/>
      <c r="X673" s="16"/>
      <c r="Y673" s="16"/>
    </row>
    <row r="674" spans="1:25" ht="12" customHeight="1">
      <c r="A674" s="22"/>
      <c r="B674" s="89"/>
      <c r="C674" s="89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16"/>
      <c r="R674" s="16"/>
      <c r="S674" s="16"/>
      <c r="T674" s="16"/>
      <c r="U674" s="16"/>
      <c r="V674" s="16"/>
      <c r="W674" s="16"/>
      <c r="X674" s="16"/>
      <c r="Y674" s="16"/>
    </row>
    <row r="675" spans="1:25" ht="12" customHeight="1">
      <c r="A675" s="22"/>
      <c r="B675" s="89"/>
      <c r="C675" s="89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16"/>
      <c r="R675" s="16"/>
      <c r="S675" s="16"/>
      <c r="T675" s="16"/>
      <c r="U675" s="16"/>
      <c r="V675" s="16"/>
      <c r="W675" s="16"/>
      <c r="X675" s="16"/>
      <c r="Y675" s="16"/>
    </row>
    <row r="676" spans="1:25" ht="12" customHeight="1">
      <c r="A676" s="22"/>
      <c r="B676" s="89"/>
      <c r="C676" s="89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16"/>
      <c r="R676" s="16"/>
      <c r="S676" s="16"/>
      <c r="T676" s="16"/>
      <c r="U676" s="16"/>
      <c r="V676" s="16"/>
      <c r="W676" s="16"/>
      <c r="X676" s="16"/>
      <c r="Y676" s="16"/>
    </row>
    <row r="677" spans="1:25" ht="12" customHeight="1">
      <c r="A677" s="22"/>
      <c r="B677" s="89"/>
      <c r="C677" s="89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16"/>
      <c r="R677" s="16"/>
      <c r="S677" s="16"/>
      <c r="T677" s="16"/>
      <c r="U677" s="16"/>
      <c r="V677" s="16"/>
      <c r="W677" s="16"/>
      <c r="X677" s="16"/>
      <c r="Y677" s="16"/>
    </row>
    <row r="678" spans="1:25" ht="12" customHeight="1">
      <c r="A678" s="22"/>
      <c r="B678" s="89"/>
      <c r="C678" s="89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16"/>
      <c r="R678" s="16"/>
      <c r="S678" s="16"/>
      <c r="T678" s="16"/>
      <c r="U678" s="16"/>
      <c r="V678" s="16"/>
      <c r="W678" s="16"/>
      <c r="X678" s="16"/>
      <c r="Y678" s="16"/>
    </row>
    <row r="679" spans="1:25" ht="12" customHeight="1">
      <c r="A679" s="22"/>
      <c r="B679" s="89"/>
      <c r="C679" s="89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16"/>
      <c r="R679" s="16"/>
      <c r="S679" s="16"/>
      <c r="T679" s="16"/>
      <c r="U679" s="16"/>
      <c r="V679" s="16"/>
      <c r="W679" s="16"/>
      <c r="X679" s="16"/>
      <c r="Y679" s="16"/>
    </row>
    <row r="680" spans="1:25" ht="12" customHeight="1">
      <c r="A680" s="22"/>
      <c r="B680" s="89"/>
      <c r="C680" s="89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16"/>
      <c r="R680" s="16"/>
      <c r="S680" s="16"/>
      <c r="T680" s="16"/>
      <c r="U680" s="16"/>
      <c r="V680" s="16"/>
      <c r="W680" s="16"/>
      <c r="X680" s="16"/>
      <c r="Y680" s="16"/>
    </row>
    <row r="681" spans="1:25" ht="12" customHeight="1">
      <c r="A681" s="22"/>
      <c r="B681" s="89"/>
      <c r="C681" s="89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16"/>
      <c r="R681" s="16"/>
      <c r="S681" s="16"/>
      <c r="T681" s="16"/>
      <c r="U681" s="16"/>
      <c r="V681" s="16"/>
      <c r="W681" s="16"/>
      <c r="X681" s="16"/>
      <c r="Y681" s="16"/>
    </row>
    <row r="682" spans="1:25" ht="12" customHeight="1">
      <c r="A682" s="22"/>
      <c r="B682" s="89"/>
      <c r="C682" s="89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16"/>
      <c r="R682" s="16"/>
      <c r="S682" s="16"/>
      <c r="T682" s="16"/>
      <c r="U682" s="16"/>
      <c r="V682" s="16"/>
      <c r="W682" s="16"/>
      <c r="X682" s="16"/>
      <c r="Y682" s="16"/>
    </row>
    <row r="683" spans="1:25" ht="12" customHeight="1">
      <c r="A683" s="22"/>
      <c r="B683" s="89"/>
      <c r="C683" s="89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16"/>
      <c r="R683" s="16"/>
      <c r="S683" s="16"/>
      <c r="T683" s="16"/>
      <c r="U683" s="16"/>
      <c r="V683" s="16"/>
      <c r="W683" s="16"/>
      <c r="X683" s="16"/>
      <c r="Y683" s="16"/>
    </row>
    <row r="684" spans="1:25" ht="12" customHeight="1">
      <c r="A684" s="22"/>
      <c r="B684" s="89"/>
      <c r="C684" s="89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16"/>
      <c r="R684" s="16"/>
      <c r="S684" s="16"/>
      <c r="T684" s="16"/>
      <c r="U684" s="16"/>
      <c r="V684" s="16"/>
      <c r="W684" s="16"/>
      <c r="X684" s="16"/>
      <c r="Y684" s="16"/>
    </row>
    <row r="685" spans="1:25" ht="12" customHeight="1">
      <c r="A685" s="22"/>
      <c r="B685" s="89"/>
      <c r="C685" s="89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16"/>
      <c r="R685" s="16"/>
      <c r="S685" s="16"/>
      <c r="T685" s="16"/>
      <c r="U685" s="16"/>
      <c r="V685" s="16"/>
      <c r="W685" s="16"/>
      <c r="X685" s="16"/>
      <c r="Y685" s="16"/>
    </row>
    <row r="686" spans="1:25" ht="12" customHeight="1">
      <c r="A686" s="22"/>
      <c r="B686" s="89"/>
      <c r="C686" s="89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16"/>
      <c r="R686" s="16"/>
      <c r="S686" s="16"/>
      <c r="T686" s="16"/>
      <c r="U686" s="16"/>
      <c r="V686" s="16"/>
      <c r="W686" s="16"/>
      <c r="X686" s="16"/>
      <c r="Y686" s="16"/>
    </row>
    <row r="687" spans="1:25" ht="12" customHeight="1">
      <c r="A687" s="22"/>
      <c r="B687" s="89"/>
      <c r="C687" s="89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16"/>
      <c r="R687" s="16"/>
      <c r="S687" s="16"/>
      <c r="T687" s="16"/>
      <c r="U687" s="16"/>
      <c r="V687" s="16"/>
      <c r="W687" s="16"/>
      <c r="X687" s="16"/>
      <c r="Y687" s="16"/>
    </row>
    <row r="688" spans="1:25" ht="12" customHeight="1">
      <c r="A688" s="22"/>
      <c r="B688" s="89"/>
      <c r="C688" s="89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16"/>
      <c r="R688" s="16"/>
      <c r="S688" s="16"/>
      <c r="T688" s="16"/>
      <c r="U688" s="16"/>
      <c r="V688" s="16"/>
      <c r="W688" s="16"/>
      <c r="X688" s="16"/>
      <c r="Y688" s="16"/>
    </row>
    <row r="689" spans="1:25" ht="12" customHeight="1">
      <c r="A689" s="22"/>
      <c r="B689" s="89"/>
      <c r="C689" s="89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16"/>
      <c r="R689" s="16"/>
      <c r="S689" s="16"/>
      <c r="T689" s="16"/>
      <c r="U689" s="16"/>
      <c r="V689" s="16"/>
      <c r="W689" s="16"/>
      <c r="X689" s="16"/>
      <c r="Y689" s="16"/>
    </row>
    <row r="690" spans="1:25" ht="12" customHeight="1">
      <c r="A690" s="22"/>
      <c r="B690" s="89"/>
      <c r="C690" s="89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16"/>
      <c r="R690" s="16"/>
      <c r="S690" s="16"/>
      <c r="T690" s="16"/>
      <c r="U690" s="16"/>
      <c r="V690" s="16"/>
      <c r="W690" s="16"/>
      <c r="X690" s="16"/>
      <c r="Y690" s="16"/>
    </row>
    <row r="691" spans="1:25" ht="12" customHeight="1">
      <c r="A691" s="22"/>
      <c r="B691" s="89"/>
      <c r="C691" s="89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16"/>
      <c r="R691" s="16"/>
      <c r="S691" s="16"/>
      <c r="T691" s="16"/>
      <c r="U691" s="16"/>
      <c r="V691" s="16"/>
      <c r="W691" s="16"/>
      <c r="X691" s="16"/>
      <c r="Y691" s="16"/>
    </row>
    <row r="692" spans="1:25" ht="12" customHeight="1">
      <c r="A692" s="22"/>
      <c r="B692" s="89"/>
      <c r="C692" s="89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16"/>
      <c r="R692" s="16"/>
      <c r="S692" s="16"/>
      <c r="T692" s="16"/>
      <c r="U692" s="16"/>
      <c r="V692" s="16"/>
      <c r="W692" s="16"/>
      <c r="X692" s="16"/>
      <c r="Y692" s="16"/>
    </row>
    <row r="693" spans="1:25" ht="12" customHeight="1">
      <c r="A693" s="22"/>
      <c r="B693" s="89"/>
      <c r="C693" s="89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16"/>
      <c r="R693" s="16"/>
      <c r="S693" s="16"/>
      <c r="T693" s="16"/>
      <c r="U693" s="16"/>
      <c r="V693" s="16"/>
      <c r="W693" s="16"/>
      <c r="X693" s="16"/>
      <c r="Y693" s="16"/>
    </row>
    <row r="694" spans="1:25" ht="12" customHeight="1">
      <c r="A694" s="22"/>
      <c r="B694" s="89"/>
      <c r="C694" s="89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16"/>
      <c r="R694" s="16"/>
      <c r="S694" s="16"/>
      <c r="T694" s="16"/>
      <c r="U694" s="16"/>
      <c r="V694" s="16"/>
      <c r="W694" s="16"/>
      <c r="X694" s="16"/>
      <c r="Y694" s="16"/>
    </row>
    <row r="695" spans="1:25" ht="12" customHeight="1">
      <c r="A695" s="22"/>
      <c r="B695" s="89"/>
      <c r="C695" s="89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16"/>
      <c r="R695" s="16"/>
      <c r="S695" s="16"/>
      <c r="T695" s="16"/>
      <c r="U695" s="16"/>
      <c r="V695" s="16"/>
      <c r="W695" s="16"/>
      <c r="X695" s="16"/>
      <c r="Y695" s="16"/>
    </row>
    <row r="696" spans="1:25" ht="12" customHeight="1">
      <c r="A696" s="22"/>
      <c r="B696" s="89"/>
      <c r="C696" s="89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16"/>
      <c r="R696" s="16"/>
      <c r="S696" s="16"/>
      <c r="T696" s="16"/>
      <c r="U696" s="16"/>
      <c r="V696" s="16"/>
      <c r="W696" s="16"/>
      <c r="X696" s="16"/>
      <c r="Y696" s="16"/>
    </row>
    <row r="697" spans="1:25" ht="12" customHeight="1">
      <c r="A697" s="22"/>
      <c r="B697" s="89"/>
      <c r="C697" s="89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16"/>
      <c r="R697" s="16"/>
      <c r="S697" s="16"/>
      <c r="T697" s="16"/>
      <c r="U697" s="16"/>
      <c r="V697" s="16"/>
      <c r="W697" s="16"/>
      <c r="X697" s="16"/>
      <c r="Y697" s="16"/>
    </row>
    <row r="698" spans="1:25" ht="12" customHeight="1">
      <c r="A698" s="22"/>
      <c r="B698" s="89"/>
      <c r="C698" s="89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16"/>
      <c r="R698" s="16"/>
      <c r="S698" s="16"/>
      <c r="T698" s="16"/>
      <c r="U698" s="16"/>
      <c r="V698" s="16"/>
      <c r="W698" s="16"/>
      <c r="X698" s="16"/>
      <c r="Y698" s="16"/>
    </row>
    <row r="699" spans="1:25" ht="12" customHeight="1">
      <c r="A699" s="22"/>
      <c r="B699" s="89"/>
      <c r="C699" s="89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16"/>
      <c r="R699" s="16"/>
      <c r="S699" s="16"/>
      <c r="T699" s="16"/>
      <c r="U699" s="16"/>
      <c r="V699" s="16"/>
      <c r="W699" s="16"/>
      <c r="X699" s="16"/>
      <c r="Y699" s="16"/>
    </row>
    <row r="700" spans="1:25" ht="12" customHeight="1">
      <c r="A700" s="22"/>
      <c r="B700" s="89"/>
      <c r="C700" s="89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16"/>
      <c r="R700" s="16"/>
      <c r="S700" s="16"/>
      <c r="T700" s="16"/>
      <c r="U700" s="16"/>
      <c r="V700" s="16"/>
      <c r="W700" s="16"/>
      <c r="X700" s="16"/>
      <c r="Y700" s="16"/>
    </row>
    <row r="701" spans="1:25" ht="12" customHeight="1">
      <c r="A701" s="22"/>
      <c r="B701" s="89"/>
      <c r="C701" s="89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16"/>
      <c r="R701" s="16"/>
      <c r="S701" s="16"/>
      <c r="T701" s="16"/>
      <c r="U701" s="16"/>
      <c r="V701" s="16"/>
      <c r="W701" s="16"/>
      <c r="X701" s="16"/>
      <c r="Y701" s="16"/>
    </row>
    <row r="702" spans="1:25" ht="12" customHeight="1">
      <c r="A702" s="22"/>
      <c r="B702" s="89"/>
      <c r="C702" s="89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16"/>
      <c r="R702" s="16"/>
      <c r="S702" s="16"/>
      <c r="T702" s="16"/>
      <c r="U702" s="16"/>
      <c r="V702" s="16"/>
      <c r="W702" s="16"/>
      <c r="X702" s="16"/>
      <c r="Y702" s="16"/>
    </row>
    <row r="703" spans="1:25" ht="12" customHeight="1">
      <c r="A703" s="22"/>
      <c r="B703" s="89"/>
      <c r="C703" s="89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16"/>
      <c r="R703" s="16"/>
      <c r="S703" s="16"/>
      <c r="T703" s="16"/>
      <c r="U703" s="16"/>
      <c r="V703" s="16"/>
      <c r="W703" s="16"/>
      <c r="X703" s="16"/>
      <c r="Y703" s="16"/>
    </row>
    <row r="704" spans="1:25" ht="12" customHeight="1">
      <c r="A704" s="22"/>
      <c r="B704" s="89"/>
      <c r="C704" s="89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16"/>
      <c r="R704" s="16"/>
      <c r="S704" s="16"/>
      <c r="T704" s="16"/>
      <c r="U704" s="16"/>
      <c r="V704" s="16"/>
      <c r="W704" s="16"/>
      <c r="X704" s="16"/>
      <c r="Y704" s="16"/>
    </row>
    <row r="705" spans="1:25" ht="12" customHeight="1">
      <c r="A705" s="22"/>
      <c r="B705" s="89"/>
      <c r="C705" s="89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16"/>
      <c r="R705" s="16"/>
      <c r="S705" s="16"/>
      <c r="T705" s="16"/>
      <c r="U705" s="16"/>
      <c r="V705" s="16"/>
      <c r="W705" s="16"/>
      <c r="X705" s="16"/>
      <c r="Y705" s="16"/>
    </row>
    <row r="706" spans="1:25" ht="12" customHeight="1">
      <c r="A706" s="22"/>
      <c r="B706" s="89"/>
      <c r="C706" s="89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16"/>
      <c r="R706" s="16"/>
      <c r="S706" s="16"/>
      <c r="T706" s="16"/>
      <c r="U706" s="16"/>
      <c r="V706" s="16"/>
      <c r="W706" s="16"/>
      <c r="X706" s="16"/>
      <c r="Y706" s="16"/>
    </row>
    <row r="707" spans="1:25" ht="12" customHeight="1">
      <c r="A707" s="22"/>
      <c r="B707" s="89"/>
      <c r="C707" s="89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16"/>
      <c r="R707" s="16"/>
      <c r="S707" s="16"/>
      <c r="T707" s="16"/>
      <c r="U707" s="16"/>
      <c r="V707" s="16"/>
      <c r="W707" s="16"/>
      <c r="X707" s="16"/>
      <c r="Y707" s="16"/>
    </row>
    <row r="708" spans="1:25" ht="12" customHeight="1">
      <c r="A708" s="22"/>
      <c r="B708" s="89"/>
      <c r="C708" s="89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16"/>
      <c r="R708" s="16"/>
      <c r="S708" s="16"/>
      <c r="T708" s="16"/>
      <c r="U708" s="16"/>
      <c r="V708" s="16"/>
      <c r="W708" s="16"/>
      <c r="X708" s="16"/>
      <c r="Y708" s="16"/>
    </row>
    <row r="709" spans="1:25" ht="12" customHeight="1">
      <c r="A709" s="22"/>
      <c r="B709" s="89"/>
      <c r="C709" s="89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16"/>
      <c r="R709" s="16"/>
      <c r="S709" s="16"/>
      <c r="T709" s="16"/>
      <c r="U709" s="16"/>
      <c r="V709" s="16"/>
      <c r="W709" s="16"/>
      <c r="X709" s="16"/>
      <c r="Y709" s="16"/>
    </row>
    <row r="710" spans="1:25" ht="12" customHeight="1">
      <c r="A710" s="22"/>
      <c r="B710" s="89"/>
      <c r="C710" s="89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16"/>
      <c r="R710" s="16"/>
      <c r="S710" s="16"/>
      <c r="T710" s="16"/>
      <c r="U710" s="16"/>
      <c r="V710" s="16"/>
      <c r="W710" s="16"/>
      <c r="X710" s="16"/>
      <c r="Y710" s="16"/>
    </row>
    <row r="711" spans="1:25" ht="12" customHeight="1">
      <c r="A711" s="22"/>
      <c r="B711" s="89"/>
      <c r="C711" s="89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16"/>
      <c r="R711" s="16"/>
      <c r="S711" s="16"/>
      <c r="T711" s="16"/>
      <c r="U711" s="16"/>
      <c r="V711" s="16"/>
      <c r="W711" s="16"/>
      <c r="X711" s="16"/>
      <c r="Y711" s="16"/>
    </row>
    <row r="712" spans="1:25" ht="12" customHeight="1">
      <c r="A712" s="22"/>
      <c r="B712" s="89"/>
      <c r="C712" s="89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16"/>
      <c r="R712" s="16"/>
      <c r="S712" s="16"/>
      <c r="T712" s="16"/>
      <c r="U712" s="16"/>
      <c r="V712" s="16"/>
      <c r="W712" s="16"/>
      <c r="X712" s="16"/>
      <c r="Y712" s="16"/>
    </row>
    <row r="713" spans="1:25" ht="12" customHeight="1">
      <c r="A713" s="22"/>
      <c r="B713" s="89"/>
      <c r="C713" s="89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16"/>
      <c r="R713" s="16"/>
      <c r="S713" s="16"/>
      <c r="T713" s="16"/>
      <c r="U713" s="16"/>
      <c r="V713" s="16"/>
      <c r="W713" s="16"/>
      <c r="X713" s="16"/>
      <c r="Y713" s="16"/>
    </row>
    <row r="714" spans="1:25" ht="12" customHeight="1">
      <c r="A714" s="22"/>
      <c r="B714" s="89"/>
      <c r="C714" s="89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16"/>
      <c r="R714" s="16"/>
      <c r="S714" s="16"/>
      <c r="T714" s="16"/>
      <c r="U714" s="16"/>
      <c r="V714" s="16"/>
      <c r="W714" s="16"/>
      <c r="X714" s="16"/>
      <c r="Y714" s="16"/>
    </row>
    <row r="715" spans="1:25" ht="12" customHeight="1">
      <c r="A715" s="22"/>
      <c r="B715" s="89"/>
      <c r="C715" s="89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16"/>
      <c r="R715" s="16"/>
      <c r="S715" s="16"/>
      <c r="T715" s="16"/>
      <c r="U715" s="16"/>
      <c r="V715" s="16"/>
      <c r="W715" s="16"/>
      <c r="X715" s="16"/>
      <c r="Y715" s="16"/>
    </row>
    <row r="716" spans="1:25" ht="12" customHeight="1">
      <c r="A716" s="22"/>
      <c r="B716" s="89"/>
      <c r="C716" s="89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16"/>
      <c r="R716" s="16"/>
      <c r="S716" s="16"/>
      <c r="T716" s="16"/>
      <c r="U716" s="16"/>
      <c r="V716" s="16"/>
      <c r="W716" s="16"/>
      <c r="X716" s="16"/>
      <c r="Y716" s="16"/>
    </row>
    <row r="717" spans="1:25" ht="12" customHeight="1">
      <c r="A717" s="22"/>
      <c r="B717" s="89"/>
      <c r="C717" s="89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16"/>
      <c r="R717" s="16"/>
      <c r="S717" s="16"/>
      <c r="T717" s="16"/>
      <c r="U717" s="16"/>
      <c r="V717" s="16"/>
      <c r="W717" s="16"/>
      <c r="X717" s="16"/>
      <c r="Y717" s="16"/>
    </row>
    <row r="718" spans="1:25" ht="12" customHeight="1">
      <c r="A718" s="22"/>
      <c r="B718" s="89"/>
      <c r="C718" s="89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16"/>
      <c r="R718" s="16"/>
      <c r="S718" s="16"/>
      <c r="T718" s="16"/>
      <c r="U718" s="16"/>
      <c r="V718" s="16"/>
      <c r="W718" s="16"/>
      <c r="X718" s="16"/>
      <c r="Y718" s="16"/>
    </row>
    <row r="719" spans="1:25" ht="12" customHeight="1">
      <c r="A719" s="22"/>
      <c r="B719" s="89"/>
      <c r="C719" s="89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16"/>
      <c r="R719" s="16"/>
      <c r="S719" s="16"/>
      <c r="T719" s="16"/>
      <c r="U719" s="16"/>
      <c r="V719" s="16"/>
      <c r="W719" s="16"/>
      <c r="X719" s="16"/>
      <c r="Y719" s="16"/>
    </row>
    <row r="720" spans="1:25" ht="12" customHeight="1">
      <c r="A720" s="22"/>
      <c r="B720" s="89"/>
      <c r="C720" s="89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16"/>
      <c r="R720" s="16"/>
      <c r="S720" s="16"/>
      <c r="T720" s="16"/>
      <c r="U720" s="16"/>
      <c r="V720" s="16"/>
      <c r="W720" s="16"/>
      <c r="X720" s="16"/>
      <c r="Y720" s="16"/>
    </row>
    <row r="721" spans="1:25" ht="12" customHeight="1">
      <c r="A721" s="22"/>
      <c r="B721" s="89"/>
      <c r="C721" s="89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16"/>
      <c r="R721" s="16"/>
      <c r="S721" s="16"/>
      <c r="T721" s="16"/>
      <c r="U721" s="16"/>
      <c r="V721" s="16"/>
      <c r="W721" s="16"/>
      <c r="X721" s="16"/>
      <c r="Y721" s="16"/>
    </row>
    <row r="722" spans="1:25" ht="12" customHeight="1">
      <c r="A722" s="22"/>
      <c r="B722" s="89"/>
      <c r="C722" s="89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16"/>
      <c r="R722" s="16"/>
      <c r="S722" s="16"/>
      <c r="T722" s="16"/>
      <c r="U722" s="16"/>
      <c r="V722" s="16"/>
      <c r="W722" s="16"/>
      <c r="X722" s="16"/>
      <c r="Y722" s="16"/>
    </row>
    <row r="723" spans="1:25" ht="12" customHeight="1">
      <c r="A723" s="22"/>
      <c r="B723" s="89"/>
      <c r="C723" s="89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16"/>
      <c r="R723" s="16"/>
      <c r="S723" s="16"/>
      <c r="T723" s="16"/>
      <c r="U723" s="16"/>
      <c r="V723" s="16"/>
      <c r="W723" s="16"/>
      <c r="X723" s="16"/>
      <c r="Y723" s="16"/>
    </row>
    <row r="724" spans="1:25" ht="12" customHeight="1">
      <c r="A724" s="22"/>
      <c r="B724" s="89"/>
      <c r="C724" s="89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16"/>
      <c r="R724" s="16"/>
      <c r="S724" s="16"/>
      <c r="T724" s="16"/>
      <c r="U724" s="16"/>
      <c r="V724" s="16"/>
      <c r="W724" s="16"/>
      <c r="X724" s="16"/>
      <c r="Y724" s="16"/>
    </row>
    <row r="725" spans="1:25" ht="12" customHeight="1">
      <c r="A725" s="22"/>
      <c r="B725" s="89"/>
      <c r="C725" s="89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16"/>
      <c r="R725" s="16"/>
      <c r="S725" s="16"/>
      <c r="T725" s="16"/>
      <c r="U725" s="16"/>
      <c r="V725" s="16"/>
      <c r="W725" s="16"/>
      <c r="X725" s="16"/>
      <c r="Y725" s="16"/>
    </row>
    <row r="726" spans="1:25" ht="12" customHeight="1">
      <c r="A726" s="22"/>
      <c r="B726" s="89"/>
      <c r="C726" s="89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16"/>
      <c r="R726" s="16"/>
      <c r="S726" s="16"/>
      <c r="T726" s="16"/>
      <c r="U726" s="16"/>
      <c r="V726" s="16"/>
      <c r="W726" s="16"/>
      <c r="X726" s="16"/>
      <c r="Y726" s="16"/>
    </row>
    <row r="727" spans="1:25" ht="12" customHeight="1">
      <c r="A727" s="22"/>
      <c r="B727" s="89"/>
      <c r="C727" s="89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16"/>
      <c r="R727" s="16"/>
      <c r="S727" s="16"/>
      <c r="T727" s="16"/>
      <c r="U727" s="16"/>
      <c r="V727" s="16"/>
      <c r="W727" s="16"/>
      <c r="X727" s="16"/>
      <c r="Y727" s="16"/>
    </row>
    <row r="728" spans="1:25" ht="12" customHeight="1">
      <c r="A728" s="22"/>
      <c r="B728" s="89"/>
      <c r="C728" s="89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16"/>
      <c r="R728" s="16"/>
      <c r="S728" s="16"/>
      <c r="T728" s="16"/>
      <c r="U728" s="16"/>
      <c r="V728" s="16"/>
      <c r="W728" s="16"/>
      <c r="X728" s="16"/>
      <c r="Y728" s="16"/>
    </row>
    <row r="729" spans="1:25" ht="12" customHeight="1">
      <c r="A729" s="22"/>
      <c r="B729" s="89"/>
      <c r="C729" s="89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16"/>
      <c r="R729" s="16"/>
      <c r="S729" s="16"/>
      <c r="T729" s="16"/>
      <c r="U729" s="16"/>
      <c r="V729" s="16"/>
      <c r="W729" s="16"/>
      <c r="X729" s="16"/>
      <c r="Y729" s="16"/>
    </row>
    <row r="730" spans="1:25" ht="12" customHeight="1">
      <c r="A730" s="22"/>
      <c r="B730" s="89"/>
      <c r="C730" s="89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16"/>
      <c r="R730" s="16"/>
      <c r="S730" s="16"/>
      <c r="T730" s="16"/>
      <c r="U730" s="16"/>
      <c r="V730" s="16"/>
      <c r="W730" s="16"/>
      <c r="X730" s="16"/>
      <c r="Y730" s="16"/>
    </row>
    <row r="731" spans="1:25" ht="12" customHeight="1">
      <c r="A731" s="22"/>
      <c r="B731" s="89"/>
      <c r="C731" s="89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16"/>
      <c r="R731" s="16"/>
      <c r="S731" s="16"/>
      <c r="T731" s="16"/>
      <c r="U731" s="16"/>
      <c r="V731" s="16"/>
      <c r="W731" s="16"/>
      <c r="X731" s="16"/>
      <c r="Y731" s="16"/>
    </row>
    <row r="732" spans="1:25" ht="12" customHeight="1">
      <c r="A732" s="22"/>
      <c r="B732" s="89"/>
      <c r="C732" s="89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16"/>
      <c r="R732" s="16"/>
      <c r="S732" s="16"/>
      <c r="T732" s="16"/>
      <c r="U732" s="16"/>
      <c r="V732" s="16"/>
      <c r="W732" s="16"/>
      <c r="X732" s="16"/>
      <c r="Y732" s="16"/>
    </row>
    <row r="733" spans="1:25" ht="12" customHeight="1">
      <c r="A733" s="22"/>
      <c r="B733" s="89"/>
      <c r="C733" s="89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16"/>
      <c r="R733" s="16"/>
      <c r="S733" s="16"/>
      <c r="T733" s="16"/>
      <c r="U733" s="16"/>
      <c r="V733" s="16"/>
      <c r="W733" s="16"/>
      <c r="X733" s="16"/>
      <c r="Y733" s="16"/>
    </row>
    <row r="734" spans="1:25" ht="12" customHeight="1">
      <c r="A734" s="22"/>
      <c r="B734" s="89"/>
      <c r="C734" s="89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16"/>
      <c r="R734" s="16"/>
      <c r="S734" s="16"/>
      <c r="T734" s="16"/>
      <c r="U734" s="16"/>
      <c r="V734" s="16"/>
      <c r="W734" s="16"/>
      <c r="X734" s="16"/>
      <c r="Y734" s="16"/>
    </row>
    <row r="735" spans="1:25" ht="12" customHeight="1">
      <c r="A735" s="22"/>
      <c r="B735" s="89"/>
      <c r="C735" s="89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16"/>
      <c r="R735" s="16"/>
      <c r="S735" s="16"/>
      <c r="T735" s="16"/>
      <c r="U735" s="16"/>
      <c r="V735" s="16"/>
      <c r="W735" s="16"/>
      <c r="X735" s="16"/>
      <c r="Y735" s="16"/>
    </row>
    <row r="736" spans="1:25" ht="12" customHeight="1">
      <c r="A736" s="22"/>
      <c r="B736" s="89"/>
      <c r="C736" s="89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16"/>
      <c r="R736" s="16"/>
      <c r="S736" s="16"/>
      <c r="T736" s="16"/>
      <c r="U736" s="16"/>
      <c r="V736" s="16"/>
      <c r="W736" s="16"/>
      <c r="X736" s="16"/>
      <c r="Y736" s="16"/>
    </row>
    <row r="737" spans="1:25" ht="12" customHeight="1">
      <c r="A737" s="22"/>
      <c r="B737" s="89"/>
      <c r="C737" s="89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16"/>
      <c r="R737" s="16"/>
      <c r="S737" s="16"/>
      <c r="T737" s="16"/>
      <c r="U737" s="16"/>
      <c r="V737" s="16"/>
      <c r="W737" s="16"/>
      <c r="X737" s="16"/>
      <c r="Y737" s="16"/>
    </row>
    <row r="738" spans="1:25" ht="12" customHeight="1">
      <c r="A738" s="22"/>
      <c r="B738" s="89"/>
      <c r="C738" s="89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16"/>
      <c r="R738" s="16"/>
      <c r="S738" s="16"/>
      <c r="T738" s="16"/>
      <c r="U738" s="16"/>
      <c r="V738" s="16"/>
      <c r="W738" s="16"/>
      <c r="X738" s="16"/>
      <c r="Y738" s="16"/>
    </row>
    <row r="739" spans="1:25" ht="12" customHeight="1">
      <c r="A739" s="22"/>
      <c r="B739" s="89"/>
      <c r="C739" s="89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16"/>
      <c r="R739" s="16"/>
      <c r="S739" s="16"/>
      <c r="T739" s="16"/>
      <c r="U739" s="16"/>
      <c r="V739" s="16"/>
      <c r="W739" s="16"/>
      <c r="X739" s="16"/>
      <c r="Y739" s="16"/>
    </row>
    <row r="740" spans="1:25" ht="12" customHeight="1">
      <c r="A740" s="22"/>
      <c r="B740" s="89"/>
      <c r="C740" s="89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16"/>
      <c r="R740" s="16"/>
      <c r="S740" s="16"/>
      <c r="T740" s="16"/>
      <c r="U740" s="16"/>
      <c r="V740" s="16"/>
      <c r="W740" s="16"/>
      <c r="X740" s="16"/>
      <c r="Y740" s="16"/>
    </row>
    <row r="741" spans="1:25" ht="12" customHeight="1">
      <c r="A741" s="22"/>
      <c r="B741" s="89"/>
      <c r="C741" s="89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16"/>
      <c r="R741" s="16"/>
      <c r="S741" s="16"/>
      <c r="T741" s="16"/>
      <c r="U741" s="16"/>
      <c r="V741" s="16"/>
      <c r="W741" s="16"/>
      <c r="X741" s="16"/>
      <c r="Y741" s="16"/>
    </row>
    <row r="742" spans="1:25" ht="12" customHeight="1">
      <c r="A742" s="22"/>
      <c r="B742" s="89"/>
      <c r="C742" s="89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16"/>
      <c r="R742" s="16"/>
      <c r="S742" s="16"/>
      <c r="T742" s="16"/>
      <c r="U742" s="16"/>
      <c r="V742" s="16"/>
      <c r="W742" s="16"/>
      <c r="X742" s="16"/>
      <c r="Y742" s="16"/>
    </row>
    <row r="743" spans="1:25" ht="12" customHeight="1">
      <c r="A743" s="22"/>
      <c r="B743" s="89"/>
      <c r="C743" s="89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16"/>
      <c r="R743" s="16"/>
      <c r="S743" s="16"/>
      <c r="T743" s="16"/>
      <c r="U743" s="16"/>
      <c r="V743" s="16"/>
      <c r="W743" s="16"/>
      <c r="X743" s="16"/>
      <c r="Y743" s="16"/>
    </row>
    <row r="744" spans="1:25" ht="12" customHeight="1">
      <c r="A744" s="22"/>
      <c r="B744" s="89"/>
      <c r="C744" s="89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16"/>
      <c r="R744" s="16"/>
      <c r="S744" s="16"/>
      <c r="T744" s="16"/>
      <c r="U744" s="16"/>
      <c r="V744" s="16"/>
      <c r="W744" s="16"/>
      <c r="X744" s="16"/>
      <c r="Y744" s="16"/>
    </row>
  </sheetData>
  <mergeCells count="32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9:J29"/>
    <mergeCell ref="I30:J30"/>
    <mergeCell ref="I31:J31"/>
    <mergeCell ref="I32:J32"/>
    <mergeCell ref="I22:J22"/>
    <mergeCell ref="I23:J23"/>
    <mergeCell ref="I24:J24"/>
    <mergeCell ref="I25:J25"/>
    <mergeCell ref="I26:J26"/>
    <mergeCell ref="I27:J27"/>
    <mergeCell ref="I28:J28"/>
  </mergeCells>
  <conditionalFormatting sqref="M2:M32">
    <cfRule type="cellIs" dxfId="2" priority="1" stopIfTrue="1" operator="between">
      <formula>6</formula>
      <formula>9</formula>
    </cfRule>
    <cfRule type="cellIs" dxfId="1" priority="2" stopIfTrue="1" operator="between">
      <formula>3</formula>
      <formula>4</formula>
    </cfRule>
    <cfRule type="cellIs" dxfId="0" priority="3" stopIfTrue="1" operator="between">
      <formula>1</formula>
      <formula>2</formula>
    </cfRule>
  </conditionalFormatting>
  <dataValidations count="6">
    <dataValidation type="list" allowBlank="1" showErrorMessage="1" sqref="O2:O32" xr:uid="{00000000-0002-0000-0300-000000000000}">
      <formula1>"Mitigar,Aceptar,Evitar"</formula1>
    </dataValidation>
    <dataValidation type="list" allowBlank="1" showErrorMessage="1" sqref="S2:S32" xr:uid="{00000000-0002-0000-0300-000001000000}">
      <formula1>Destinatarios</formula1>
    </dataValidation>
    <dataValidation type="list" allowBlank="1" showErrorMessage="1" sqref="L2:L32" xr:uid="{00000000-0002-0000-0300-000002000000}">
      <formula1>"Alto,Medio,Bajo"</formula1>
    </dataValidation>
    <dataValidation type="list" allowBlank="1" showErrorMessage="1" sqref="N2:N32" xr:uid="{00000000-0002-0000-0300-000003000000}">
      <formula1>Riesgo_Responsables</formula1>
    </dataValidation>
    <dataValidation type="list" allowBlank="1" showErrorMessage="1" sqref="D2:D32" xr:uid="{00000000-0002-0000-0300-000004000000}">
      <formula1>ListaCategorias</formula1>
    </dataValidation>
    <dataValidation type="list" allowBlank="1" showErrorMessage="1" sqref="K2:K32" xr:uid="{00000000-0002-0000-0300-000005000000}">
      <formula1>"Alta,Media,Baja"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7</vt:i4>
      </vt:variant>
    </vt:vector>
  </HeadingPairs>
  <TitlesOfParts>
    <vt:vector size="11" baseType="lpstr">
      <vt:lpstr>Riesgos</vt:lpstr>
      <vt:lpstr>Diccionario</vt:lpstr>
      <vt:lpstr>Codigos</vt:lpstr>
      <vt:lpstr>Copia de Riesgos (priorizado)</vt:lpstr>
      <vt:lpstr>Destinatarios</vt:lpstr>
      <vt:lpstr>ListaCategorias</vt:lpstr>
      <vt:lpstr>Riesgo_Categorias</vt:lpstr>
      <vt:lpstr>Riesgo_Componentes</vt:lpstr>
      <vt:lpstr>Riesgo_Destinatarios</vt:lpstr>
      <vt:lpstr>Riesgo_Objetivos</vt:lpstr>
      <vt:lpstr>Riesgo_Responsables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sotoflores</dc:creator>
  <cp:lastModifiedBy>KEVIN . SOTO FLORES</cp:lastModifiedBy>
  <dcterms:created xsi:type="dcterms:W3CDTF">2026-10-18T23:27:52Z</dcterms:created>
  <dcterms:modified xsi:type="dcterms:W3CDTF">2026-10-18T23:27:52Z</dcterms:modified>
</cp:coreProperties>
</file>